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Mexico-City-survey-comp/doc/"/>
    </mc:Choice>
  </mc:AlternateContent>
  <xr:revisionPtr revIDLastSave="0" documentId="13_ncr:1_{6EC2F44B-77B6-0B4F-984E-2AD95E32E685}" xr6:coauthVersionLast="47" xr6:coauthVersionMax="47" xr10:uidLastSave="{00000000-0000-0000-0000-000000000000}"/>
  <bookViews>
    <workbookView xWindow="0" yWindow="680" windowWidth="30240" windowHeight="17520" activeTab="1" xr2:uid="{3EF6F1BB-ED37-3543-A6D9-F80F42A03DF8}"/>
  </bookViews>
  <sheets>
    <sheet name="Mexico_city" sheetId="1" r:id="rId1"/>
    <sheet name="out-mexico-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2" l="1"/>
  <c r="J74" i="2"/>
  <c r="J71" i="2"/>
  <c r="J75" i="1"/>
  <c r="J74" i="1"/>
  <c r="J71" i="1"/>
  <c r="N60" i="2"/>
  <c r="N61" i="2"/>
  <c r="N66" i="2"/>
  <c r="N35" i="2"/>
  <c r="N36" i="2"/>
  <c r="N37" i="2"/>
  <c r="N38" i="2"/>
  <c r="N39" i="2"/>
  <c r="N40" i="2"/>
  <c r="N41" i="2"/>
  <c r="N47" i="2"/>
  <c r="N48" i="2"/>
  <c r="N49" i="2"/>
  <c r="N34" i="2"/>
  <c r="N42" i="1"/>
  <c r="N60" i="1"/>
  <c r="N61" i="1"/>
  <c r="N35" i="1"/>
  <c r="N36" i="1"/>
  <c r="N37" i="1"/>
  <c r="N38" i="1"/>
  <c r="N39" i="1"/>
  <c r="N40" i="1"/>
  <c r="N41" i="1"/>
  <c r="N47" i="1"/>
  <c r="N48" i="1"/>
  <c r="N49" i="1"/>
  <c r="N34" i="1"/>
  <c r="D34" i="2"/>
  <c r="O40" i="2" l="1"/>
  <c r="O41" i="2"/>
  <c r="O34" i="2"/>
  <c r="O47" i="2"/>
  <c r="O48" i="2"/>
  <c r="O49" i="2"/>
  <c r="O60" i="2"/>
  <c r="O39" i="2"/>
  <c r="O61" i="2"/>
  <c r="O66" i="2"/>
  <c r="O42" i="2"/>
  <c r="O35" i="2"/>
  <c r="O36" i="2"/>
  <c r="O37" i="2"/>
  <c r="O38" i="2"/>
  <c r="D66" i="2"/>
  <c r="D5" i="2"/>
  <c r="D71" i="2" s="1"/>
  <c r="D28" i="2"/>
  <c r="M71" i="2"/>
  <c r="G71" i="2"/>
  <c r="D34" i="1"/>
  <c r="D74" i="2" l="1"/>
  <c r="B34" i="2" s="1"/>
  <c r="H66" i="2"/>
  <c r="K47" i="2"/>
  <c r="H5" i="2"/>
  <c r="K60" i="2"/>
  <c r="K34" i="2"/>
  <c r="H20" i="2"/>
  <c r="H60" i="2"/>
  <c r="H34" i="2"/>
  <c r="H11" i="2"/>
  <c r="H47" i="2"/>
  <c r="H28" i="2"/>
  <c r="H2" i="2"/>
  <c r="K66" i="2"/>
  <c r="D66" i="1"/>
  <c r="D5" i="1"/>
  <c r="D71" i="1" s="1"/>
  <c r="D28" i="1"/>
  <c r="M71" i="1"/>
  <c r="G71" i="1"/>
  <c r="E47" i="2" l="1"/>
  <c r="B20" i="2"/>
  <c r="E60" i="2"/>
  <c r="E34" i="2"/>
  <c r="B60" i="2"/>
  <c r="B11" i="2"/>
  <c r="E66" i="2"/>
  <c r="B66" i="2"/>
  <c r="B47" i="2"/>
  <c r="B28" i="2"/>
  <c r="B5" i="2"/>
  <c r="D75" i="2"/>
  <c r="D74" i="1"/>
  <c r="O61" i="1" l="1"/>
  <c r="O35" i="1"/>
  <c r="O47" i="1"/>
  <c r="O48" i="1"/>
  <c r="O37" i="1"/>
  <c r="O49" i="1"/>
  <c r="O34" i="1"/>
  <c r="O60" i="1"/>
  <c r="O41" i="1"/>
  <c r="O42" i="1"/>
  <c r="O36" i="1"/>
  <c r="O38" i="1"/>
  <c r="O39" i="1"/>
  <c r="O40" i="1"/>
  <c r="K66" i="1"/>
  <c r="H60" i="1"/>
  <c r="H66" i="1"/>
  <c r="H28" i="1"/>
  <c r="H2" i="1"/>
  <c r="H20" i="1"/>
  <c r="K47" i="1"/>
  <c r="K34" i="1"/>
  <c r="H47" i="1"/>
  <c r="H34" i="1"/>
  <c r="H11" i="1"/>
  <c r="K60" i="1"/>
  <c r="H5" i="1"/>
  <c r="B47" i="1"/>
  <c r="E60" i="1"/>
  <c r="B5" i="1"/>
  <c r="E66" i="1"/>
  <c r="B60" i="1"/>
  <c r="B66" i="1"/>
  <c r="B28" i="1"/>
  <c r="B20" i="1"/>
  <c r="E47" i="1"/>
  <c r="E34" i="1"/>
  <c r="B11" i="1"/>
  <c r="D75" i="1"/>
  <c r="B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6" authorId="0" shapeId="0" xr:uid="{5419182B-1708-4943-9CA7-6888389DD2C8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  <comment ref="K6" authorId="0" shapeId="0" xr:uid="{4C61BF19-344F-BA40-9FFE-D87EBFF3EF2A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6" authorId="0" shapeId="0" xr:uid="{DD3491A4-1653-274A-984D-9F797AD1261D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  <comment ref="K6" authorId="0" shapeId="0" xr:uid="{8C12769C-090A-9B41-91E8-4783A78CBC64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</commentList>
</comments>
</file>

<file path=xl/sharedStrings.xml><?xml version="1.0" encoding="utf-8"?>
<sst xmlns="http://schemas.openxmlformats.org/spreadsheetml/2006/main" count="156" uniqueCount="76">
  <si>
    <t>x</t>
  </si>
  <si>
    <t>single_label</t>
  </si>
  <si>
    <t>count</t>
  </si>
  <si>
    <t>multi_label</t>
  </si>
  <si>
    <t>count2</t>
  </si>
  <si>
    <t>single_la_17</t>
  </si>
  <si>
    <t>count_1</t>
  </si>
  <si>
    <t>multi_la_17</t>
  </si>
  <si>
    <t>count_2</t>
  </si>
  <si>
    <t>Walk</t>
  </si>
  <si>
    <t>NA</t>
  </si>
  <si>
    <t>caminar en la calle (14)</t>
  </si>
  <si>
    <t>Bike</t>
  </si>
  <si>
    <t>Bicicleta (B)</t>
  </si>
  <si>
    <t>Bicicleta (07)</t>
  </si>
  <si>
    <t>Car</t>
  </si>
  <si>
    <t>automovil (9)</t>
  </si>
  <si>
    <t>automovil (01)</t>
  </si>
  <si>
    <t>Taxi (maybe lump with car)</t>
  </si>
  <si>
    <t>Taxi (8)</t>
  </si>
  <si>
    <t>Taxi (App) (03)</t>
  </si>
  <si>
    <t>Taxi (04)</t>
  </si>
  <si>
    <t>Bicitaxi (16)</t>
  </si>
  <si>
    <t>Mototaxi (17)</t>
  </si>
  <si>
    <t>Motorcycle</t>
  </si>
  <si>
    <t>Moto (A)</t>
  </si>
  <si>
    <t>Moto (09)</t>
  </si>
  <si>
    <t>Metro &amp; Light rail</t>
  </si>
  <si>
    <t>Metro, light rail (only)</t>
  </si>
  <si>
    <t>Metro(05)</t>
  </si>
  <si>
    <t>BRT+metro</t>
  </si>
  <si>
    <t>Bus+Metro</t>
  </si>
  <si>
    <t>Tren Ligero(12)</t>
  </si>
  <si>
    <t>Metro+ other mode of metro</t>
  </si>
  <si>
    <t>Tren suburbano (13)</t>
  </si>
  <si>
    <t>Metro +BRT +bus</t>
  </si>
  <si>
    <t>Mexicable  (15)</t>
  </si>
  <si>
    <t>Metro+other</t>
  </si>
  <si>
    <t>BRT +bus +metro</t>
  </si>
  <si>
    <t>BRT + Metro+other</t>
  </si>
  <si>
    <t>Metro+BRT+ bus+other</t>
  </si>
  <si>
    <t>Bus+metro+other</t>
  </si>
  <si>
    <t>BRT+bus+metro+other</t>
  </si>
  <si>
    <t>BRT</t>
  </si>
  <si>
    <t>Metrobus (only)</t>
  </si>
  <si>
    <t>metrobus,Mexibus(11)</t>
  </si>
  <si>
    <t>BRT+Bus</t>
  </si>
  <si>
    <t>BRT+other</t>
  </si>
  <si>
    <t>BRT +bus +other</t>
  </si>
  <si>
    <t>Non BRT bus</t>
  </si>
  <si>
    <t>Trolebus (4)</t>
  </si>
  <si>
    <t>Trolebus (Trolley) (10)</t>
  </si>
  <si>
    <t>Bus+other Bus (two mode of bus connect)</t>
  </si>
  <si>
    <t>Autobus RTP Autobus (5)</t>
  </si>
  <si>
    <t>Autobus RTP M1 (06)</t>
  </si>
  <si>
    <t>Bus+ other</t>
  </si>
  <si>
    <t>Colectivo (only) (7)</t>
  </si>
  <si>
    <t>Autobus (08)</t>
  </si>
  <si>
    <t>Colectivo/Micro (02)</t>
  </si>
  <si>
    <t>Transporte  escolar  (18)</t>
  </si>
  <si>
    <t>Other</t>
  </si>
  <si>
    <t>Otro  (C )</t>
  </si>
  <si>
    <t>Other mode combined (no public transit)</t>
  </si>
  <si>
    <t>Otro (20)</t>
  </si>
  <si>
    <t>Other mode combined (no public transit involved)</t>
  </si>
  <si>
    <t>Transporte  de personal (19)</t>
  </si>
  <si>
    <t>sum</t>
  </si>
  <si>
    <t>Bus+metro</t>
  </si>
  <si>
    <t>bus</t>
  </si>
  <si>
    <t>Metro</t>
  </si>
  <si>
    <t>Bus+ Other</t>
  </si>
  <si>
    <t>bus+metro+other</t>
  </si>
  <si>
    <t>metro+other</t>
  </si>
  <si>
    <t>BRT+bus</t>
  </si>
  <si>
    <t>BRT+Metro+other</t>
  </si>
  <si>
    <t>BRT+bus+other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</si>
</sst>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b/>
      <sz val="14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  <font>
      <sz val="14"/>
      <color theme="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0" fontId="5" fillId="3" borderId="2" xfId="1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0" fontId="6" fillId="4" borderId="5" xfId="1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10" fontId="5" fillId="4" borderId="2" xfId="1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4" borderId="6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10" fontId="6" fillId="4" borderId="0" xfId="1" applyNumberFormat="1" applyFont="1" applyFill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10" fontId="6" fillId="3" borderId="0" xfId="1" applyNumberFormat="1" applyFont="1" applyFill="1" applyAlignment="1">
      <alignment horizontal="left" vertical="center"/>
    </xf>
    <xf numFmtId="10" fontId="5" fillId="3" borderId="7" xfId="1" applyNumberFormat="1" applyFont="1" applyFill="1" applyBorder="1" applyAlignment="1">
      <alignment horizontal="left" vertical="center"/>
    </xf>
    <xf numFmtId="10" fontId="6" fillId="4" borderId="3" xfId="1" applyNumberFormat="1" applyFont="1" applyFill="1" applyBorder="1" applyAlignment="1">
      <alignment horizontal="left" vertical="center"/>
    </xf>
    <xf numFmtId="10" fontId="7" fillId="0" borderId="0" xfId="1" applyNumberFormat="1" applyFont="1" applyAlignment="1">
      <alignment horizontal="left" vertical="center"/>
    </xf>
    <xf numFmtId="10" fontId="0" fillId="0" borderId="0" xfId="1" applyNumberFormat="1" applyFont="1" applyAlignment="1"/>
    <xf numFmtId="0" fontId="9" fillId="4" borderId="6" xfId="0" applyFont="1" applyFill="1" applyBorder="1" applyAlignment="1">
      <alignment horizontal="left" vertical="center" wrapText="1"/>
    </xf>
    <xf numFmtId="10" fontId="5" fillId="4" borderId="7" xfId="1" applyNumberFormat="1" applyFont="1" applyFill="1" applyBorder="1" applyAlignment="1">
      <alignment horizontal="left" vertical="center"/>
    </xf>
    <xf numFmtId="10" fontId="0" fillId="0" borderId="0" xfId="0" applyNumberFormat="1"/>
    <xf numFmtId="0" fontId="10" fillId="4" borderId="12" xfId="0" applyFont="1" applyFill="1" applyBorder="1" applyAlignment="1">
      <alignment horizontal="left" vertical="center" wrapText="1" indent="1"/>
    </xf>
    <xf numFmtId="10" fontId="7" fillId="4" borderId="0" xfId="1" applyNumberFormat="1" applyFont="1" applyFill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10" fontId="5" fillId="4" borderId="13" xfId="1" applyNumberFormat="1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10" fontId="5" fillId="4" borderId="15" xfId="1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1" indent="1"/>
    </xf>
    <xf numFmtId="0" fontId="8" fillId="4" borderId="16" xfId="0" applyFont="1" applyFill="1" applyBorder="1" applyAlignment="1">
      <alignment horizontal="left" vertical="center" wrapText="1" indent="1"/>
    </xf>
    <xf numFmtId="0" fontId="6" fillId="4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2" fillId="4" borderId="8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10" fontId="5" fillId="5" borderId="7" xfId="0" applyNumberFormat="1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10" fontId="7" fillId="0" borderId="5" xfId="1" applyNumberFormat="1" applyFont="1" applyBorder="1" applyAlignment="1">
      <alignment horizontal="left" vertical="center"/>
    </xf>
    <xf numFmtId="10" fontId="7" fillId="0" borderId="0" xfId="1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7E98-42FB-CC41-8BEF-B3C0E62E0D68}">
  <dimension ref="A1:AEV75"/>
  <sheetViews>
    <sheetView topLeftCell="A48" workbookViewId="0">
      <selection activeCell="J76" sqref="J76"/>
    </sheetView>
  </sheetViews>
  <sheetFormatPr baseColWidth="10" defaultColWidth="9" defaultRowHeight="16" x14ac:dyDescent="0.2"/>
  <cols>
    <col min="1" max="1" width="47.33203125" style="75" customWidth="1"/>
    <col min="2" max="2" width="17.33203125" style="76" customWidth="1"/>
    <col min="3" max="3" width="33.5" style="12" customWidth="1"/>
    <col min="4" max="4" width="27.33203125" style="79" customWidth="1"/>
    <col min="5" max="6" width="27.33203125" style="12" customWidth="1"/>
    <col min="7" max="7" width="27" style="12" customWidth="1"/>
    <col min="8" max="8" width="25.6640625" style="76" customWidth="1"/>
    <col min="9" max="9" width="23" style="12" customWidth="1"/>
    <col min="10" max="10" width="27.6640625" style="79" customWidth="1"/>
    <col min="11" max="11" width="37.83203125" style="76" customWidth="1"/>
    <col min="12" max="12" width="17.1640625" style="12" customWidth="1"/>
    <col min="13" max="13" width="21.5" style="79" customWidth="1"/>
    <col min="14" max="14" width="13" style="12" customWidth="1"/>
    <col min="15" max="15" width="12.1640625" style="12" customWidth="1"/>
    <col min="16" max="20" width="9" style="68"/>
    <col min="21" max="16384" width="9" style="12"/>
  </cols>
  <sheetData>
    <row r="1" spans="1:828" s="6" customFormat="1" ht="26" thickBot="1" x14ac:dyDescent="0.25">
      <c r="A1" s="1" t="s">
        <v>0</v>
      </c>
      <c r="B1" s="2">
        <v>2007</v>
      </c>
      <c r="C1" s="3" t="s">
        <v>1</v>
      </c>
      <c r="D1" s="4" t="s">
        <v>2</v>
      </c>
      <c r="E1" s="2">
        <v>2007</v>
      </c>
      <c r="F1" s="3" t="s">
        <v>3</v>
      </c>
      <c r="G1" s="3" t="s">
        <v>4</v>
      </c>
      <c r="H1" s="2">
        <v>2017</v>
      </c>
      <c r="I1" s="3" t="s">
        <v>5</v>
      </c>
      <c r="J1" s="4" t="s">
        <v>6</v>
      </c>
      <c r="K1" s="2">
        <v>2017</v>
      </c>
      <c r="L1" s="3" t="s">
        <v>7</v>
      </c>
      <c r="M1" s="4" t="s">
        <v>8</v>
      </c>
      <c r="N1" s="5"/>
      <c r="O1" s="5"/>
      <c r="P1"/>
      <c r="Q1"/>
      <c r="R1"/>
      <c r="S1"/>
      <c r="T1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</row>
    <row r="2" spans="1:828" s="13" customFormat="1" ht="19" x14ac:dyDescent="0.2">
      <c r="A2" s="7" t="s">
        <v>9</v>
      </c>
      <c r="B2" s="8"/>
      <c r="C2" s="9" t="s">
        <v>10</v>
      </c>
      <c r="D2" s="10">
        <v>0</v>
      </c>
      <c r="E2" s="9"/>
      <c r="F2" s="9"/>
      <c r="G2" s="9"/>
      <c r="H2" s="8">
        <f>J2/J74</f>
        <v>0.40376791756967417</v>
      </c>
      <c r="I2" s="9" t="s">
        <v>11</v>
      </c>
      <c r="J2" s="11">
        <v>42478</v>
      </c>
      <c r="K2" s="8"/>
      <c r="L2" s="9"/>
      <c r="M2" s="10"/>
      <c r="N2" s="12"/>
      <c r="O2" s="12"/>
      <c r="P2"/>
      <c r="Q2"/>
      <c r="R2"/>
      <c r="S2"/>
      <c r="T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</row>
    <row r="3" spans="1:828" s="13" customFormat="1" ht="18" x14ac:dyDescent="0.2">
      <c r="A3" s="14"/>
      <c r="B3" s="15"/>
      <c r="C3" s="16"/>
      <c r="D3" s="11"/>
      <c r="E3" s="16"/>
      <c r="F3" s="16"/>
      <c r="G3" s="16"/>
      <c r="H3" s="15"/>
      <c r="I3" s="16"/>
      <c r="J3" s="11"/>
      <c r="K3" s="15"/>
      <c r="L3" s="16"/>
      <c r="M3" s="11"/>
      <c r="N3" s="12"/>
      <c r="O3" s="12"/>
      <c r="P3"/>
      <c r="Q3"/>
      <c r="R3"/>
      <c r="S3"/>
      <c r="T3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</row>
    <row r="4" spans="1:828" s="13" customFormat="1" ht="19" thickBot="1" x14ac:dyDescent="0.25">
      <c r="A4" s="17"/>
      <c r="B4" s="18"/>
      <c r="C4" s="19"/>
      <c r="D4" s="20"/>
      <c r="E4" s="19"/>
      <c r="F4" s="19"/>
      <c r="G4" s="19"/>
      <c r="H4" s="18"/>
      <c r="I4" s="19"/>
      <c r="J4" s="20"/>
      <c r="K4" s="18"/>
      <c r="L4" s="19"/>
      <c r="M4" s="20"/>
      <c r="N4" s="12"/>
      <c r="O4" s="12"/>
      <c r="P4"/>
      <c r="Q4"/>
      <c r="R4"/>
      <c r="S4"/>
      <c r="T4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</row>
    <row r="5" spans="1:828" s="27" customFormat="1" ht="19" x14ac:dyDescent="0.2">
      <c r="A5" s="21" t="s">
        <v>12</v>
      </c>
      <c r="B5" s="22">
        <f>D5/$D$74</f>
        <v>1.7752740278150974E-2</v>
      </c>
      <c r="C5" s="23" t="s">
        <v>13</v>
      </c>
      <c r="D5" s="24">
        <f>1904+12</f>
        <v>1916</v>
      </c>
      <c r="E5" s="25"/>
      <c r="F5" s="25"/>
      <c r="G5" s="25"/>
      <c r="H5" s="26">
        <f>J5/J74</f>
        <v>1.9619025892551614E-2</v>
      </c>
      <c r="I5" s="25" t="s">
        <v>14</v>
      </c>
      <c r="J5" s="24">
        <v>2064</v>
      </c>
      <c r="K5" s="26"/>
      <c r="L5" s="25"/>
      <c r="M5" s="24"/>
      <c r="N5" s="12"/>
      <c r="O5" s="12"/>
      <c r="P5"/>
      <c r="Q5"/>
      <c r="R5"/>
      <c r="S5"/>
      <c r="T5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</row>
    <row r="6" spans="1:828" s="27" customFormat="1" ht="18" x14ac:dyDescent="0.2">
      <c r="A6" s="28"/>
      <c r="B6" s="29"/>
      <c r="C6" s="23"/>
      <c r="D6" s="29"/>
      <c r="E6" s="23"/>
      <c r="F6" s="23"/>
      <c r="G6" s="23"/>
      <c r="H6" s="30"/>
      <c r="I6" s="31"/>
      <c r="J6" s="32"/>
      <c r="K6" s="30"/>
      <c r="L6" s="31"/>
      <c r="M6" s="32"/>
      <c r="N6" s="12"/>
      <c r="O6" s="12"/>
      <c r="P6"/>
      <c r="Q6"/>
      <c r="R6"/>
      <c r="S6"/>
      <c r="T6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</row>
    <row r="7" spans="1:828" s="27" customFormat="1" ht="18" x14ac:dyDescent="0.2">
      <c r="A7" s="28"/>
      <c r="B7" s="29"/>
      <c r="C7" s="23"/>
      <c r="D7" s="29"/>
      <c r="E7" s="23"/>
      <c r="F7" s="23"/>
      <c r="G7" s="23"/>
      <c r="H7" s="30"/>
      <c r="I7" s="23"/>
      <c r="J7" s="29"/>
      <c r="K7" s="30"/>
      <c r="L7" s="23"/>
      <c r="M7" s="29"/>
      <c r="N7" s="12"/>
      <c r="O7" s="12"/>
      <c r="P7"/>
      <c r="Q7"/>
      <c r="R7"/>
      <c r="S7"/>
      <c r="T7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</row>
    <row r="8" spans="1:828" s="27" customFormat="1" ht="18" x14ac:dyDescent="0.2">
      <c r="A8" s="28"/>
      <c r="B8" s="29"/>
      <c r="C8" s="23"/>
      <c r="D8" s="29"/>
      <c r="E8" s="23"/>
      <c r="F8" s="23"/>
      <c r="G8" s="23"/>
      <c r="H8" s="30"/>
      <c r="I8" s="23"/>
      <c r="J8" s="29"/>
      <c r="K8" s="30"/>
      <c r="L8" s="23"/>
      <c r="M8" s="29"/>
      <c r="N8" s="12"/>
      <c r="O8" s="12"/>
      <c r="P8"/>
      <c r="Q8"/>
      <c r="R8"/>
      <c r="S8"/>
      <c r="T8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</row>
    <row r="9" spans="1:828" s="27" customFormat="1" ht="18" x14ac:dyDescent="0.2">
      <c r="A9" s="28"/>
      <c r="B9" s="29"/>
      <c r="C9" s="23"/>
      <c r="D9" s="29"/>
      <c r="E9" s="23"/>
      <c r="F9" s="23"/>
      <c r="G9" s="23"/>
      <c r="H9" s="30"/>
      <c r="I9" s="23"/>
      <c r="J9" s="29"/>
      <c r="K9" s="30"/>
      <c r="L9" s="23"/>
      <c r="M9" s="29"/>
      <c r="N9" s="12"/>
      <c r="O9" s="12"/>
      <c r="P9"/>
      <c r="Q9"/>
      <c r="R9"/>
      <c r="S9"/>
      <c r="T9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</row>
    <row r="10" spans="1:828" s="27" customFormat="1" ht="19" thickBot="1" x14ac:dyDescent="0.25">
      <c r="A10" s="28"/>
      <c r="B10" s="29"/>
      <c r="C10" s="23"/>
      <c r="D10" s="29"/>
      <c r="E10" s="23"/>
      <c r="F10" s="23"/>
      <c r="G10" s="23"/>
      <c r="H10" s="30"/>
      <c r="I10" s="23"/>
      <c r="J10" s="29"/>
      <c r="K10" s="30"/>
      <c r="L10" s="23"/>
      <c r="M10" s="29"/>
      <c r="N10" s="12"/>
      <c r="O10" s="12"/>
      <c r="P10"/>
      <c r="Q10"/>
      <c r="R10"/>
      <c r="S10"/>
      <c r="T10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</row>
    <row r="11" spans="1:828" s="33" customFormat="1" ht="19" x14ac:dyDescent="0.2">
      <c r="A11" s="7" t="s">
        <v>15</v>
      </c>
      <c r="B11" s="26">
        <f t="shared" ref="B11:B66" si="0">D11/$D$74</f>
        <v>0.27609402651792414</v>
      </c>
      <c r="C11" s="9" t="s">
        <v>16</v>
      </c>
      <c r="D11" s="10">
        <v>29798</v>
      </c>
      <c r="E11" s="9"/>
      <c r="F11" s="9"/>
      <c r="G11" s="9"/>
      <c r="H11" s="8">
        <f>J11/J74</f>
        <v>0.29541652408653662</v>
      </c>
      <c r="I11" s="9" t="s">
        <v>17</v>
      </c>
      <c r="J11" s="10">
        <v>31079</v>
      </c>
      <c r="K11" s="8"/>
      <c r="L11" s="9"/>
      <c r="M11" s="10"/>
      <c r="N11" s="12"/>
      <c r="O11" s="12"/>
      <c r="P11"/>
      <c r="Q11"/>
      <c r="R11"/>
      <c r="S11"/>
      <c r="T11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</row>
    <row r="12" spans="1:828" s="13" customFormat="1" ht="18" x14ac:dyDescent="0.2">
      <c r="A12" s="34"/>
      <c r="B12" s="16"/>
      <c r="C12" s="16"/>
      <c r="D12" s="11"/>
      <c r="E12" s="16"/>
      <c r="F12" s="16"/>
      <c r="G12" s="16"/>
      <c r="H12" s="15"/>
      <c r="I12" s="16"/>
      <c r="J12" s="11"/>
      <c r="K12" s="15"/>
      <c r="L12" s="16"/>
      <c r="M12" s="11"/>
      <c r="N12" s="12"/>
      <c r="O12" s="12"/>
      <c r="P12"/>
      <c r="Q12"/>
      <c r="R12"/>
      <c r="S12"/>
      <c r="T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</row>
    <row r="13" spans="1:828" s="13" customFormat="1" ht="18" x14ac:dyDescent="0.2">
      <c r="A13" s="34"/>
      <c r="B13" s="16"/>
      <c r="C13" s="16"/>
      <c r="D13" s="11"/>
      <c r="E13" s="16"/>
      <c r="F13" s="16"/>
      <c r="G13" s="16"/>
      <c r="H13" s="15"/>
      <c r="I13" s="35"/>
      <c r="J13" s="36"/>
      <c r="K13" s="15"/>
      <c r="L13" s="35"/>
      <c r="M13" s="36"/>
      <c r="N13" s="12"/>
      <c r="O13" s="12"/>
      <c r="P13"/>
      <c r="Q13"/>
      <c r="R13"/>
      <c r="S13"/>
      <c r="T13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</row>
    <row r="14" spans="1:828" s="13" customFormat="1" ht="18" x14ac:dyDescent="0.2">
      <c r="A14" s="34"/>
      <c r="B14" s="16"/>
      <c r="C14" s="16"/>
      <c r="D14" s="11"/>
      <c r="E14" s="16"/>
      <c r="F14" s="16"/>
      <c r="G14" s="16"/>
      <c r="H14" s="15"/>
      <c r="I14" s="35"/>
      <c r="J14" s="36"/>
      <c r="K14" s="15"/>
      <c r="L14" s="35"/>
      <c r="M14" s="36"/>
      <c r="N14" s="12"/>
      <c r="O14" s="12"/>
      <c r="P14"/>
      <c r="Q14"/>
      <c r="R14"/>
      <c r="S14"/>
      <c r="T14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</row>
    <row r="15" spans="1:828" s="13" customFormat="1" ht="18" x14ac:dyDescent="0.2">
      <c r="A15" s="34"/>
      <c r="B15" s="16"/>
      <c r="C15" s="16"/>
      <c r="D15" s="11"/>
      <c r="E15" s="16"/>
      <c r="F15" s="16"/>
      <c r="G15" s="16"/>
      <c r="H15" s="15"/>
      <c r="I15" s="35"/>
      <c r="J15" s="36"/>
      <c r="K15" s="15"/>
      <c r="L15" s="35"/>
      <c r="M15" s="36"/>
      <c r="N15" s="12"/>
      <c r="O15" s="12"/>
      <c r="P15"/>
      <c r="Q15"/>
      <c r="R15"/>
      <c r="S15"/>
      <c r="T15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</row>
    <row r="16" spans="1:828" s="13" customFormat="1" ht="18" x14ac:dyDescent="0.2">
      <c r="A16" s="34"/>
      <c r="B16" s="16"/>
      <c r="C16" s="16"/>
      <c r="D16" s="11"/>
      <c r="E16" s="16"/>
      <c r="F16" s="16"/>
      <c r="G16" s="16"/>
      <c r="H16" s="15"/>
      <c r="I16" s="35"/>
      <c r="J16" s="36"/>
      <c r="K16" s="15"/>
      <c r="L16" s="35"/>
      <c r="M16" s="36"/>
      <c r="N16" s="12"/>
      <c r="O16" s="12"/>
      <c r="P16"/>
      <c r="Q16"/>
      <c r="R16"/>
      <c r="S16"/>
      <c r="T16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</row>
    <row r="17" spans="1:828" s="13" customFormat="1" ht="18" x14ac:dyDescent="0.2">
      <c r="A17" s="34"/>
      <c r="B17" s="16"/>
      <c r="C17" s="16"/>
      <c r="D17" s="11"/>
      <c r="E17" s="16"/>
      <c r="F17" s="16"/>
      <c r="G17" s="16"/>
      <c r="H17" s="15"/>
      <c r="I17" s="35"/>
      <c r="J17" s="36"/>
      <c r="K17" s="15"/>
      <c r="L17" s="35"/>
      <c r="M17" s="36"/>
      <c r="N17" s="12"/>
      <c r="O17" s="12"/>
      <c r="P17"/>
      <c r="Q17"/>
      <c r="R17"/>
      <c r="S17"/>
      <c r="T17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</row>
    <row r="18" spans="1:828" s="13" customFormat="1" ht="18" x14ac:dyDescent="0.2">
      <c r="A18" s="34"/>
      <c r="B18" s="16"/>
      <c r="C18" s="16"/>
      <c r="D18" s="11"/>
      <c r="E18" s="16"/>
      <c r="F18" s="16"/>
      <c r="G18" s="16"/>
      <c r="H18" s="15"/>
      <c r="I18" s="35"/>
      <c r="J18" s="36"/>
      <c r="K18" s="15"/>
      <c r="L18" s="35"/>
      <c r="M18" s="36"/>
      <c r="N18" s="12"/>
      <c r="O18" s="12"/>
      <c r="P18"/>
      <c r="Q18"/>
      <c r="R18"/>
      <c r="S18"/>
      <c r="T18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</row>
    <row r="19" spans="1:828" s="13" customFormat="1" ht="19" thickBot="1" x14ac:dyDescent="0.25">
      <c r="A19" s="14"/>
      <c r="B19" s="16"/>
      <c r="C19" s="16"/>
      <c r="D19" s="11"/>
      <c r="E19" s="16"/>
      <c r="F19" s="16"/>
      <c r="G19" s="16"/>
      <c r="H19" s="15"/>
      <c r="I19" s="16"/>
      <c r="J19" s="11"/>
      <c r="K19" s="15"/>
      <c r="L19" s="16"/>
      <c r="M19" s="11"/>
      <c r="N19" s="12"/>
      <c r="O19" s="12"/>
      <c r="P19"/>
      <c r="Q19"/>
      <c r="R19"/>
      <c r="S19"/>
      <c r="T19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</row>
    <row r="20" spans="1:828" s="38" customFormat="1" ht="19" x14ac:dyDescent="0.2">
      <c r="A20" s="21" t="s">
        <v>18</v>
      </c>
      <c r="B20" s="37">
        <f t="shared" si="0"/>
        <v>6.5497975483428617E-2</v>
      </c>
      <c r="C20" s="25" t="s">
        <v>19</v>
      </c>
      <c r="D20" s="24">
        <v>7069</v>
      </c>
      <c r="E20" s="25"/>
      <c r="F20" s="25"/>
      <c r="G20" s="25"/>
      <c r="H20" s="26">
        <f>SUM(J20:J23)/J74</f>
        <v>7.1945933614691454E-2</v>
      </c>
      <c r="I20" s="25" t="s">
        <v>20</v>
      </c>
      <c r="J20" s="24">
        <v>831</v>
      </c>
      <c r="K20" s="26"/>
      <c r="L20" s="25"/>
      <c r="M20" s="24"/>
      <c r="N20" s="12"/>
      <c r="O20" s="12"/>
      <c r="P20"/>
      <c r="Q20"/>
      <c r="R20"/>
      <c r="S20"/>
      <c r="T20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</row>
    <row r="21" spans="1:828" s="27" customFormat="1" ht="18" x14ac:dyDescent="0.2">
      <c r="A21" s="28"/>
      <c r="B21" s="23"/>
      <c r="C21" s="23"/>
      <c r="D21" s="29"/>
      <c r="E21" s="23"/>
      <c r="F21" s="23"/>
      <c r="G21" s="23"/>
      <c r="H21" s="30"/>
      <c r="I21" s="23" t="s">
        <v>21</v>
      </c>
      <c r="J21" s="29">
        <v>6029</v>
      </c>
      <c r="K21" s="30"/>
      <c r="L21" s="23"/>
      <c r="M21" s="29"/>
      <c r="N21" s="12"/>
      <c r="O21" s="12"/>
      <c r="P21"/>
      <c r="Q21"/>
      <c r="R21"/>
      <c r="S21"/>
      <c r="T21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</row>
    <row r="22" spans="1:828" s="27" customFormat="1" ht="18" x14ac:dyDescent="0.2">
      <c r="A22" s="28"/>
      <c r="B22" s="23"/>
      <c r="C22" s="23"/>
      <c r="D22" s="29"/>
      <c r="E22" s="23"/>
      <c r="F22" s="23"/>
      <c r="G22" s="23"/>
      <c r="H22" s="30"/>
      <c r="I22" s="23" t="s">
        <v>22</v>
      </c>
      <c r="J22" s="29">
        <v>167</v>
      </c>
      <c r="K22" s="30"/>
      <c r="L22" s="23"/>
      <c r="M22" s="29"/>
      <c r="N22" s="12"/>
      <c r="O22" s="12"/>
      <c r="P22"/>
      <c r="Q22"/>
      <c r="R22"/>
      <c r="S22"/>
      <c r="T2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</row>
    <row r="23" spans="1:828" s="27" customFormat="1" ht="18" x14ac:dyDescent="0.2">
      <c r="A23" s="28"/>
      <c r="B23" s="23"/>
      <c r="C23" s="23"/>
      <c r="D23" s="29"/>
      <c r="E23" s="23"/>
      <c r="F23" s="23"/>
      <c r="G23" s="23"/>
      <c r="H23" s="30"/>
      <c r="I23" s="23" t="s">
        <v>23</v>
      </c>
      <c r="J23" s="29">
        <v>542</v>
      </c>
      <c r="K23" s="30"/>
      <c r="L23" s="23"/>
      <c r="M23" s="29"/>
      <c r="N23" s="12"/>
      <c r="O23" s="12"/>
      <c r="P23"/>
      <c r="Q23"/>
      <c r="R23"/>
      <c r="S23"/>
      <c r="T23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</row>
    <row r="24" spans="1:828" s="27" customFormat="1" ht="18" x14ac:dyDescent="0.2">
      <c r="A24" s="28"/>
      <c r="B24" s="23"/>
      <c r="C24" s="23"/>
      <c r="D24" s="29"/>
      <c r="E24" s="23"/>
      <c r="F24" s="23"/>
      <c r="G24" s="23"/>
      <c r="H24" s="30"/>
      <c r="I24" s="23"/>
      <c r="J24" s="29"/>
      <c r="K24" s="30"/>
      <c r="L24" s="23"/>
      <c r="M24" s="29"/>
      <c r="N24" s="12"/>
      <c r="O24" s="12"/>
      <c r="P24"/>
      <c r="Q24"/>
      <c r="R24"/>
      <c r="S24"/>
      <c r="T24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</row>
    <row r="25" spans="1:828" s="27" customFormat="1" ht="18" x14ac:dyDescent="0.2">
      <c r="A25" s="28"/>
      <c r="B25" s="23"/>
      <c r="C25" s="23"/>
      <c r="D25" s="29"/>
      <c r="E25" s="23"/>
      <c r="F25" s="23"/>
      <c r="G25" s="23"/>
      <c r="H25" s="30"/>
      <c r="I25" s="23"/>
      <c r="J25" s="29"/>
      <c r="K25" s="30"/>
      <c r="L25" s="23"/>
      <c r="M25" s="29"/>
      <c r="N25" s="12"/>
      <c r="O25" s="12"/>
      <c r="P25"/>
      <c r="Q25"/>
      <c r="R25"/>
      <c r="S25"/>
      <c r="T2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</row>
    <row r="26" spans="1:828" s="27" customFormat="1" ht="18" x14ac:dyDescent="0.2">
      <c r="A26" s="28"/>
      <c r="B26" s="23"/>
      <c r="C26" s="23"/>
      <c r="D26" s="29"/>
      <c r="E26" s="23"/>
      <c r="F26" s="23"/>
      <c r="G26" s="23"/>
      <c r="H26" s="30"/>
      <c r="I26" s="23"/>
      <c r="J26" s="29"/>
      <c r="K26" s="30"/>
      <c r="L26" s="23"/>
      <c r="M26" s="29"/>
      <c r="N26" s="12"/>
      <c r="O26" s="12"/>
      <c r="P26"/>
      <c r="Q26"/>
      <c r="R26"/>
      <c r="S26"/>
      <c r="T26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</row>
    <row r="27" spans="1:828" s="43" customFormat="1" ht="19" thickBot="1" x14ac:dyDescent="0.25">
      <c r="A27" s="39"/>
      <c r="B27" s="23"/>
      <c r="C27" s="40"/>
      <c r="D27" s="41"/>
      <c r="E27" s="40"/>
      <c r="F27" s="40"/>
      <c r="H27" s="42"/>
      <c r="I27" s="40"/>
      <c r="J27" s="41"/>
      <c r="K27" s="42"/>
      <c r="L27" s="40"/>
      <c r="M27" s="41"/>
      <c r="N27" s="12"/>
      <c r="O27" s="12"/>
      <c r="P27"/>
      <c r="Q27"/>
      <c r="R27"/>
      <c r="S27"/>
      <c r="T27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</row>
    <row r="28" spans="1:828" s="13" customFormat="1" ht="19" x14ac:dyDescent="0.2">
      <c r="A28" s="14" t="s">
        <v>24</v>
      </c>
      <c r="B28" s="44">
        <f t="shared" si="0"/>
        <v>2.7147979652913544E-3</v>
      </c>
      <c r="C28" s="16" t="s">
        <v>25</v>
      </c>
      <c r="D28" s="11">
        <f>292+1</f>
        <v>293</v>
      </c>
      <c r="E28" s="16"/>
      <c r="F28" s="16"/>
      <c r="H28" s="45">
        <f>J28/J74</f>
        <v>1.2138321736816091E-2</v>
      </c>
      <c r="I28" s="16" t="s">
        <v>26</v>
      </c>
      <c r="J28" s="11">
        <v>1277</v>
      </c>
      <c r="K28" s="45"/>
      <c r="L28" s="16"/>
      <c r="M28" s="11"/>
      <c r="N28" s="12"/>
      <c r="O28" s="12"/>
      <c r="P28"/>
      <c r="Q28"/>
      <c r="R28"/>
      <c r="S28"/>
      <c r="T28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</row>
    <row r="29" spans="1:828" s="13" customFormat="1" ht="18" x14ac:dyDescent="0.2">
      <c r="A29" s="14"/>
      <c r="B29" s="16"/>
      <c r="C29" s="16"/>
      <c r="D29" s="11"/>
      <c r="E29" s="16"/>
      <c r="F29" s="16"/>
      <c r="H29" s="15"/>
      <c r="I29" s="16"/>
      <c r="J29" s="11"/>
      <c r="K29" s="15"/>
      <c r="L29" s="16"/>
      <c r="M29" s="11"/>
      <c r="N29" s="12"/>
      <c r="O29" s="12"/>
      <c r="P29"/>
      <c r="Q29"/>
      <c r="R29"/>
      <c r="S29"/>
      <c r="T2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</row>
    <row r="30" spans="1:828" s="13" customFormat="1" ht="18" x14ac:dyDescent="0.2">
      <c r="A30" s="14"/>
      <c r="B30" s="16"/>
      <c r="C30" s="16"/>
      <c r="D30" s="11"/>
      <c r="E30" s="16"/>
      <c r="F30" s="16"/>
      <c r="H30" s="15"/>
      <c r="I30" s="16"/>
      <c r="J30" s="11"/>
      <c r="K30" s="15"/>
      <c r="L30" s="16"/>
      <c r="M30" s="11"/>
      <c r="N30" s="12"/>
      <c r="O30" s="12"/>
      <c r="P30"/>
      <c r="Q30"/>
      <c r="R30"/>
      <c r="S30"/>
      <c r="T30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</row>
    <row r="31" spans="1:828" s="13" customFormat="1" ht="18" x14ac:dyDescent="0.2">
      <c r="A31" s="14"/>
      <c r="B31" s="16"/>
      <c r="C31" s="16"/>
      <c r="D31" s="11"/>
      <c r="E31" s="16"/>
      <c r="F31" s="16"/>
      <c r="H31" s="15"/>
      <c r="I31" s="16"/>
      <c r="J31" s="11"/>
      <c r="K31" s="15"/>
      <c r="L31" s="16"/>
      <c r="M31" s="11"/>
      <c r="N31" s="12"/>
      <c r="O31" s="12"/>
      <c r="P31"/>
      <c r="Q31"/>
      <c r="R31"/>
      <c r="S31"/>
      <c r="T31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</row>
    <row r="32" spans="1:828" s="13" customFormat="1" ht="18" x14ac:dyDescent="0.2">
      <c r="A32" s="14"/>
      <c r="B32" s="16"/>
      <c r="C32" s="16"/>
      <c r="D32" s="11"/>
      <c r="E32" s="16"/>
      <c r="F32" s="16"/>
      <c r="H32" s="15"/>
      <c r="I32" s="16"/>
      <c r="J32" s="11"/>
      <c r="K32" s="15"/>
      <c r="L32" s="16"/>
      <c r="M32" s="11"/>
      <c r="N32" s="12"/>
      <c r="O32" s="12"/>
      <c r="P32"/>
      <c r="Q32"/>
      <c r="R32"/>
      <c r="S32"/>
      <c r="T3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</row>
    <row r="33" spans="1:828" s="13" customFormat="1" ht="19" thickBot="1" x14ac:dyDescent="0.25">
      <c r="A33" s="17"/>
      <c r="B33" s="16"/>
      <c r="C33" s="19"/>
      <c r="D33" s="20"/>
      <c r="E33" s="19"/>
      <c r="F33" s="19"/>
      <c r="G33" s="19"/>
      <c r="H33" s="18"/>
      <c r="I33" s="19"/>
      <c r="J33" s="20"/>
      <c r="K33" s="18"/>
      <c r="L33" s="19"/>
      <c r="M33" s="20"/>
      <c r="N33" s="12"/>
      <c r="O33" s="12"/>
      <c r="P33"/>
      <c r="Q33"/>
      <c r="R33"/>
      <c r="S33"/>
      <c r="T3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</row>
    <row r="34" spans="1:828" s="27" customFormat="1" ht="19" x14ac:dyDescent="0.2">
      <c r="A34" s="21" t="s">
        <v>27</v>
      </c>
      <c r="B34" s="46">
        <f t="shared" si="0"/>
        <v>6.5794472189535519E-2</v>
      </c>
      <c r="C34" s="25" t="s">
        <v>28</v>
      </c>
      <c r="D34" s="24">
        <f>4354+15+2732</f>
        <v>7101</v>
      </c>
      <c r="E34" s="46">
        <f>SUM(G34:G41)/D74</f>
        <v>0.20160849463062996</v>
      </c>
      <c r="F34" s="23" t="s">
        <v>67</v>
      </c>
      <c r="G34" s="29">
        <v>17964</v>
      </c>
      <c r="H34" s="26">
        <f>SUM(J34:J38)/J74</f>
        <v>6.8124786129804951E-2</v>
      </c>
      <c r="I34" s="25" t="s">
        <v>29</v>
      </c>
      <c r="J34" s="24">
        <v>7090</v>
      </c>
      <c r="K34" s="26">
        <f>SUM(M34:M42)/J74</f>
        <v>0.16041215162921563</v>
      </c>
      <c r="L34" s="25" t="s">
        <v>30</v>
      </c>
      <c r="M34" s="24">
        <v>592</v>
      </c>
      <c r="N34" s="47">
        <f>G34/$D$74</f>
        <v>0.16644583839076413</v>
      </c>
      <c r="O34" s="47">
        <f>M34/$J$74</f>
        <v>5.6271624653055014E-3</v>
      </c>
      <c r="P34" s="48"/>
      <c r="Q34"/>
      <c r="R34"/>
      <c r="S34"/>
      <c r="T34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</row>
    <row r="35" spans="1:828" s="27" customFormat="1" ht="18" x14ac:dyDescent="0.2">
      <c r="A35" s="49"/>
      <c r="D35" s="29"/>
      <c r="E35" s="23"/>
      <c r="F35" s="23" t="s">
        <v>69</v>
      </c>
      <c r="G35" s="29">
        <v>1625</v>
      </c>
      <c r="H35" s="50"/>
      <c r="I35" s="23"/>
      <c r="J35" s="29"/>
      <c r="K35" s="50"/>
      <c r="L35" s="23" t="s">
        <v>31</v>
      </c>
      <c r="M35" s="29">
        <v>14334</v>
      </c>
      <c r="N35" s="47">
        <f t="shared" ref="N35:N61" si="1">G35/$D$74</f>
        <v>1.50564733569913E-2</v>
      </c>
      <c r="O35" s="47">
        <f t="shared" ref="O35:O61" si="2">M35/$J$74</f>
        <v>0.1362495722596099</v>
      </c>
      <c r="P35" s="48"/>
      <c r="Q35"/>
      <c r="R35"/>
      <c r="S35"/>
      <c r="T3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</row>
    <row r="36" spans="1:828" s="27" customFormat="1" ht="18" x14ac:dyDescent="0.2">
      <c r="A36" s="28"/>
      <c r="D36" s="29"/>
      <c r="E36" s="23"/>
      <c r="F36" s="23" t="s">
        <v>71</v>
      </c>
      <c r="G36" s="29">
        <v>884</v>
      </c>
      <c r="H36" s="30"/>
      <c r="I36" s="23" t="s">
        <v>32</v>
      </c>
      <c r="J36" s="29">
        <v>76</v>
      </c>
      <c r="K36" s="30"/>
      <c r="L36" s="23" t="s">
        <v>33</v>
      </c>
      <c r="M36" s="29">
        <v>140</v>
      </c>
      <c r="N36" s="47">
        <f t="shared" si="1"/>
        <v>8.1907215062032666E-3</v>
      </c>
      <c r="O36" s="47">
        <f t="shared" si="2"/>
        <v>1.3307478803087334E-3</v>
      </c>
      <c r="P36" s="48"/>
      <c r="Q36"/>
      <c r="R36"/>
      <c r="S36"/>
      <c r="T36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</row>
    <row r="37" spans="1:828" s="27" customFormat="1" ht="18" x14ac:dyDescent="0.2">
      <c r="A37" s="28"/>
      <c r="D37" s="29"/>
      <c r="E37" s="23"/>
      <c r="F37" s="23" t="s">
        <v>72</v>
      </c>
      <c r="G37" s="29">
        <v>835</v>
      </c>
      <c r="H37" s="30"/>
      <c r="I37" s="23" t="s">
        <v>34</v>
      </c>
      <c r="J37" s="29">
        <v>1</v>
      </c>
      <c r="K37" s="30"/>
      <c r="L37" s="23"/>
      <c r="M37" s="29"/>
      <c r="N37" s="47">
        <f t="shared" si="1"/>
        <v>7.736710924977068E-3</v>
      </c>
      <c r="O37" s="47">
        <f t="shared" si="2"/>
        <v>0</v>
      </c>
      <c r="P37" s="48"/>
      <c r="Q37" s="51"/>
      <c r="R37"/>
      <c r="S37"/>
      <c r="T37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</row>
    <row r="38" spans="1:828" s="27" customFormat="1" ht="18" x14ac:dyDescent="0.2">
      <c r="A38" s="28"/>
      <c r="D38" s="29"/>
      <c r="E38" s="23"/>
      <c r="F38" s="27" t="s">
        <v>35</v>
      </c>
      <c r="G38" s="29">
        <v>230</v>
      </c>
      <c r="H38" s="30"/>
      <c r="I38" s="23" t="s">
        <v>36</v>
      </c>
      <c r="J38" s="29">
        <v>0</v>
      </c>
      <c r="K38" s="30"/>
      <c r="L38" s="23" t="s">
        <v>37</v>
      </c>
      <c r="M38" s="29">
        <v>772</v>
      </c>
      <c r="N38" s="47">
        <f t="shared" si="1"/>
        <v>2.1310700751433838E-3</v>
      </c>
      <c r="O38" s="47">
        <f t="shared" si="2"/>
        <v>7.3381240257024451E-3</v>
      </c>
      <c r="P38" s="48"/>
      <c r="Q38"/>
      <c r="R38"/>
      <c r="S38"/>
      <c r="T38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</row>
    <row r="39" spans="1:828" s="27" customFormat="1" ht="18" x14ac:dyDescent="0.2">
      <c r="A39" s="28"/>
      <c r="D39" s="29"/>
      <c r="E39" s="23"/>
      <c r="F39" s="27" t="s">
        <v>30</v>
      </c>
      <c r="G39" s="29">
        <v>197</v>
      </c>
      <c r="H39" s="30"/>
      <c r="I39" s="23"/>
      <c r="J39" s="29"/>
      <c r="K39" s="30"/>
      <c r="L39" s="23" t="s">
        <v>38</v>
      </c>
      <c r="M39" s="29">
        <v>467</v>
      </c>
      <c r="N39" s="47">
        <f t="shared" si="1"/>
        <v>1.8253078469706375E-3</v>
      </c>
      <c r="O39" s="47">
        <f t="shared" si="2"/>
        <v>4.4389947150298469E-3</v>
      </c>
      <c r="P39" s="48"/>
      <c r="Q39"/>
      <c r="R39"/>
      <c r="S39"/>
      <c r="T39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</row>
    <row r="40" spans="1:828" s="27" customFormat="1" ht="18" x14ac:dyDescent="0.2">
      <c r="A40" s="28"/>
      <c r="D40" s="29"/>
      <c r="E40" s="23"/>
      <c r="F40" s="23" t="s">
        <v>74</v>
      </c>
      <c r="G40" s="29">
        <v>17</v>
      </c>
      <c r="H40" s="30"/>
      <c r="I40" s="23"/>
      <c r="K40" s="30"/>
      <c r="L40" s="23" t="s">
        <v>39</v>
      </c>
      <c r="M40" s="29">
        <v>59</v>
      </c>
      <c r="N40" s="47">
        <f t="shared" si="1"/>
        <v>1.5751387511929359E-4</v>
      </c>
      <c r="O40" s="47">
        <f t="shared" si="2"/>
        <v>5.6081517813010907E-4</v>
      </c>
      <c r="P40" s="48"/>
      <c r="Q40"/>
      <c r="R40"/>
      <c r="S40"/>
      <c r="T40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</row>
    <row r="41" spans="1:828" s="27" customFormat="1" ht="18" x14ac:dyDescent="0.2">
      <c r="A41" s="28"/>
      <c r="D41" s="29"/>
      <c r="E41" s="23"/>
      <c r="F41" s="23" t="s">
        <v>40</v>
      </c>
      <c r="G41" s="29">
        <v>7</v>
      </c>
      <c r="H41" s="30"/>
      <c r="I41" s="23"/>
      <c r="J41" s="29"/>
      <c r="K41" s="30"/>
      <c r="L41" s="23" t="s">
        <v>41</v>
      </c>
      <c r="M41" s="29">
        <v>490</v>
      </c>
      <c r="N41" s="47">
        <f t="shared" si="1"/>
        <v>6.4858654460885599E-5</v>
      </c>
      <c r="O41" s="47">
        <f t="shared" si="2"/>
        <v>4.6576175810805675E-3</v>
      </c>
      <c r="P41" s="48"/>
      <c r="Q41"/>
      <c r="R41"/>
      <c r="S41"/>
      <c r="T41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</row>
    <row r="42" spans="1:828" s="27" customFormat="1" ht="18" x14ac:dyDescent="0.2">
      <c r="A42" s="28"/>
      <c r="D42" s="29"/>
      <c r="E42" s="23"/>
      <c r="F42" s="23"/>
      <c r="G42" s="23"/>
      <c r="H42" s="30"/>
      <c r="I42" s="23"/>
      <c r="J42" s="29"/>
      <c r="K42" s="30"/>
      <c r="L42" s="23" t="s">
        <v>42</v>
      </c>
      <c r="M42" s="29">
        <v>22</v>
      </c>
      <c r="N42" s="47">
        <f t="shared" si="1"/>
        <v>0</v>
      </c>
      <c r="O42" s="47">
        <f t="shared" si="2"/>
        <v>2.0911752404851526E-4</v>
      </c>
      <c r="P42" s="48"/>
      <c r="Q42"/>
      <c r="R42"/>
      <c r="S42"/>
      <c r="T4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</row>
    <row r="43" spans="1:828" s="27" customFormat="1" ht="18" x14ac:dyDescent="0.2">
      <c r="A43" s="28"/>
      <c r="C43" s="23"/>
      <c r="D43" s="29"/>
      <c r="E43" s="23"/>
      <c r="F43" s="23"/>
      <c r="G43" s="23"/>
      <c r="H43" s="30"/>
      <c r="I43" s="23"/>
      <c r="J43" s="29"/>
      <c r="K43" s="30"/>
      <c r="L43" s="23"/>
      <c r="M43" s="29"/>
      <c r="N43" s="47"/>
      <c r="O43" s="47"/>
      <c r="P43" s="4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</row>
    <row r="44" spans="1:828" s="27" customFormat="1" ht="18" x14ac:dyDescent="0.2">
      <c r="A44" s="28"/>
      <c r="C44" s="23"/>
      <c r="D44" s="29"/>
      <c r="E44" s="23"/>
      <c r="F44" s="23"/>
      <c r="G44" s="23"/>
      <c r="H44" s="30"/>
      <c r="I44" s="23"/>
      <c r="J44" s="29"/>
      <c r="K44" s="30"/>
      <c r="L44" s="23"/>
      <c r="M44" s="29"/>
      <c r="N44" s="47"/>
      <c r="O44" s="47"/>
      <c r="P44" s="4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</row>
    <row r="45" spans="1:828" s="27" customFormat="1" ht="18" x14ac:dyDescent="0.2">
      <c r="A45" s="28"/>
      <c r="C45" s="23"/>
      <c r="D45" s="29"/>
      <c r="E45" s="23"/>
      <c r="F45" s="23"/>
      <c r="G45" s="23"/>
      <c r="H45" s="30"/>
      <c r="I45" s="23"/>
      <c r="J45" s="29"/>
      <c r="K45" s="30"/>
      <c r="L45" s="23"/>
      <c r="M45" s="29"/>
      <c r="N45" s="47"/>
      <c r="O45" s="47"/>
      <c r="P45" s="4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</row>
    <row r="46" spans="1:828" s="27" customFormat="1" ht="18" x14ac:dyDescent="0.2">
      <c r="A46" s="28"/>
      <c r="C46" s="23"/>
      <c r="D46" s="29"/>
      <c r="E46" s="23"/>
      <c r="F46" s="23"/>
      <c r="G46" s="23"/>
      <c r="H46" s="30"/>
      <c r="I46" s="23"/>
      <c r="J46" s="29"/>
      <c r="K46" s="30"/>
      <c r="L46" s="23"/>
      <c r="M46" s="29"/>
      <c r="N46" s="47"/>
      <c r="O46" s="47"/>
      <c r="P46" s="48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</row>
    <row r="47" spans="1:828" s="60" customFormat="1" ht="19" x14ac:dyDescent="0.2">
      <c r="A47" s="52" t="s">
        <v>43</v>
      </c>
      <c r="B47" s="53">
        <f t="shared" si="0"/>
        <v>2.3627081267894039E-3</v>
      </c>
      <c r="C47" s="54" t="s">
        <v>44</v>
      </c>
      <c r="D47" s="55">
        <v>255</v>
      </c>
      <c r="E47" s="56">
        <f>SUM(G47:G49)/D74</f>
        <v>5.2072234010025293E-3</v>
      </c>
      <c r="F47" s="57" t="s">
        <v>73</v>
      </c>
      <c r="G47" s="57">
        <v>510</v>
      </c>
      <c r="H47" s="58">
        <f>J47/J74</f>
        <v>2.2907874225314626E-2</v>
      </c>
      <c r="I47" s="54" t="s">
        <v>45</v>
      </c>
      <c r="J47" s="55">
        <v>2410</v>
      </c>
      <c r="K47" s="58">
        <f>SUM(M47:M49)/J74</f>
        <v>2.2166457549142617E-2</v>
      </c>
      <c r="L47" s="54" t="s">
        <v>46</v>
      </c>
      <c r="M47" s="55">
        <v>2128</v>
      </c>
      <c r="N47" s="47">
        <f t="shared" si="1"/>
        <v>4.7254162535788078E-3</v>
      </c>
      <c r="O47" s="47">
        <f t="shared" si="2"/>
        <v>2.022736778069275E-2</v>
      </c>
      <c r="P47" s="48"/>
      <c r="Q47" s="12"/>
      <c r="R47" s="12"/>
      <c r="S47" s="12"/>
      <c r="T47" s="12"/>
      <c r="U47" s="12"/>
      <c r="V47" s="12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  <c r="QI47" s="59"/>
      <c r="QJ47" s="59"/>
      <c r="QK47" s="59"/>
      <c r="QL47" s="59"/>
      <c r="QM47" s="59"/>
      <c r="QN47" s="59"/>
      <c r="QO47" s="59"/>
      <c r="QP47" s="59"/>
      <c r="QQ47" s="59"/>
      <c r="QR47" s="59"/>
      <c r="QS47" s="59"/>
      <c r="QT47" s="59"/>
      <c r="QU47" s="59"/>
      <c r="QV47" s="59"/>
      <c r="QW47" s="59"/>
      <c r="QX47" s="59"/>
      <c r="QY47" s="59"/>
      <c r="QZ47" s="59"/>
      <c r="RA47" s="59"/>
      <c r="RB47" s="59"/>
      <c r="RC47" s="59"/>
      <c r="RD47" s="59"/>
      <c r="RE47" s="59"/>
      <c r="RF47" s="59"/>
      <c r="RG47" s="59"/>
      <c r="RH47" s="59"/>
      <c r="RI47" s="59"/>
      <c r="RJ47" s="59"/>
      <c r="RK47" s="59"/>
      <c r="RL47" s="59"/>
      <c r="RM47" s="59"/>
      <c r="RN47" s="59"/>
      <c r="RO47" s="59"/>
      <c r="RP47" s="59"/>
      <c r="RQ47" s="59"/>
      <c r="RR47" s="59"/>
      <c r="RS47" s="59"/>
      <c r="RT47" s="59"/>
      <c r="RU47" s="59"/>
      <c r="RV47" s="59"/>
      <c r="RW47" s="59"/>
      <c r="RX47" s="59"/>
      <c r="RY47" s="59"/>
      <c r="RZ47" s="59"/>
      <c r="SA47" s="59"/>
      <c r="SB47" s="59"/>
      <c r="SC47" s="59"/>
      <c r="SD47" s="59"/>
      <c r="SE47" s="59"/>
      <c r="SF47" s="59"/>
      <c r="SG47" s="59"/>
      <c r="SH47" s="59"/>
      <c r="SI47" s="59"/>
      <c r="SJ47" s="59"/>
      <c r="SK47" s="59"/>
      <c r="SL47" s="59"/>
      <c r="SM47" s="59"/>
      <c r="SN47" s="59"/>
      <c r="SO47" s="59"/>
      <c r="SP47" s="59"/>
      <c r="SQ47" s="59"/>
      <c r="SR47" s="59"/>
      <c r="SS47" s="59"/>
      <c r="ST47" s="59"/>
      <c r="SU47" s="59"/>
      <c r="SV47" s="59"/>
      <c r="SW47" s="59"/>
      <c r="SX47" s="59"/>
      <c r="SY47" s="59"/>
      <c r="SZ47" s="59"/>
      <c r="TA47" s="59"/>
      <c r="TB47" s="59"/>
      <c r="TC47" s="59"/>
      <c r="TD47" s="59"/>
      <c r="TE47" s="59"/>
      <c r="TF47" s="59"/>
      <c r="TG47" s="59"/>
      <c r="TH47" s="59"/>
      <c r="TI47" s="59"/>
      <c r="TJ47" s="59"/>
      <c r="TK47" s="59"/>
      <c r="TL47" s="59"/>
      <c r="TM47" s="59"/>
      <c r="TN47" s="59"/>
      <c r="TO47" s="59"/>
      <c r="TP47" s="59"/>
      <c r="TQ47" s="59"/>
      <c r="TR47" s="59"/>
      <c r="TS47" s="59"/>
      <c r="TT47" s="59"/>
      <c r="TU47" s="59"/>
      <c r="TV47" s="59"/>
      <c r="TW47" s="59"/>
      <c r="TX47" s="59"/>
      <c r="TY47" s="59"/>
      <c r="TZ47" s="59"/>
      <c r="UA47" s="59"/>
      <c r="UB47" s="59"/>
      <c r="UC47" s="59"/>
      <c r="UD47" s="59"/>
      <c r="UE47" s="59"/>
      <c r="UF47" s="59"/>
      <c r="UG47" s="59"/>
      <c r="UH47" s="59"/>
      <c r="UI47" s="59"/>
      <c r="UJ47" s="59"/>
      <c r="UK47" s="59"/>
      <c r="UL47" s="59"/>
      <c r="UM47" s="59"/>
      <c r="UN47" s="59"/>
      <c r="UO47" s="59"/>
      <c r="UP47" s="59"/>
      <c r="UQ47" s="59"/>
      <c r="UR47" s="59"/>
      <c r="US47" s="59"/>
      <c r="UT47" s="59"/>
      <c r="UU47" s="59"/>
      <c r="UV47" s="59"/>
      <c r="UW47" s="59"/>
      <c r="UX47" s="59"/>
      <c r="UY47" s="59"/>
      <c r="UZ47" s="59"/>
      <c r="VA47" s="59"/>
      <c r="VB47" s="59"/>
      <c r="VC47" s="59"/>
      <c r="VD47" s="59"/>
      <c r="VE47" s="59"/>
      <c r="VF47" s="59"/>
      <c r="VG47" s="59"/>
      <c r="VH47" s="59"/>
      <c r="VI47" s="59"/>
      <c r="VJ47" s="59"/>
      <c r="VK47" s="59"/>
      <c r="VL47" s="59"/>
      <c r="VM47" s="59"/>
      <c r="VN47" s="59"/>
      <c r="VO47" s="59"/>
      <c r="VP47" s="59"/>
      <c r="VQ47" s="59"/>
      <c r="VR47" s="59"/>
      <c r="VS47" s="59"/>
      <c r="VT47" s="59"/>
      <c r="VU47" s="59"/>
      <c r="VV47" s="59"/>
      <c r="VW47" s="59"/>
      <c r="VX47" s="59"/>
      <c r="VY47" s="59"/>
      <c r="VZ47" s="59"/>
      <c r="WA47" s="59"/>
      <c r="WB47" s="59"/>
      <c r="WC47" s="59"/>
      <c r="WD47" s="59"/>
      <c r="WE47" s="59"/>
      <c r="WF47" s="59"/>
      <c r="WG47" s="59"/>
      <c r="WH47" s="59"/>
      <c r="WI47" s="59"/>
      <c r="WJ47" s="59"/>
      <c r="WK47" s="59"/>
      <c r="WL47" s="59"/>
      <c r="WM47" s="59"/>
      <c r="WN47" s="59"/>
      <c r="WO47" s="59"/>
      <c r="WP47" s="59"/>
      <c r="WQ47" s="59"/>
      <c r="WR47" s="59"/>
      <c r="WS47" s="59"/>
      <c r="WT47" s="59"/>
      <c r="WU47" s="59"/>
      <c r="WV47" s="59"/>
      <c r="WW47" s="59"/>
      <c r="WX47" s="59"/>
      <c r="WY47" s="59"/>
      <c r="WZ47" s="59"/>
      <c r="XA47" s="59"/>
      <c r="XB47" s="59"/>
      <c r="XC47" s="59"/>
      <c r="XD47" s="59"/>
      <c r="XE47" s="59"/>
      <c r="XF47" s="59"/>
      <c r="XG47" s="59"/>
      <c r="XH47" s="59"/>
      <c r="XI47" s="59"/>
      <c r="XJ47" s="59"/>
      <c r="XK47" s="59"/>
      <c r="XL47" s="59"/>
      <c r="XM47" s="59"/>
      <c r="XN47" s="59"/>
      <c r="XO47" s="59"/>
      <c r="XP47" s="59"/>
      <c r="XQ47" s="59"/>
      <c r="XR47" s="59"/>
      <c r="XS47" s="59"/>
      <c r="XT47" s="59"/>
      <c r="XU47" s="59"/>
      <c r="XV47" s="59"/>
      <c r="XW47" s="59"/>
      <c r="XX47" s="59"/>
      <c r="XY47" s="59"/>
      <c r="XZ47" s="59"/>
      <c r="YA47" s="59"/>
      <c r="YB47" s="59"/>
      <c r="YC47" s="59"/>
      <c r="YD47" s="59"/>
      <c r="YE47" s="59"/>
      <c r="YF47" s="59"/>
      <c r="YG47" s="59"/>
      <c r="YH47" s="59"/>
      <c r="YI47" s="59"/>
      <c r="YJ47" s="59"/>
      <c r="YK47" s="59"/>
      <c r="YL47" s="59"/>
      <c r="YM47" s="59"/>
      <c r="YN47" s="59"/>
      <c r="YO47" s="59"/>
      <c r="YP47" s="59"/>
      <c r="YQ47" s="59"/>
      <c r="YR47" s="59"/>
      <c r="YS47" s="59"/>
      <c r="YT47" s="59"/>
      <c r="YU47" s="59"/>
      <c r="YV47" s="59"/>
      <c r="YW47" s="59"/>
      <c r="YX47" s="59"/>
      <c r="YY47" s="59"/>
      <c r="YZ47" s="59"/>
      <c r="ZA47" s="59"/>
      <c r="ZB47" s="59"/>
      <c r="ZC47" s="59"/>
      <c r="ZD47" s="59"/>
      <c r="ZE47" s="59"/>
      <c r="ZF47" s="59"/>
      <c r="ZG47" s="59"/>
      <c r="ZH47" s="59"/>
      <c r="ZI47" s="59"/>
      <c r="ZJ47" s="59"/>
      <c r="ZK47" s="59"/>
      <c r="ZL47" s="59"/>
      <c r="ZM47" s="59"/>
      <c r="ZN47" s="59"/>
      <c r="ZO47" s="59"/>
      <c r="ZP47" s="59"/>
      <c r="ZQ47" s="59"/>
      <c r="ZR47" s="59"/>
      <c r="ZS47" s="59"/>
      <c r="ZT47" s="59"/>
      <c r="ZU47" s="59"/>
      <c r="ZV47" s="59"/>
      <c r="ZW47" s="59"/>
      <c r="ZX47" s="59"/>
      <c r="ZY47" s="59"/>
      <c r="ZZ47" s="59"/>
      <c r="AAA47" s="59"/>
      <c r="AAB47" s="59"/>
      <c r="AAC47" s="59"/>
      <c r="AAD47" s="59"/>
      <c r="AAE47" s="59"/>
      <c r="AAF47" s="59"/>
      <c r="AAG47" s="59"/>
      <c r="AAH47" s="59"/>
      <c r="AAI47" s="59"/>
      <c r="AAJ47" s="59"/>
      <c r="AAK47" s="59"/>
      <c r="AAL47" s="59"/>
      <c r="AAM47" s="59"/>
      <c r="AAN47" s="59"/>
      <c r="AAO47" s="59"/>
      <c r="AAP47" s="59"/>
      <c r="AAQ47" s="59"/>
      <c r="AAR47" s="59"/>
      <c r="AAS47" s="59"/>
      <c r="AAT47" s="59"/>
      <c r="AAU47" s="59"/>
      <c r="AAV47" s="59"/>
      <c r="AAW47" s="59"/>
      <c r="AAX47" s="59"/>
      <c r="AAY47" s="59"/>
      <c r="AAZ47" s="59"/>
      <c r="ABA47" s="59"/>
      <c r="ABB47" s="59"/>
      <c r="ABC47" s="59"/>
      <c r="ABD47" s="59"/>
      <c r="ABE47" s="59"/>
      <c r="ABF47" s="59"/>
      <c r="ABG47" s="59"/>
      <c r="ABH47" s="59"/>
      <c r="ABI47" s="59"/>
      <c r="ABJ47" s="59"/>
      <c r="ABK47" s="59"/>
      <c r="ABL47" s="59"/>
      <c r="ABM47" s="59"/>
      <c r="ABN47" s="59"/>
      <c r="ABO47" s="59"/>
      <c r="ABP47" s="59"/>
      <c r="ABQ47" s="59"/>
      <c r="ABR47" s="59"/>
      <c r="ABS47" s="59"/>
      <c r="ABT47" s="59"/>
      <c r="ABU47" s="59"/>
      <c r="ABV47" s="59"/>
      <c r="ABW47" s="59"/>
      <c r="ABX47" s="59"/>
      <c r="ABY47" s="59"/>
      <c r="ABZ47" s="59"/>
      <c r="ACA47" s="59"/>
      <c r="ACB47" s="59"/>
      <c r="ACC47" s="59"/>
      <c r="ACD47" s="59"/>
      <c r="ACE47" s="59"/>
      <c r="ACF47" s="59"/>
      <c r="ACG47" s="59"/>
      <c r="ACH47" s="59"/>
      <c r="ACI47" s="59"/>
      <c r="ACJ47" s="59"/>
      <c r="ACK47" s="59"/>
      <c r="ACL47" s="59"/>
      <c r="ACM47" s="59"/>
      <c r="ACN47" s="59"/>
      <c r="ACO47" s="59"/>
      <c r="ACP47" s="59"/>
      <c r="ACQ47" s="59"/>
      <c r="ACR47" s="59"/>
      <c r="ACS47" s="59"/>
      <c r="ACT47" s="59"/>
      <c r="ACU47" s="59"/>
      <c r="ACV47" s="59"/>
      <c r="ACW47" s="59"/>
      <c r="ACX47" s="59"/>
      <c r="ACY47" s="59"/>
      <c r="ACZ47" s="59"/>
      <c r="ADA47" s="59"/>
      <c r="ADB47" s="59"/>
      <c r="ADC47" s="59"/>
      <c r="ADD47" s="59"/>
      <c r="ADE47" s="59"/>
      <c r="ADF47" s="59"/>
      <c r="ADG47" s="59"/>
      <c r="ADH47" s="59"/>
      <c r="ADI47" s="59"/>
      <c r="ADJ47" s="59"/>
      <c r="ADK47" s="59"/>
      <c r="ADL47" s="59"/>
      <c r="ADM47" s="59"/>
      <c r="ADN47" s="59"/>
      <c r="ADO47" s="59"/>
      <c r="ADP47" s="59"/>
      <c r="ADQ47" s="59"/>
      <c r="ADR47" s="59"/>
      <c r="ADS47" s="59"/>
      <c r="ADT47" s="59"/>
      <c r="ADU47" s="59"/>
      <c r="ADV47" s="59"/>
      <c r="ADW47" s="59"/>
      <c r="ADX47" s="59"/>
      <c r="ADY47" s="59"/>
      <c r="ADZ47" s="59"/>
      <c r="AEA47" s="59"/>
      <c r="AEB47" s="59"/>
      <c r="AEC47" s="59"/>
      <c r="AED47" s="59"/>
      <c r="AEE47" s="59"/>
      <c r="AEF47" s="59"/>
      <c r="AEG47" s="59"/>
      <c r="AEH47" s="59"/>
      <c r="AEI47" s="59"/>
      <c r="AEJ47" s="59"/>
      <c r="AEK47" s="59"/>
      <c r="AEL47" s="59"/>
      <c r="AEM47" s="59"/>
      <c r="AEN47" s="59"/>
      <c r="AEO47" s="59"/>
      <c r="AEP47" s="59"/>
      <c r="AEQ47" s="59"/>
      <c r="AER47" s="59"/>
      <c r="AES47" s="59"/>
      <c r="AET47" s="59"/>
      <c r="AEU47" s="59"/>
      <c r="AEV47" s="59"/>
    </row>
    <row r="48" spans="1:828" s="27" customFormat="1" ht="18" x14ac:dyDescent="0.2">
      <c r="A48" s="61"/>
      <c r="D48" s="29"/>
      <c r="E48" s="23"/>
      <c r="F48" s="27" t="s">
        <v>47</v>
      </c>
      <c r="G48" s="29">
        <v>36</v>
      </c>
      <c r="H48" s="30"/>
      <c r="K48" s="30"/>
      <c r="L48" s="23" t="s">
        <v>47</v>
      </c>
      <c r="M48" s="29">
        <v>134</v>
      </c>
      <c r="N48" s="47">
        <f t="shared" si="1"/>
        <v>3.335587943702688E-4</v>
      </c>
      <c r="O48" s="47">
        <f t="shared" si="2"/>
        <v>1.273715828295502E-3</v>
      </c>
      <c r="P48" s="48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</row>
    <row r="49" spans="1:828" s="27" customFormat="1" ht="18" x14ac:dyDescent="0.2">
      <c r="A49" s="61"/>
      <c r="D49" s="29"/>
      <c r="E49" s="23"/>
      <c r="F49" s="27" t="s">
        <v>75</v>
      </c>
      <c r="G49" s="29">
        <v>16</v>
      </c>
      <c r="H49" s="30"/>
      <c r="K49" s="30"/>
      <c r="L49" s="23" t="s">
        <v>48</v>
      </c>
      <c r="M49" s="29">
        <v>70</v>
      </c>
      <c r="N49" s="47">
        <f t="shared" si="1"/>
        <v>1.4824835305345279E-4</v>
      </c>
      <c r="O49" s="47">
        <f t="shared" si="2"/>
        <v>6.6537394015436671E-4</v>
      </c>
      <c r="P49" s="48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</row>
    <row r="50" spans="1:828" s="27" customFormat="1" ht="18" x14ac:dyDescent="0.2">
      <c r="A50" s="61"/>
      <c r="D50" s="29"/>
      <c r="E50" s="23"/>
      <c r="F50" s="23"/>
      <c r="G50" s="23"/>
      <c r="H50" s="30"/>
      <c r="K50" s="30"/>
      <c r="L50" s="23"/>
      <c r="M50" s="29"/>
      <c r="N50" s="47"/>
      <c r="O50" s="47"/>
      <c r="P50" s="48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</row>
    <row r="51" spans="1:828" s="27" customFormat="1" ht="18" x14ac:dyDescent="0.2">
      <c r="A51" s="61"/>
      <c r="D51" s="29"/>
      <c r="E51" s="23"/>
      <c r="F51" s="23"/>
      <c r="G51" s="23"/>
      <c r="H51" s="30"/>
      <c r="I51" s="23"/>
      <c r="J51" s="29"/>
      <c r="K51" s="30"/>
      <c r="L51" s="23"/>
      <c r="M51" s="29"/>
      <c r="N51" s="47"/>
      <c r="O51" s="47"/>
      <c r="P51" s="48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</row>
    <row r="52" spans="1:828" s="27" customFormat="1" ht="18" x14ac:dyDescent="0.2">
      <c r="A52" s="61"/>
      <c r="D52" s="29"/>
      <c r="E52" s="23"/>
      <c r="F52" s="23"/>
      <c r="G52" s="23"/>
      <c r="H52" s="30"/>
      <c r="I52" s="23"/>
      <c r="J52" s="29"/>
      <c r="K52" s="30"/>
      <c r="L52" s="23"/>
      <c r="M52" s="29"/>
      <c r="N52" s="47"/>
      <c r="O52" s="47"/>
      <c r="P52" s="48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</row>
    <row r="53" spans="1:828" s="27" customFormat="1" ht="18" x14ac:dyDescent="0.2">
      <c r="A53" s="61"/>
      <c r="D53" s="29"/>
      <c r="E53" s="23"/>
      <c r="F53" s="23"/>
      <c r="G53" s="23"/>
      <c r="H53" s="30"/>
      <c r="K53" s="30"/>
      <c r="L53" s="23"/>
      <c r="M53" s="29"/>
      <c r="N53" s="47"/>
      <c r="O53" s="47"/>
      <c r="P53" s="48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</row>
    <row r="54" spans="1:828" s="27" customFormat="1" ht="18" x14ac:dyDescent="0.2">
      <c r="A54" s="61"/>
      <c r="C54" s="23"/>
      <c r="D54" s="29"/>
      <c r="E54" s="23"/>
      <c r="F54" s="23"/>
      <c r="G54" s="23"/>
      <c r="H54" s="30"/>
      <c r="K54" s="30"/>
      <c r="L54" s="23"/>
      <c r="M54" s="29"/>
      <c r="N54" s="47"/>
      <c r="O54" s="47"/>
      <c r="P54" s="48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</row>
    <row r="55" spans="1:828" s="27" customFormat="1" ht="18" x14ac:dyDescent="0.2">
      <c r="A55" s="61"/>
      <c r="C55" s="23"/>
      <c r="D55" s="29"/>
      <c r="E55" s="23"/>
      <c r="F55" s="23"/>
      <c r="G55" s="23"/>
      <c r="H55" s="30"/>
      <c r="I55" s="23"/>
      <c r="J55" s="29"/>
      <c r="K55" s="30"/>
      <c r="L55" s="23"/>
      <c r="M55" s="29"/>
      <c r="N55" s="47"/>
      <c r="O55" s="47"/>
      <c r="P55" s="48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</row>
    <row r="56" spans="1:828" s="27" customFormat="1" ht="18" x14ac:dyDescent="0.2">
      <c r="A56" s="61"/>
      <c r="C56" s="23"/>
      <c r="D56" s="29"/>
      <c r="E56" s="23"/>
      <c r="F56" s="23"/>
      <c r="G56" s="23"/>
      <c r="H56" s="30"/>
      <c r="I56" s="23"/>
      <c r="J56" s="29"/>
      <c r="K56" s="30"/>
      <c r="L56" s="23"/>
      <c r="M56" s="29"/>
      <c r="N56" s="47"/>
      <c r="O56" s="47"/>
      <c r="P56" s="48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</row>
    <row r="57" spans="1:828" s="27" customFormat="1" ht="18" x14ac:dyDescent="0.2">
      <c r="A57" s="61"/>
      <c r="C57" s="23"/>
      <c r="D57" s="29"/>
      <c r="E57" s="23"/>
      <c r="F57" s="23"/>
      <c r="G57" s="23"/>
      <c r="H57" s="30"/>
      <c r="I57" s="23"/>
      <c r="J57" s="29"/>
      <c r="K57" s="30"/>
      <c r="L57" s="23"/>
      <c r="M57" s="29"/>
      <c r="N57" s="47"/>
      <c r="O57" s="47"/>
      <c r="P57" s="48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</row>
    <row r="58" spans="1:828" s="27" customFormat="1" ht="18" x14ac:dyDescent="0.2">
      <c r="A58" s="61"/>
      <c r="C58" s="23"/>
      <c r="D58" s="29"/>
      <c r="E58" s="23"/>
      <c r="F58" s="23"/>
      <c r="G58" s="23"/>
      <c r="H58" s="30"/>
      <c r="I58" s="23"/>
      <c r="J58" s="29"/>
      <c r="K58" s="30"/>
      <c r="L58" s="23"/>
      <c r="M58" s="29"/>
      <c r="N58" s="47"/>
      <c r="O58" s="47"/>
      <c r="P58" s="48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</row>
    <row r="59" spans="1:828" s="27" customFormat="1" ht="18" x14ac:dyDescent="0.2">
      <c r="A59" s="62"/>
      <c r="C59" s="63"/>
      <c r="D59" s="64"/>
      <c r="E59" s="63"/>
      <c r="F59" s="63"/>
      <c r="G59" s="64"/>
      <c r="H59" s="63"/>
      <c r="I59" s="63"/>
      <c r="J59" s="64"/>
      <c r="K59" s="63"/>
      <c r="L59" s="63"/>
      <c r="M59" s="64"/>
      <c r="N59" s="47"/>
      <c r="O59" s="47"/>
      <c r="P59" s="48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</row>
    <row r="60" spans="1:828" s="27" customFormat="1" ht="19" x14ac:dyDescent="0.2">
      <c r="A60" s="61" t="s">
        <v>49</v>
      </c>
      <c r="B60" s="53">
        <f>SUM(D60:D62)/D74</f>
        <v>0.32317214413446127</v>
      </c>
      <c r="C60" s="31" t="s">
        <v>50</v>
      </c>
      <c r="D60" s="29">
        <v>447</v>
      </c>
      <c r="E60" s="37">
        <f>SUM(G60:G61)/D74</f>
        <v>3.0288991633233574E-2</v>
      </c>
      <c r="F60" s="23" t="s">
        <v>68</v>
      </c>
      <c r="G60" s="29">
        <v>2198</v>
      </c>
      <c r="H60" s="50">
        <f>SUM(J60:J64)/J74</f>
        <v>0.29784038629709897</v>
      </c>
      <c r="I60" s="23" t="s">
        <v>51</v>
      </c>
      <c r="J60" s="29">
        <v>537</v>
      </c>
      <c r="K60" s="50">
        <f>SUM(M60:M61)/J74</f>
        <v>2.6919128550245239E-2</v>
      </c>
      <c r="L60" s="23" t="s">
        <v>52</v>
      </c>
      <c r="M60" s="29">
        <v>1825</v>
      </c>
      <c r="N60" s="47">
        <f t="shared" si="1"/>
        <v>2.0365617500718077E-2</v>
      </c>
      <c r="O60" s="47">
        <f t="shared" si="2"/>
        <v>1.7347249154024563E-2</v>
      </c>
      <c r="P60" s="48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</row>
    <row r="61" spans="1:828" s="27" customFormat="1" ht="18" x14ac:dyDescent="0.2">
      <c r="A61" s="61"/>
      <c r="B61" s="53"/>
      <c r="C61" s="23" t="s">
        <v>53</v>
      </c>
      <c r="D61" s="29">
        <v>971</v>
      </c>
      <c r="E61" s="23"/>
      <c r="F61" s="23" t="s">
        <v>70</v>
      </c>
      <c r="G61" s="29">
        <v>1071</v>
      </c>
      <c r="H61" s="30"/>
      <c r="I61" s="23" t="s">
        <v>54</v>
      </c>
      <c r="J61" s="29">
        <v>1161</v>
      </c>
      <c r="K61" s="30"/>
      <c r="L61" s="23" t="s">
        <v>55</v>
      </c>
      <c r="M61" s="29">
        <v>1007</v>
      </c>
      <c r="N61" s="47">
        <f t="shared" si="1"/>
        <v>9.9233741325154973E-3</v>
      </c>
      <c r="O61" s="47">
        <f t="shared" si="2"/>
        <v>9.5718793962206762E-3</v>
      </c>
      <c r="P61" s="48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</row>
    <row r="62" spans="1:828" s="27" customFormat="1" ht="18" x14ac:dyDescent="0.2">
      <c r="A62" s="61"/>
      <c r="B62" s="53"/>
      <c r="C62" s="23" t="s">
        <v>56</v>
      </c>
      <c r="D62" s="29">
        <v>33461</v>
      </c>
      <c r="E62" s="23"/>
      <c r="F62" s="23"/>
      <c r="G62" s="23"/>
      <c r="H62" s="30"/>
      <c r="I62" s="23" t="s">
        <v>57</v>
      </c>
      <c r="J62" s="29">
        <v>1178</v>
      </c>
      <c r="K62" s="30"/>
      <c r="L62" s="23"/>
      <c r="M62" s="29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</row>
    <row r="63" spans="1:828" s="27" customFormat="1" ht="18" x14ac:dyDescent="0.2">
      <c r="A63" s="61"/>
      <c r="D63" s="29"/>
      <c r="E63" s="23"/>
      <c r="F63" s="23"/>
      <c r="G63" s="23"/>
      <c r="H63" s="30"/>
      <c r="I63" s="23" t="s">
        <v>58</v>
      </c>
      <c r="J63" s="29">
        <v>27592</v>
      </c>
      <c r="K63" s="30"/>
      <c r="L63" s="23"/>
      <c r="M63" s="29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</row>
    <row r="64" spans="1:828" s="27" customFormat="1" ht="18" x14ac:dyDescent="0.2">
      <c r="A64" s="61"/>
      <c r="D64" s="29"/>
      <c r="E64" s="23"/>
      <c r="F64" s="23"/>
      <c r="G64" s="23"/>
      <c r="H64" s="30"/>
      <c r="I64" s="23" t="s">
        <v>59</v>
      </c>
      <c r="J64" s="29">
        <v>866</v>
      </c>
      <c r="K64" s="30"/>
      <c r="L64" s="23"/>
      <c r="M64" s="29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</row>
    <row r="65" spans="1:828" s="65" customFormat="1" ht="19" thickBot="1" x14ac:dyDescent="0.25">
      <c r="A65" s="62"/>
      <c r="B65" s="27"/>
      <c r="D65" s="64"/>
      <c r="E65" s="63"/>
      <c r="F65" s="63"/>
      <c r="G65" s="63"/>
      <c r="H65" s="66"/>
      <c r="I65" s="63"/>
      <c r="J65" s="64"/>
      <c r="K65" s="66"/>
      <c r="L65" s="63"/>
      <c r="M65" s="64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</row>
    <row r="66" spans="1:828" s="27" customFormat="1" ht="19" x14ac:dyDescent="0.2">
      <c r="A66" s="28" t="s">
        <v>60</v>
      </c>
      <c r="B66" s="26">
        <f t="shared" si="0"/>
        <v>8.9875564038655754E-3</v>
      </c>
      <c r="C66" s="23" t="s">
        <v>61</v>
      </c>
      <c r="D66" s="29">
        <f>961+9</f>
        <v>970</v>
      </c>
      <c r="E66" s="37">
        <f>G66/D74</f>
        <v>5.1886923568708479E-4</v>
      </c>
      <c r="F66" s="23" t="s">
        <v>62</v>
      </c>
      <c r="G66" s="29">
        <v>56</v>
      </c>
      <c r="H66" s="50">
        <f>SUM(J66:J67)/J74</f>
        <v>1.8060149804189954E-3</v>
      </c>
      <c r="I66" s="23" t="s">
        <v>63</v>
      </c>
      <c r="J66" s="29">
        <v>140</v>
      </c>
      <c r="K66" s="50">
        <f>M66/J74</f>
        <v>7.0339530816318767E-4</v>
      </c>
      <c r="L66" s="23" t="s">
        <v>64</v>
      </c>
      <c r="M66" s="29">
        <v>74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</row>
    <row r="67" spans="1:828" s="27" customFormat="1" ht="18" x14ac:dyDescent="0.2">
      <c r="A67" s="67"/>
      <c r="B67" s="30"/>
      <c r="D67" s="29"/>
      <c r="E67" s="23"/>
      <c r="F67" s="23"/>
      <c r="G67" s="23"/>
      <c r="H67" s="30"/>
      <c r="I67" s="23" t="s">
        <v>65</v>
      </c>
      <c r="J67" s="29">
        <v>50</v>
      </c>
      <c r="K67" s="30"/>
      <c r="L67" s="23"/>
      <c r="M67" s="29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</row>
    <row r="68" spans="1:828" s="27" customFormat="1" ht="18" x14ac:dyDescent="0.2">
      <c r="A68" s="67"/>
      <c r="B68" s="30"/>
      <c r="C68" s="23"/>
      <c r="D68" s="29"/>
      <c r="E68" s="23"/>
      <c r="F68" s="23"/>
      <c r="G68" s="23"/>
      <c r="H68" s="30"/>
      <c r="I68" s="23"/>
      <c r="J68" s="29"/>
      <c r="K68" s="30"/>
      <c r="L68" s="23"/>
      <c r="M68" s="29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</row>
    <row r="69" spans="1:828" s="27" customFormat="1" ht="18" x14ac:dyDescent="0.2">
      <c r="A69" s="67"/>
      <c r="B69" s="30"/>
      <c r="C69" s="23"/>
      <c r="D69" s="29"/>
      <c r="E69" s="23"/>
      <c r="F69" s="23"/>
      <c r="G69" s="23"/>
      <c r="H69" s="30"/>
      <c r="I69" s="23"/>
      <c r="J69" s="29"/>
      <c r="K69" s="30"/>
      <c r="L69" s="23"/>
      <c r="M69" s="29"/>
      <c r="N69" s="12"/>
      <c r="O69" s="12"/>
      <c r="P69" s="68"/>
      <c r="Q69" s="68"/>
      <c r="R69" s="68"/>
      <c r="S69" s="68"/>
      <c r="T69" s="68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</row>
    <row r="70" spans="1:828" s="27" customFormat="1" ht="19" thickBot="1" x14ac:dyDescent="0.25">
      <c r="A70" s="69"/>
      <c r="B70" s="42"/>
      <c r="C70" s="40"/>
      <c r="D70" s="41"/>
      <c r="E70" s="40"/>
      <c r="F70" s="40"/>
      <c r="G70" s="40"/>
      <c r="H70" s="42"/>
      <c r="I70" s="40"/>
      <c r="J70" s="41"/>
      <c r="K70" s="42"/>
      <c r="L70" s="40"/>
      <c r="M70" s="41"/>
      <c r="N70" s="12"/>
      <c r="O70" s="12"/>
      <c r="P70" s="68"/>
      <c r="Q70" s="68"/>
      <c r="R70" s="68"/>
      <c r="S70" s="68"/>
      <c r="T70" s="68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</row>
    <row r="71" spans="1:828" s="74" customFormat="1" ht="18" x14ac:dyDescent="0.2">
      <c r="A71" s="70" t="s">
        <v>66</v>
      </c>
      <c r="B71" s="71"/>
      <c r="C71" s="72"/>
      <c r="D71" s="73">
        <f>SUM(D5:D66)</f>
        <v>82281</v>
      </c>
      <c r="E71" s="72"/>
      <c r="F71" s="72"/>
      <c r="G71" s="72">
        <f>SUM(G34:G66)</f>
        <v>25646</v>
      </c>
      <c r="H71" s="71"/>
      <c r="I71" s="72"/>
      <c r="J71" s="73">
        <f>SUM(J3:J67)</f>
        <v>83090</v>
      </c>
      <c r="K71" s="71"/>
      <c r="L71" s="72"/>
      <c r="M71" s="73">
        <f>SUM(M2:M67)</f>
        <v>22114</v>
      </c>
      <c r="N71" s="12"/>
      <c r="O71" s="12"/>
      <c r="P71" s="68"/>
      <c r="Q71" s="68"/>
      <c r="R71" s="68"/>
      <c r="S71" s="68"/>
      <c r="T71" s="68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</row>
    <row r="72" spans="1:828" x14ac:dyDescent="0.2">
      <c r="D72" s="77"/>
      <c r="E72" s="78"/>
      <c r="F72" s="78"/>
      <c r="G72" s="78"/>
      <c r="K72" s="27"/>
      <c r="L72" s="27"/>
      <c r="M72" s="29"/>
    </row>
    <row r="73" spans="1:828" x14ac:dyDescent="0.2">
      <c r="K73" s="27"/>
      <c r="L73" s="27"/>
      <c r="M73" s="29"/>
    </row>
    <row r="74" spans="1:828" x14ac:dyDescent="0.2">
      <c r="D74" s="79">
        <f>D71+G71</f>
        <v>107927</v>
      </c>
      <c r="J74" s="79">
        <f>J71+M71</f>
        <v>105204</v>
      </c>
      <c r="K74" s="27"/>
      <c r="L74" s="27"/>
      <c r="M74" s="29"/>
    </row>
    <row r="75" spans="1:828" x14ac:dyDescent="0.2">
      <c r="D75" s="77">
        <f>D71/D74</f>
        <v>0.76237642109944681</v>
      </c>
      <c r="J75" s="77">
        <f>J71/J74</f>
        <v>0.78979886696323331</v>
      </c>
      <c r="K75" s="27"/>
      <c r="L75" s="27"/>
      <c r="M75" s="2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5FBF-568F-164E-ADA9-8E643AF3142C}">
  <dimension ref="A1:AEV76"/>
  <sheetViews>
    <sheetView tabSelected="1" topLeftCell="B51" workbookViewId="0">
      <selection activeCell="J75" sqref="J75"/>
    </sheetView>
  </sheetViews>
  <sheetFormatPr baseColWidth="10" defaultColWidth="9" defaultRowHeight="16" x14ac:dyDescent="0.2"/>
  <cols>
    <col min="1" max="1" width="47.33203125" style="75" customWidth="1"/>
    <col min="2" max="2" width="17.33203125" style="76" customWidth="1"/>
    <col min="3" max="3" width="33.5" style="12" customWidth="1"/>
    <col min="4" max="4" width="27.33203125" style="79" customWidth="1"/>
    <col min="5" max="6" width="27.33203125" style="12" customWidth="1"/>
    <col min="7" max="7" width="27" style="12" customWidth="1"/>
    <col min="8" max="8" width="15" style="76" customWidth="1"/>
    <col min="9" max="9" width="33" style="12" customWidth="1"/>
    <col min="10" max="10" width="15.6640625" style="79" customWidth="1"/>
    <col min="11" max="11" width="19.5" style="76" customWidth="1"/>
    <col min="12" max="12" width="32.5" style="12" customWidth="1"/>
    <col min="13" max="13" width="19.6640625" style="79" customWidth="1"/>
    <col min="14" max="14" width="13" style="12" customWidth="1"/>
    <col min="15" max="15" width="12.1640625" style="12" customWidth="1"/>
    <col min="16" max="20" width="9" style="68"/>
    <col min="21" max="16384" width="9" style="12"/>
  </cols>
  <sheetData>
    <row r="1" spans="1:828" s="6" customFormat="1" ht="26" thickBot="1" x14ac:dyDescent="0.25">
      <c r="A1" s="1" t="s">
        <v>0</v>
      </c>
      <c r="B1" s="2">
        <v>2007</v>
      </c>
      <c r="C1" s="3" t="s">
        <v>1</v>
      </c>
      <c r="D1" s="4" t="s">
        <v>2</v>
      </c>
      <c r="E1" s="2">
        <v>2007</v>
      </c>
      <c r="F1" s="3" t="s">
        <v>3</v>
      </c>
      <c r="G1" s="3" t="s">
        <v>4</v>
      </c>
      <c r="H1" s="2">
        <v>2017</v>
      </c>
      <c r="I1" s="3" t="s">
        <v>5</v>
      </c>
      <c r="J1" s="4" t="s">
        <v>6</v>
      </c>
      <c r="K1" s="2">
        <v>2017</v>
      </c>
      <c r="L1" s="3" t="s">
        <v>7</v>
      </c>
      <c r="M1" s="4" t="s">
        <v>8</v>
      </c>
      <c r="N1" s="5"/>
      <c r="O1" s="5"/>
      <c r="P1"/>
      <c r="Q1"/>
      <c r="R1"/>
      <c r="S1"/>
      <c r="T1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</row>
    <row r="2" spans="1:828" s="13" customFormat="1" ht="19" x14ac:dyDescent="0.2">
      <c r="A2" s="7" t="s">
        <v>9</v>
      </c>
      <c r="B2" s="8"/>
      <c r="C2" s="9" t="s">
        <v>10</v>
      </c>
      <c r="D2" s="10">
        <v>0</v>
      </c>
      <c r="E2" s="9"/>
      <c r="F2" s="9"/>
      <c r="G2" s="9"/>
      <c r="H2" s="8">
        <f>J2/J74</f>
        <v>0.5611418174327989</v>
      </c>
      <c r="I2" s="9" t="s">
        <v>11</v>
      </c>
      <c r="J2" s="11">
        <v>65382</v>
      </c>
      <c r="K2" s="8"/>
      <c r="L2" s="9"/>
      <c r="M2" s="10"/>
      <c r="N2" s="12"/>
      <c r="O2" s="12"/>
      <c r="P2"/>
      <c r="Q2"/>
      <c r="R2"/>
      <c r="S2"/>
      <c r="T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</row>
    <row r="3" spans="1:828" s="13" customFormat="1" ht="18" x14ac:dyDescent="0.2">
      <c r="A3" s="14"/>
      <c r="B3" s="15"/>
      <c r="C3" s="16"/>
      <c r="D3" s="11"/>
      <c r="E3" s="16"/>
      <c r="F3" s="16"/>
      <c r="G3" s="16"/>
      <c r="H3" s="15"/>
      <c r="I3" s="16"/>
      <c r="J3" s="11"/>
      <c r="K3" s="15"/>
      <c r="L3" s="16"/>
      <c r="M3" s="11"/>
      <c r="N3" s="12"/>
      <c r="O3" s="12"/>
      <c r="P3"/>
      <c r="Q3"/>
      <c r="R3"/>
      <c r="S3"/>
      <c r="T3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</row>
    <row r="4" spans="1:828" s="13" customFormat="1" ht="19" thickBot="1" x14ac:dyDescent="0.25">
      <c r="A4" s="17"/>
      <c r="B4" s="18"/>
      <c r="C4" s="19"/>
      <c r="D4" s="20"/>
      <c r="E4" s="19"/>
      <c r="F4" s="19"/>
      <c r="G4" s="19"/>
      <c r="H4" s="18"/>
      <c r="I4" s="19"/>
      <c r="J4" s="20"/>
      <c r="K4" s="18"/>
      <c r="L4" s="19"/>
      <c r="M4" s="20"/>
      <c r="N4" s="12"/>
      <c r="O4" s="12"/>
      <c r="P4"/>
      <c r="Q4"/>
      <c r="R4"/>
      <c r="S4"/>
      <c r="T4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</row>
    <row r="5" spans="1:828" s="27" customFormat="1" ht="19" x14ac:dyDescent="0.2">
      <c r="A5" s="21" t="s">
        <v>12</v>
      </c>
      <c r="B5" s="22">
        <f>D5/$D$74</f>
        <v>2.1595274218018656E-2</v>
      </c>
      <c r="C5" s="23" t="s">
        <v>13</v>
      </c>
      <c r="D5" s="24">
        <f>22+2654</f>
        <v>2676</v>
      </c>
      <c r="E5" s="25"/>
      <c r="F5" s="25"/>
      <c r="G5" s="25"/>
      <c r="H5" s="26">
        <f>J5/J74</f>
        <v>4.194273747811459E-2</v>
      </c>
      <c r="I5" s="25" t="s">
        <v>14</v>
      </c>
      <c r="J5" s="24">
        <v>4887</v>
      </c>
      <c r="K5" s="26"/>
      <c r="L5" s="25"/>
      <c r="M5" s="24"/>
      <c r="N5" s="12"/>
      <c r="O5" s="12"/>
      <c r="P5"/>
      <c r="Q5"/>
      <c r="R5"/>
      <c r="S5"/>
      <c r="T5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</row>
    <row r="6" spans="1:828" s="27" customFormat="1" ht="18" x14ac:dyDescent="0.2">
      <c r="A6" s="28"/>
      <c r="B6" s="29"/>
      <c r="C6" s="23"/>
      <c r="D6" s="29"/>
      <c r="E6" s="23"/>
      <c r="F6" s="23"/>
      <c r="G6" s="23"/>
      <c r="H6" s="30"/>
      <c r="I6" s="31"/>
      <c r="J6" s="32"/>
      <c r="K6" s="30"/>
      <c r="L6" s="31"/>
      <c r="M6" s="32"/>
      <c r="N6" s="12"/>
      <c r="O6" s="12"/>
      <c r="P6"/>
      <c r="Q6"/>
      <c r="R6"/>
      <c r="S6"/>
      <c r="T6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</row>
    <row r="7" spans="1:828" s="27" customFormat="1" ht="18" x14ac:dyDescent="0.2">
      <c r="A7" s="28"/>
      <c r="B7" s="29"/>
      <c r="C7" s="23"/>
      <c r="D7" s="29"/>
      <c r="E7" s="23"/>
      <c r="F7" s="23"/>
      <c r="G7" s="23"/>
      <c r="H7" s="30"/>
      <c r="I7" s="23"/>
      <c r="J7" s="29"/>
      <c r="K7" s="30"/>
      <c r="L7" s="23"/>
      <c r="M7" s="29"/>
      <c r="N7" s="12"/>
      <c r="O7" s="12"/>
      <c r="P7"/>
      <c r="Q7"/>
      <c r="R7"/>
      <c r="S7"/>
      <c r="T7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</row>
    <row r="8" spans="1:828" s="27" customFormat="1" ht="18" x14ac:dyDescent="0.2">
      <c r="A8" s="28"/>
      <c r="B8" s="29"/>
      <c r="C8" s="23"/>
      <c r="D8" s="29"/>
      <c r="E8" s="23"/>
      <c r="F8" s="23"/>
      <c r="G8" s="23"/>
      <c r="H8" s="30"/>
      <c r="I8" s="23"/>
      <c r="J8" s="29"/>
      <c r="K8" s="30"/>
      <c r="L8" s="23"/>
      <c r="M8" s="29"/>
      <c r="N8" s="12"/>
      <c r="O8" s="12"/>
      <c r="P8"/>
      <c r="Q8"/>
      <c r="R8"/>
      <c r="S8"/>
      <c r="T8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</row>
    <row r="9" spans="1:828" s="27" customFormat="1" ht="18" x14ac:dyDescent="0.2">
      <c r="A9" s="28"/>
      <c r="B9" s="29"/>
      <c r="C9" s="23"/>
      <c r="D9" s="29"/>
      <c r="E9" s="23"/>
      <c r="F9" s="23"/>
      <c r="G9" s="23"/>
      <c r="H9" s="30"/>
      <c r="I9" s="23"/>
      <c r="J9" s="29"/>
      <c r="K9" s="30"/>
      <c r="L9" s="23"/>
      <c r="M9" s="29"/>
      <c r="N9" s="12"/>
      <c r="O9" s="12"/>
      <c r="P9"/>
      <c r="Q9"/>
      <c r="R9"/>
      <c r="S9"/>
      <c r="T9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</row>
    <row r="10" spans="1:828" s="27" customFormat="1" ht="19" thickBot="1" x14ac:dyDescent="0.25">
      <c r="A10" s="28"/>
      <c r="B10" s="29"/>
      <c r="C10" s="23"/>
      <c r="D10" s="29"/>
      <c r="E10" s="23"/>
      <c r="F10" s="23"/>
      <c r="G10" s="23"/>
      <c r="H10" s="30"/>
      <c r="I10" s="23"/>
      <c r="J10" s="29"/>
      <c r="K10" s="30"/>
      <c r="L10" s="23"/>
      <c r="M10" s="29"/>
      <c r="N10" s="12"/>
      <c r="O10" s="12"/>
      <c r="P10"/>
      <c r="Q10"/>
      <c r="R10"/>
      <c r="S10"/>
      <c r="T10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</row>
    <row r="11" spans="1:828" s="33" customFormat="1" ht="19" x14ac:dyDescent="0.2">
      <c r="A11" s="7" t="s">
        <v>15</v>
      </c>
      <c r="B11" s="26">
        <f t="shared" ref="B11:B66" si="0">D11/$D$74</f>
        <v>0.28775944994996611</v>
      </c>
      <c r="C11" s="9" t="s">
        <v>16</v>
      </c>
      <c r="D11" s="10">
        <v>35658</v>
      </c>
      <c r="E11" s="9"/>
      <c r="F11" s="9"/>
      <c r="G11" s="9"/>
      <c r="H11" s="8">
        <f>J11/J74</f>
        <v>0.2433142229393388</v>
      </c>
      <c r="I11" s="9" t="s">
        <v>17</v>
      </c>
      <c r="J11" s="10">
        <v>28350</v>
      </c>
      <c r="K11" s="8"/>
      <c r="L11" s="9"/>
      <c r="M11" s="10"/>
      <c r="N11" s="12"/>
      <c r="O11" s="12"/>
      <c r="P11"/>
      <c r="Q11"/>
      <c r="R11"/>
      <c r="S11"/>
      <c r="T11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</row>
    <row r="12" spans="1:828" s="13" customFormat="1" ht="18" x14ac:dyDescent="0.2">
      <c r="A12" s="34"/>
      <c r="B12" s="16"/>
      <c r="C12" s="16"/>
      <c r="D12" s="11"/>
      <c r="E12" s="16"/>
      <c r="F12" s="16"/>
      <c r="G12" s="16"/>
      <c r="H12" s="15"/>
      <c r="I12" s="16"/>
      <c r="J12" s="11"/>
      <c r="K12" s="15"/>
      <c r="L12" s="16"/>
      <c r="M12" s="11"/>
      <c r="N12" s="12"/>
      <c r="O12" s="12"/>
      <c r="P12"/>
      <c r="Q12"/>
      <c r="R12"/>
      <c r="S12"/>
      <c r="T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</row>
    <row r="13" spans="1:828" s="13" customFormat="1" ht="18" x14ac:dyDescent="0.2">
      <c r="A13" s="34"/>
      <c r="B13" s="16"/>
      <c r="C13" s="16"/>
      <c r="D13" s="11"/>
      <c r="E13" s="16"/>
      <c r="F13" s="16"/>
      <c r="G13" s="16"/>
      <c r="H13" s="15"/>
      <c r="I13" s="35"/>
      <c r="J13" s="36"/>
      <c r="K13" s="15"/>
      <c r="L13" s="35"/>
      <c r="M13" s="36"/>
      <c r="N13" s="12"/>
      <c r="O13" s="12"/>
      <c r="P13"/>
      <c r="Q13"/>
      <c r="R13"/>
      <c r="S13"/>
      <c r="T13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</row>
    <row r="14" spans="1:828" s="13" customFormat="1" ht="18" x14ac:dyDescent="0.2">
      <c r="A14" s="34"/>
      <c r="B14" s="16"/>
      <c r="C14" s="16"/>
      <c r="D14" s="11"/>
      <c r="E14" s="16"/>
      <c r="F14" s="16"/>
      <c r="G14" s="16"/>
      <c r="H14" s="15"/>
      <c r="I14" s="35"/>
      <c r="J14" s="36"/>
      <c r="K14" s="15"/>
      <c r="L14" s="35"/>
      <c r="M14" s="36"/>
      <c r="N14" s="12"/>
      <c r="O14" s="12"/>
      <c r="P14"/>
      <c r="Q14"/>
      <c r="R14"/>
      <c r="S14"/>
      <c r="T14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</row>
    <row r="15" spans="1:828" s="13" customFormat="1" ht="18" x14ac:dyDescent="0.2">
      <c r="A15" s="34"/>
      <c r="B15" s="16"/>
      <c r="C15" s="16"/>
      <c r="D15" s="11"/>
      <c r="E15" s="16"/>
      <c r="F15" s="16"/>
      <c r="G15" s="16"/>
      <c r="H15" s="15"/>
      <c r="I15" s="35"/>
      <c r="J15" s="36"/>
      <c r="K15" s="15"/>
      <c r="L15" s="35"/>
      <c r="M15" s="36"/>
      <c r="N15" s="12"/>
      <c r="O15" s="12"/>
      <c r="P15"/>
      <c r="Q15"/>
      <c r="R15"/>
      <c r="S15"/>
      <c r="T15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</row>
    <row r="16" spans="1:828" s="13" customFormat="1" ht="18" x14ac:dyDescent="0.2">
      <c r="A16" s="34"/>
      <c r="B16" s="16"/>
      <c r="C16" s="16"/>
      <c r="D16" s="11"/>
      <c r="E16" s="16"/>
      <c r="F16" s="16"/>
      <c r="G16" s="16"/>
      <c r="H16" s="15"/>
      <c r="I16" s="35"/>
      <c r="J16" s="36"/>
      <c r="K16" s="15"/>
      <c r="L16" s="35"/>
      <c r="M16" s="36"/>
      <c r="N16" s="12"/>
      <c r="O16" s="12"/>
      <c r="P16"/>
      <c r="Q16"/>
      <c r="R16"/>
      <c r="S16"/>
      <c r="T16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</row>
    <row r="17" spans="1:828" s="13" customFormat="1" ht="18" x14ac:dyDescent="0.2">
      <c r="A17" s="34"/>
      <c r="B17" s="16"/>
      <c r="C17" s="16"/>
      <c r="D17" s="11"/>
      <c r="E17" s="16"/>
      <c r="F17" s="16"/>
      <c r="G17" s="16"/>
      <c r="H17" s="15"/>
      <c r="I17" s="35"/>
      <c r="J17" s="36"/>
      <c r="K17" s="15"/>
      <c r="L17" s="35"/>
      <c r="M17" s="36"/>
      <c r="N17" s="12"/>
      <c r="O17" s="12"/>
      <c r="P17"/>
      <c r="Q17"/>
      <c r="R17"/>
      <c r="S17"/>
      <c r="T17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</row>
    <row r="18" spans="1:828" s="13" customFormat="1" ht="18" x14ac:dyDescent="0.2">
      <c r="A18" s="34"/>
      <c r="B18" s="16"/>
      <c r="C18" s="16"/>
      <c r="D18" s="11"/>
      <c r="E18" s="16"/>
      <c r="F18" s="16"/>
      <c r="G18" s="16"/>
      <c r="H18" s="15"/>
      <c r="I18" s="35"/>
      <c r="J18" s="36"/>
      <c r="K18" s="15"/>
      <c r="L18" s="35"/>
      <c r="M18" s="36"/>
      <c r="N18" s="12"/>
      <c r="O18" s="12"/>
      <c r="P18"/>
      <c r="Q18"/>
      <c r="R18"/>
      <c r="S18"/>
      <c r="T18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</row>
    <row r="19" spans="1:828" s="13" customFormat="1" ht="19" thickBot="1" x14ac:dyDescent="0.25">
      <c r="A19" s="14"/>
      <c r="B19" s="16"/>
      <c r="C19" s="16"/>
      <c r="D19" s="11"/>
      <c r="E19" s="16"/>
      <c r="F19" s="16"/>
      <c r="G19" s="16"/>
      <c r="H19" s="15"/>
      <c r="I19" s="16"/>
      <c r="J19" s="11"/>
      <c r="K19" s="15"/>
      <c r="L19" s="16"/>
      <c r="M19" s="11"/>
      <c r="N19" s="12"/>
      <c r="O19" s="12"/>
      <c r="P19"/>
      <c r="Q19"/>
      <c r="R19"/>
      <c r="S19"/>
      <c r="T19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</row>
    <row r="20" spans="1:828" s="38" customFormat="1" ht="19" x14ac:dyDescent="0.2">
      <c r="A20" s="21" t="s">
        <v>18</v>
      </c>
      <c r="B20" s="37">
        <f t="shared" si="0"/>
        <v>5.8805965331353495E-2</v>
      </c>
      <c r="C20" s="25" t="s">
        <v>19</v>
      </c>
      <c r="D20" s="24">
        <v>7287</v>
      </c>
      <c r="E20" s="25"/>
      <c r="F20" s="25"/>
      <c r="G20" s="25"/>
      <c r="H20" s="26">
        <f>SUM(J20:J23)/J74</f>
        <v>5.8541316214082185E-2</v>
      </c>
      <c r="I20" s="25" t="s">
        <v>20</v>
      </c>
      <c r="J20" s="24">
        <v>406</v>
      </c>
      <c r="K20" s="26"/>
      <c r="L20" s="25"/>
      <c r="M20" s="24"/>
      <c r="N20" s="12"/>
      <c r="O20" s="12"/>
      <c r="P20"/>
      <c r="Q20"/>
      <c r="R20"/>
      <c r="S20"/>
      <c r="T20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</row>
    <row r="21" spans="1:828" s="27" customFormat="1" ht="18" x14ac:dyDescent="0.2">
      <c r="A21" s="28"/>
      <c r="B21" s="23"/>
      <c r="C21" s="23"/>
      <c r="D21" s="29"/>
      <c r="E21" s="23"/>
      <c r="F21" s="23"/>
      <c r="G21" s="23"/>
      <c r="H21" s="30"/>
      <c r="I21" s="23" t="s">
        <v>21</v>
      </c>
      <c r="J21" s="29">
        <v>4580</v>
      </c>
      <c r="K21" s="30"/>
      <c r="L21" s="23"/>
      <c r="M21" s="29"/>
      <c r="N21" s="12"/>
      <c r="O21" s="12"/>
      <c r="P21"/>
      <c r="Q21"/>
      <c r="R21"/>
      <c r="S21"/>
      <c r="T21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</row>
    <row r="22" spans="1:828" s="27" customFormat="1" ht="18" x14ac:dyDescent="0.2">
      <c r="A22" s="28"/>
      <c r="B22" s="23"/>
      <c r="C22" s="23"/>
      <c r="D22" s="29"/>
      <c r="E22" s="23"/>
      <c r="F22" s="23"/>
      <c r="G22" s="23"/>
      <c r="H22" s="30"/>
      <c r="I22" s="23" t="s">
        <v>22</v>
      </c>
      <c r="J22" s="29">
        <v>417</v>
      </c>
      <c r="K22" s="30"/>
      <c r="L22" s="23"/>
      <c r="M22" s="29"/>
      <c r="N22" s="12"/>
      <c r="O22" s="12"/>
      <c r="P22"/>
      <c r="Q22"/>
      <c r="R22"/>
      <c r="S22"/>
      <c r="T2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</row>
    <row r="23" spans="1:828" s="27" customFormat="1" ht="18" x14ac:dyDescent="0.2">
      <c r="A23" s="28"/>
      <c r="B23" s="23"/>
      <c r="C23" s="23"/>
      <c r="D23" s="29"/>
      <c r="E23" s="23"/>
      <c r="F23" s="23"/>
      <c r="G23" s="23"/>
      <c r="H23" s="30"/>
      <c r="I23" s="23" t="s">
        <v>23</v>
      </c>
      <c r="J23" s="29">
        <v>1418</v>
      </c>
      <c r="K23" s="30"/>
      <c r="L23" s="23"/>
      <c r="M23" s="29"/>
      <c r="N23" s="12"/>
      <c r="O23" s="12"/>
      <c r="P23"/>
      <c r="Q23"/>
      <c r="R23"/>
      <c r="S23"/>
      <c r="T23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</row>
    <row r="24" spans="1:828" s="27" customFormat="1" ht="18" x14ac:dyDescent="0.2">
      <c r="A24" s="28"/>
      <c r="B24" s="23"/>
      <c r="C24" s="23"/>
      <c r="D24" s="29"/>
      <c r="E24" s="23"/>
      <c r="F24" s="23"/>
      <c r="G24" s="23"/>
      <c r="H24" s="30"/>
      <c r="I24" s="23"/>
      <c r="J24" s="29"/>
      <c r="K24" s="30"/>
      <c r="L24" s="23"/>
      <c r="M24" s="29"/>
      <c r="N24" s="12"/>
      <c r="O24" s="12"/>
      <c r="P24"/>
      <c r="Q24"/>
      <c r="R24"/>
      <c r="S24"/>
      <c r="T24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</row>
    <row r="25" spans="1:828" s="27" customFormat="1" ht="18" x14ac:dyDescent="0.2">
      <c r="A25" s="28"/>
      <c r="B25" s="23"/>
      <c r="C25" s="23"/>
      <c r="D25" s="29"/>
      <c r="E25" s="23"/>
      <c r="F25" s="23"/>
      <c r="G25" s="23"/>
      <c r="H25" s="30"/>
      <c r="I25" s="23"/>
      <c r="J25" s="29"/>
      <c r="K25" s="30"/>
      <c r="L25" s="23"/>
      <c r="M25" s="29"/>
      <c r="N25" s="12"/>
      <c r="O25" s="12"/>
      <c r="P25"/>
      <c r="Q25"/>
      <c r="R25"/>
      <c r="S25"/>
      <c r="T2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</row>
    <row r="26" spans="1:828" s="27" customFormat="1" ht="18" x14ac:dyDescent="0.2">
      <c r="A26" s="28"/>
      <c r="B26" s="23"/>
      <c r="C26" s="23"/>
      <c r="D26" s="29"/>
      <c r="E26" s="23"/>
      <c r="F26" s="23"/>
      <c r="G26" s="23"/>
      <c r="H26" s="30"/>
      <c r="I26" s="23"/>
      <c r="J26" s="29"/>
      <c r="K26" s="30"/>
      <c r="L26" s="23"/>
      <c r="M26" s="29"/>
      <c r="N26" s="12"/>
      <c r="O26" s="12"/>
      <c r="P26"/>
      <c r="Q26"/>
      <c r="R26"/>
      <c r="S26"/>
      <c r="T26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</row>
    <row r="27" spans="1:828" s="43" customFormat="1" ht="19" thickBot="1" x14ac:dyDescent="0.25">
      <c r="A27" s="39"/>
      <c r="B27" s="23"/>
      <c r="C27" s="40"/>
      <c r="D27" s="41"/>
      <c r="E27" s="40"/>
      <c r="F27" s="40"/>
      <c r="H27" s="42"/>
      <c r="I27" s="40"/>
      <c r="J27" s="41"/>
      <c r="K27" s="42"/>
      <c r="L27" s="40"/>
      <c r="M27" s="41"/>
      <c r="N27" s="12"/>
      <c r="O27" s="12"/>
      <c r="P27"/>
      <c r="Q27"/>
      <c r="R27"/>
      <c r="S27"/>
      <c r="T27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</row>
    <row r="28" spans="1:828" s="13" customFormat="1" ht="19" x14ac:dyDescent="0.2">
      <c r="A28" s="14" t="s">
        <v>24</v>
      </c>
      <c r="B28" s="44">
        <f t="shared" si="0"/>
        <v>4.8339197520901253E-3</v>
      </c>
      <c r="C28" s="16" t="s">
        <v>25</v>
      </c>
      <c r="D28" s="11">
        <f>593+6</f>
        <v>599</v>
      </c>
      <c r="E28" s="16"/>
      <c r="F28" s="16"/>
      <c r="H28" s="45">
        <f>J28/J74</f>
        <v>1.8735624291942737E-2</v>
      </c>
      <c r="I28" s="16" t="s">
        <v>26</v>
      </c>
      <c r="J28" s="11">
        <v>2183</v>
      </c>
      <c r="K28" s="45"/>
      <c r="L28" s="16"/>
      <c r="M28" s="11"/>
      <c r="N28" s="12"/>
      <c r="O28" s="12"/>
      <c r="P28"/>
      <c r="Q28"/>
      <c r="R28"/>
      <c r="S28"/>
      <c r="T28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</row>
    <row r="29" spans="1:828" s="13" customFormat="1" ht="18" x14ac:dyDescent="0.2">
      <c r="A29" s="14"/>
      <c r="B29" s="16"/>
      <c r="C29" s="16"/>
      <c r="D29" s="11"/>
      <c r="E29" s="16"/>
      <c r="F29" s="16"/>
      <c r="H29" s="15"/>
      <c r="I29" s="16"/>
      <c r="J29" s="11"/>
      <c r="K29" s="15"/>
      <c r="L29" s="16"/>
      <c r="M29" s="11"/>
      <c r="N29" s="12"/>
      <c r="O29" s="12"/>
      <c r="P29"/>
      <c r="Q29"/>
      <c r="R29"/>
      <c r="S29"/>
      <c r="T2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</row>
    <row r="30" spans="1:828" s="13" customFormat="1" ht="18" x14ac:dyDescent="0.2">
      <c r="A30" s="14"/>
      <c r="B30" s="16"/>
      <c r="C30" s="16"/>
      <c r="D30" s="11"/>
      <c r="E30" s="16"/>
      <c r="F30" s="16"/>
      <c r="H30" s="15"/>
      <c r="I30" s="16"/>
      <c r="J30" s="11"/>
      <c r="K30" s="15"/>
      <c r="L30" s="16"/>
      <c r="M30" s="11"/>
      <c r="N30" s="12"/>
      <c r="O30" s="12"/>
      <c r="P30"/>
      <c r="Q30"/>
      <c r="R30"/>
      <c r="S30"/>
      <c r="T30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</row>
    <row r="31" spans="1:828" s="13" customFormat="1" ht="18" x14ac:dyDescent="0.2">
      <c r="A31" s="14"/>
      <c r="B31" s="16"/>
      <c r="C31" s="16"/>
      <c r="D31" s="11"/>
      <c r="E31" s="16"/>
      <c r="F31" s="16"/>
      <c r="H31" s="15"/>
      <c r="I31" s="16"/>
      <c r="J31" s="11"/>
      <c r="K31" s="15"/>
      <c r="L31" s="16"/>
      <c r="M31" s="11"/>
      <c r="N31" s="12"/>
      <c r="O31" s="12"/>
      <c r="P31"/>
      <c r="Q31"/>
      <c r="R31"/>
      <c r="S31"/>
      <c r="T31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</row>
    <row r="32" spans="1:828" s="13" customFormat="1" ht="18" x14ac:dyDescent="0.2">
      <c r="A32" s="14"/>
      <c r="B32" s="16"/>
      <c r="C32" s="16"/>
      <c r="D32" s="11"/>
      <c r="E32" s="16"/>
      <c r="F32" s="16"/>
      <c r="H32" s="15"/>
      <c r="I32" s="16"/>
      <c r="J32" s="11"/>
      <c r="K32" s="15"/>
      <c r="L32" s="16"/>
      <c r="M32" s="11"/>
      <c r="N32" s="12"/>
      <c r="O32" s="12"/>
      <c r="P32"/>
      <c r="Q32"/>
      <c r="R32"/>
      <c r="S32"/>
      <c r="T3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</row>
    <row r="33" spans="1:828" s="13" customFormat="1" ht="19" thickBot="1" x14ac:dyDescent="0.25">
      <c r="A33" s="17"/>
      <c r="B33" s="16"/>
      <c r="C33" s="19"/>
      <c r="D33" s="20"/>
      <c r="E33" s="19"/>
      <c r="F33" s="19"/>
      <c r="G33" s="19"/>
      <c r="H33" s="18"/>
      <c r="I33" s="19"/>
      <c r="J33" s="20"/>
      <c r="K33" s="18"/>
      <c r="L33" s="19"/>
      <c r="M33" s="20"/>
      <c r="N33" s="12"/>
      <c r="O33" s="12"/>
      <c r="P33"/>
      <c r="Q33"/>
      <c r="R33"/>
      <c r="S33"/>
      <c r="T3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</row>
    <row r="34" spans="1:828" s="27" customFormat="1" ht="19" x14ac:dyDescent="0.2">
      <c r="A34" s="21" t="s">
        <v>27</v>
      </c>
      <c r="B34" s="46">
        <f t="shared" si="0"/>
        <v>5.7547048000258241E-2</v>
      </c>
      <c r="C34" s="25" t="s">
        <v>28</v>
      </c>
      <c r="D34" s="24">
        <f>3673+22+3436</f>
        <v>7131</v>
      </c>
      <c r="E34" s="46">
        <f>SUM(G34:G41)/D74</f>
        <v>0.19247716194841666</v>
      </c>
      <c r="F34" s="23" t="s">
        <v>67</v>
      </c>
      <c r="G34" s="29">
        <v>19979</v>
      </c>
      <c r="H34" s="26">
        <f>SUM(J34:J38)/J74</f>
        <v>1.0402004874866972E-2</v>
      </c>
      <c r="I34" s="25" t="s">
        <v>29</v>
      </c>
      <c r="J34" s="24">
        <v>1157</v>
      </c>
      <c r="K34" s="26">
        <f>SUM(M34:M42)/J74</f>
        <v>0.15784098321260601</v>
      </c>
      <c r="L34" s="25" t="s">
        <v>30</v>
      </c>
      <c r="M34" s="24">
        <v>640</v>
      </c>
      <c r="N34" s="47">
        <f>G34/$D$74</f>
        <v>0.16123018819200102</v>
      </c>
      <c r="O34" s="47">
        <f>M34/$J$74</f>
        <v>5.4928078547152323E-3</v>
      </c>
      <c r="P34" s="48"/>
      <c r="Q34"/>
      <c r="R34"/>
      <c r="S34"/>
      <c r="T34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</row>
    <row r="35" spans="1:828" s="27" customFormat="1" ht="18" x14ac:dyDescent="0.2">
      <c r="A35" s="49"/>
      <c r="D35" s="29"/>
      <c r="E35" s="23"/>
      <c r="F35" s="23" t="s">
        <v>69</v>
      </c>
      <c r="G35" s="29">
        <v>1704</v>
      </c>
      <c r="H35" s="50"/>
      <c r="I35" s="23"/>
      <c r="J35" s="29"/>
      <c r="K35" s="50"/>
      <c r="L35" s="23" t="s">
        <v>31</v>
      </c>
      <c r="M35" s="29">
        <v>15150</v>
      </c>
      <c r="N35" s="47">
        <f t="shared" ref="N35:N66" si="1">G35/$D$74</f>
        <v>1.3751250847348203E-2</v>
      </c>
      <c r="O35" s="47">
        <f t="shared" ref="O35:O66" si="2">M35/$J$74</f>
        <v>0.13002506093583713</v>
      </c>
      <c r="P35" s="48"/>
      <c r="Q35"/>
      <c r="R35"/>
      <c r="S35"/>
      <c r="T3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</row>
    <row r="36" spans="1:828" s="27" customFormat="1" ht="18" x14ac:dyDescent="0.2">
      <c r="A36" s="28"/>
      <c r="D36" s="29"/>
      <c r="E36" s="23"/>
      <c r="F36" s="23" t="s">
        <v>71</v>
      </c>
      <c r="G36" s="29">
        <v>906</v>
      </c>
      <c r="H36" s="30"/>
      <c r="I36" s="23" t="s">
        <v>32</v>
      </c>
      <c r="J36" s="29">
        <v>0</v>
      </c>
      <c r="K36" s="30"/>
      <c r="L36" s="23" t="s">
        <v>33</v>
      </c>
      <c r="M36" s="29">
        <v>64</v>
      </c>
      <c r="N36" s="47">
        <f t="shared" si="1"/>
        <v>7.31140449982246E-3</v>
      </c>
      <c r="O36" s="47">
        <f t="shared" si="2"/>
        <v>5.4928078547152319E-4</v>
      </c>
      <c r="P36" s="48"/>
      <c r="Q36"/>
      <c r="R36"/>
      <c r="S36"/>
      <c r="T36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</row>
    <row r="37" spans="1:828" s="27" customFormat="1" ht="18" x14ac:dyDescent="0.2">
      <c r="A37" s="28"/>
      <c r="D37" s="29"/>
      <c r="E37" s="23"/>
      <c r="F37" s="23" t="s">
        <v>72</v>
      </c>
      <c r="G37" s="29">
        <v>826</v>
      </c>
      <c r="H37" s="30"/>
      <c r="I37" s="23" t="s">
        <v>34</v>
      </c>
      <c r="J37" s="29">
        <v>37</v>
      </c>
      <c r="K37" s="30"/>
      <c r="L37" s="23"/>
      <c r="M37" s="29"/>
      <c r="N37" s="47">
        <f t="shared" si="1"/>
        <v>6.6658058684915585E-3</v>
      </c>
      <c r="O37" s="47">
        <f t="shared" si="2"/>
        <v>0</v>
      </c>
      <c r="P37" s="48"/>
      <c r="Q37" s="51"/>
      <c r="R37"/>
      <c r="S37"/>
      <c r="T37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</row>
    <row r="38" spans="1:828" s="27" customFormat="1" ht="18" x14ac:dyDescent="0.2">
      <c r="A38" s="28"/>
      <c r="D38" s="29"/>
      <c r="E38" s="23"/>
      <c r="F38" s="27" t="s">
        <v>35</v>
      </c>
      <c r="G38" s="29">
        <v>265</v>
      </c>
      <c r="H38" s="30"/>
      <c r="I38" s="23" t="s">
        <v>36</v>
      </c>
      <c r="J38" s="29">
        <v>18</v>
      </c>
      <c r="K38" s="30"/>
      <c r="L38" s="23" t="s">
        <v>37</v>
      </c>
      <c r="M38" s="29">
        <v>603</v>
      </c>
      <c r="N38" s="47">
        <f t="shared" si="1"/>
        <v>2.1385454662836115E-3</v>
      </c>
      <c r="O38" s="47">
        <f t="shared" si="2"/>
        <v>5.1752549006145081E-3</v>
      </c>
      <c r="P38" s="48"/>
      <c r="Q38"/>
      <c r="R38"/>
      <c r="S38"/>
      <c r="T38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</row>
    <row r="39" spans="1:828" s="27" customFormat="1" ht="18" x14ac:dyDescent="0.2">
      <c r="A39" s="28"/>
      <c r="D39" s="29"/>
      <c r="E39" s="23"/>
      <c r="F39" s="27" t="s">
        <v>30</v>
      </c>
      <c r="G39" s="29">
        <v>151</v>
      </c>
      <c r="H39" s="30"/>
      <c r="I39" s="23"/>
      <c r="J39" s="29"/>
      <c r="K39" s="30"/>
      <c r="L39" s="23" t="s">
        <v>38</v>
      </c>
      <c r="M39" s="29">
        <v>996</v>
      </c>
      <c r="N39" s="47">
        <f t="shared" si="1"/>
        <v>1.2185674166370767E-3</v>
      </c>
      <c r="O39" s="47">
        <f t="shared" si="2"/>
        <v>8.54818222390058E-3</v>
      </c>
      <c r="P39" s="48"/>
      <c r="Q39"/>
      <c r="R39"/>
      <c r="S39"/>
      <c r="T39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</row>
    <row r="40" spans="1:828" s="27" customFormat="1" ht="18" x14ac:dyDescent="0.2">
      <c r="A40" s="28"/>
      <c r="D40" s="29"/>
      <c r="E40" s="23"/>
      <c r="F40" s="23" t="s">
        <v>74</v>
      </c>
      <c r="G40" s="29">
        <v>13</v>
      </c>
      <c r="H40" s="30"/>
      <c r="I40" s="23"/>
      <c r="K40" s="30"/>
      <c r="L40" s="23" t="s">
        <v>39</v>
      </c>
      <c r="M40" s="29">
        <v>190</v>
      </c>
      <c r="N40" s="47">
        <f t="shared" si="1"/>
        <v>1.049097775912715E-4</v>
      </c>
      <c r="O40" s="47">
        <f t="shared" si="2"/>
        <v>1.6306773318685846E-3</v>
      </c>
      <c r="P40" s="48"/>
      <c r="Q40"/>
      <c r="R40"/>
      <c r="S40"/>
      <c r="T40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</row>
    <row r="41" spans="1:828" s="27" customFormat="1" ht="18" x14ac:dyDescent="0.2">
      <c r="A41" s="28"/>
      <c r="D41" s="29"/>
      <c r="E41" s="23"/>
      <c r="F41" s="23" t="s">
        <v>40</v>
      </c>
      <c r="G41" s="29">
        <v>7</v>
      </c>
      <c r="H41" s="30"/>
      <c r="I41" s="23"/>
      <c r="J41" s="29"/>
      <c r="K41" s="30"/>
      <c r="L41" s="23" t="s">
        <v>41</v>
      </c>
      <c r="M41" s="29">
        <v>688</v>
      </c>
      <c r="N41" s="47">
        <f t="shared" si="1"/>
        <v>5.6489880241453885E-5</v>
      </c>
      <c r="O41" s="47">
        <f t="shared" si="2"/>
        <v>5.9047684438188744E-3</v>
      </c>
      <c r="P41" s="48"/>
      <c r="Q41"/>
      <c r="R41"/>
      <c r="S41"/>
      <c r="T41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</row>
    <row r="42" spans="1:828" s="27" customFormat="1" ht="18" x14ac:dyDescent="0.2">
      <c r="A42" s="28"/>
      <c r="D42" s="29"/>
      <c r="E42" s="23"/>
      <c r="F42" s="23"/>
      <c r="G42" s="23"/>
      <c r="H42" s="30"/>
      <c r="I42" s="23"/>
      <c r="J42" s="29"/>
      <c r="K42" s="30"/>
      <c r="L42" s="23" t="s">
        <v>42</v>
      </c>
      <c r="M42" s="29">
        <v>60</v>
      </c>
      <c r="N42" s="47"/>
      <c r="O42" s="47">
        <f t="shared" si="2"/>
        <v>5.1495073637955306E-4</v>
      </c>
      <c r="P42" s="48"/>
      <c r="Q42"/>
      <c r="R42"/>
      <c r="S42"/>
      <c r="T4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</row>
    <row r="43" spans="1:828" s="27" customFormat="1" ht="18" x14ac:dyDescent="0.2">
      <c r="A43" s="28"/>
      <c r="C43" s="23"/>
      <c r="D43" s="29"/>
      <c r="E43" s="23"/>
      <c r="F43" s="23"/>
      <c r="G43" s="23"/>
      <c r="H43" s="30"/>
      <c r="I43" s="23"/>
      <c r="J43" s="29"/>
      <c r="K43" s="30"/>
      <c r="L43" s="23"/>
      <c r="M43" s="29"/>
      <c r="N43" s="47"/>
      <c r="O43" s="47"/>
      <c r="P43" s="4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</row>
    <row r="44" spans="1:828" s="27" customFormat="1" ht="18" x14ac:dyDescent="0.2">
      <c r="A44" s="28"/>
      <c r="C44" s="23"/>
      <c r="D44" s="29"/>
      <c r="E44" s="23"/>
      <c r="F44" s="23"/>
      <c r="G44" s="23"/>
      <c r="H44" s="30"/>
      <c r="I44" s="23"/>
      <c r="J44" s="29"/>
      <c r="K44" s="30"/>
      <c r="L44" s="23"/>
      <c r="M44" s="29"/>
      <c r="N44" s="47"/>
      <c r="O44" s="47"/>
      <c r="P44" s="4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</row>
    <row r="45" spans="1:828" s="27" customFormat="1" ht="18" x14ac:dyDescent="0.2">
      <c r="A45" s="28"/>
      <c r="C45" s="23"/>
      <c r="D45" s="29"/>
      <c r="E45" s="23"/>
      <c r="F45" s="23"/>
      <c r="G45" s="23"/>
      <c r="H45" s="30"/>
      <c r="I45" s="23"/>
      <c r="J45" s="29"/>
      <c r="K45" s="30"/>
      <c r="L45" s="23"/>
      <c r="M45" s="29"/>
      <c r="N45" s="47"/>
      <c r="O45" s="47"/>
      <c r="P45" s="4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</row>
    <row r="46" spans="1:828" s="27" customFormat="1" ht="18" x14ac:dyDescent="0.2">
      <c r="A46" s="28"/>
      <c r="C46" s="23"/>
      <c r="D46" s="29"/>
      <c r="E46" s="23"/>
      <c r="F46" s="23"/>
      <c r="G46" s="23"/>
      <c r="H46" s="30"/>
      <c r="I46" s="23"/>
      <c r="J46" s="29"/>
      <c r="K46" s="30"/>
      <c r="L46" s="23"/>
      <c r="M46" s="29"/>
      <c r="N46" s="47"/>
      <c r="O46" s="47"/>
      <c r="P46" s="48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</row>
    <row r="47" spans="1:828" s="60" customFormat="1" ht="19" x14ac:dyDescent="0.2">
      <c r="A47" s="52" t="s">
        <v>43</v>
      </c>
      <c r="B47" s="53">
        <f t="shared" si="0"/>
        <v>2.0981955518254302E-3</v>
      </c>
      <c r="C47" s="54" t="s">
        <v>44</v>
      </c>
      <c r="D47" s="55">
        <v>260</v>
      </c>
      <c r="E47" s="56">
        <f>SUM(G47:G49)/D74</f>
        <v>4.7451499402821262E-3</v>
      </c>
      <c r="F47" s="57" t="s">
        <v>73</v>
      </c>
      <c r="G47" s="57">
        <v>542</v>
      </c>
      <c r="H47" s="58">
        <f>J47/J74</f>
        <v>6.170826324281644E-3</v>
      </c>
      <c r="I47" s="54" t="s">
        <v>45</v>
      </c>
      <c r="J47" s="55">
        <v>719</v>
      </c>
      <c r="K47" s="58">
        <f>SUM(M47:M49)/J74</f>
        <v>1.5551512238662501E-2</v>
      </c>
      <c r="L47" s="54" t="s">
        <v>46</v>
      </c>
      <c r="M47" s="55">
        <v>1590</v>
      </c>
      <c r="N47" s="47">
        <f t="shared" si="1"/>
        <v>4.3739307272668585E-3</v>
      </c>
      <c r="O47" s="47">
        <f t="shared" si="2"/>
        <v>1.3646194514058156E-2</v>
      </c>
      <c r="P47" s="48"/>
      <c r="Q47" s="12"/>
      <c r="R47" s="12"/>
      <c r="S47" s="12"/>
      <c r="T47" s="12"/>
      <c r="U47" s="12"/>
      <c r="V47" s="12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  <c r="QI47" s="59"/>
      <c r="QJ47" s="59"/>
      <c r="QK47" s="59"/>
      <c r="QL47" s="59"/>
      <c r="QM47" s="59"/>
      <c r="QN47" s="59"/>
      <c r="QO47" s="59"/>
      <c r="QP47" s="59"/>
      <c r="QQ47" s="59"/>
      <c r="QR47" s="59"/>
      <c r="QS47" s="59"/>
      <c r="QT47" s="59"/>
      <c r="QU47" s="59"/>
      <c r="QV47" s="59"/>
      <c r="QW47" s="59"/>
      <c r="QX47" s="59"/>
      <c r="QY47" s="59"/>
      <c r="QZ47" s="59"/>
      <c r="RA47" s="59"/>
      <c r="RB47" s="59"/>
      <c r="RC47" s="59"/>
      <c r="RD47" s="59"/>
      <c r="RE47" s="59"/>
      <c r="RF47" s="59"/>
      <c r="RG47" s="59"/>
      <c r="RH47" s="59"/>
      <c r="RI47" s="59"/>
      <c r="RJ47" s="59"/>
      <c r="RK47" s="59"/>
      <c r="RL47" s="59"/>
      <c r="RM47" s="59"/>
      <c r="RN47" s="59"/>
      <c r="RO47" s="59"/>
      <c r="RP47" s="59"/>
      <c r="RQ47" s="59"/>
      <c r="RR47" s="59"/>
      <c r="RS47" s="59"/>
      <c r="RT47" s="59"/>
      <c r="RU47" s="59"/>
      <c r="RV47" s="59"/>
      <c r="RW47" s="59"/>
      <c r="RX47" s="59"/>
      <c r="RY47" s="59"/>
      <c r="RZ47" s="59"/>
      <c r="SA47" s="59"/>
      <c r="SB47" s="59"/>
      <c r="SC47" s="59"/>
      <c r="SD47" s="59"/>
      <c r="SE47" s="59"/>
      <c r="SF47" s="59"/>
      <c r="SG47" s="59"/>
      <c r="SH47" s="59"/>
      <c r="SI47" s="59"/>
      <c r="SJ47" s="59"/>
      <c r="SK47" s="59"/>
      <c r="SL47" s="59"/>
      <c r="SM47" s="59"/>
      <c r="SN47" s="59"/>
      <c r="SO47" s="59"/>
      <c r="SP47" s="59"/>
      <c r="SQ47" s="59"/>
      <c r="SR47" s="59"/>
      <c r="SS47" s="59"/>
      <c r="ST47" s="59"/>
      <c r="SU47" s="59"/>
      <c r="SV47" s="59"/>
      <c r="SW47" s="59"/>
      <c r="SX47" s="59"/>
      <c r="SY47" s="59"/>
      <c r="SZ47" s="59"/>
      <c r="TA47" s="59"/>
      <c r="TB47" s="59"/>
      <c r="TC47" s="59"/>
      <c r="TD47" s="59"/>
      <c r="TE47" s="59"/>
      <c r="TF47" s="59"/>
      <c r="TG47" s="59"/>
      <c r="TH47" s="59"/>
      <c r="TI47" s="59"/>
      <c r="TJ47" s="59"/>
      <c r="TK47" s="59"/>
      <c r="TL47" s="59"/>
      <c r="TM47" s="59"/>
      <c r="TN47" s="59"/>
      <c r="TO47" s="59"/>
      <c r="TP47" s="59"/>
      <c r="TQ47" s="59"/>
      <c r="TR47" s="59"/>
      <c r="TS47" s="59"/>
      <c r="TT47" s="59"/>
      <c r="TU47" s="59"/>
      <c r="TV47" s="59"/>
      <c r="TW47" s="59"/>
      <c r="TX47" s="59"/>
      <c r="TY47" s="59"/>
      <c r="TZ47" s="59"/>
      <c r="UA47" s="59"/>
      <c r="UB47" s="59"/>
      <c r="UC47" s="59"/>
      <c r="UD47" s="59"/>
      <c r="UE47" s="59"/>
      <c r="UF47" s="59"/>
      <c r="UG47" s="59"/>
      <c r="UH47" s="59"/>
      <c r="UI47" s="59"/>
      <c r="UJ47" s="59"/>
      <c r="UK47" s="59"/>
      <c r="UL47" s="59"/>
      <c r="UM47" s="59"/>
      <c r="UN47" s="59"/>
      <c r="UO47" s="59"/>
      <c r="UP47" s="59"/>
      <c r="UQ47" s="59"/>
      <c r="UR47" s="59"/>
      <c r="US47" s="59"/>
      <c r="UT47" s="59"/>
      <c r="UU47" s="59"/>
      <c r="UV47" s="59"/>
      <c r="UW47" s="59"/>
      <c r="UX47" s="59"/>
      <c r="UY47" s="59"/>
      <c r="UZ47" s="59"/>
      <c r="VA47" s="59"/>
      <c r="VB47" s="59"/>
      <c r="VC47" s="59"/>
      <c r="VD47" s="59"/>
      <c r="VE47" s="59"/>
      <c r="VF47" s="59"/>
      <c r="VG47" s="59"/>
      <c r="VH47" s="59"/>
      <c r="VI47" s="59"/>
      <c r="VJ47" s="59"/>
      <c r="VK47" s="59"/>
      <c r="VL47" s="59"/>
      <c r="VM47" s="59"/>
      <c r="VN47" s="59"/>
      <c r="VO47" s="59"/>
      <c r="VP47" s="59"/>
      <c r="VQ47" s="59"/>
      <c r="VR47" s="59"/>
      <c r="VS47" s="59"/>
      <c r="VT47" s="59"/>
      <c r="VU47" s="59"/>
      <c r="VV47" s="59"/>
      <c r="VW47" s="59"/>
      <c r="VX47" s="59"/>
      <c r="VY47" s="59"/>
      <c r="VZ47" s="59"/>
      <c r="WA47" s="59"/>
      <c r="WB47" s="59"/>
      <c r="WC47" s="59"/>
      <c r="WD47" s="59"/>
      <c r="WE47" s="59"/>
      <c r="WF47" s="59"/>
      <c r="WG47" s="59"/>
      <c r="WH47" s="59"/>
      <c r="WI47" s="59"/>
      <c r="WJ47" s="59"/>
      <c r="WK47" s="59"/>
      <c r="WL47" s="59"/>
      <c r="WM47" s="59"/>
      <c r="WN47" s="59"/>
      <c r="WO47" s="59"/>
      <c r="WP47" s="59"/>
      <c r="WQ47" s="59"/>
      <c r="WR47" s="59"/>
      <c r="WS47" s="59"/>
      <c r="WT47" s="59"/>
      <c r="WU47" s="59"/>
      <c r="WV47" s="59"/>
      <c r="WW47" s="59"/>
      <c r="WX47" s="59"/>
      <c r="WY47" s="59"/>
      <c r="WZ47" s="59"/>
      <c r="XA47" s="59"/>
      <c r="XB47" s="59"/>
      <c r="XC47" s="59"/>
      <c r="XD47" s="59"/>
      <c r="XE47" s="59"/>
      <c r="XF47" s="59"/>
      <c r="XG47" s="59"/>
      <c r="XH47" s="59"/>
      <c r="XI47" s="59"/>
      <c r="XJ47" s="59"/>
      <c r="XK47" s="59"/>
      <c r="XL47" s="59"/>
      <c r="XM47" s="59"/>
      <c r="XN47" s="59"/>
      <c r="XO47" s="59"/>
      <c r="XP47" s="59"/>
      <c r="XQ47" s="59"/>
      <c r="XR47" s="59"/>
      <c r="XS47" s="59"/>
      <c r="XT47" s="59"/>
      <c r="XU47" s="59"/>
      <c r="XV47" s="59"/>
      <c r="XW47" s="59"/>
      <c r="XX47" s="59"/>
      <c r="XY47" s="59"/>
      <c r="XZ47" s="59"/>
      <c r="YA47" s="59"/>
      <c r="YB47" s="59"/>
      <c r="YC47" s="59"/>
      <c r="YD47" s="59"/>
      <c r="YE47" s="59"/>
      <c r="YF47" s="59"/>
      <c r="YG47" s="59"/>
      <c r="YH47" s="59"/>
      <c r="YI47" s="59"/>
      <c r="YJ47" s="59"/>
      <c r="YK47" s="59"/>
      <c r="YL47" s="59"/>
      <c r="YM47" s="59"/>
      <c r="YN47" s="59"/>
      <c r="YO47" s="59"/>
      <c r="YP47" s="59"/>
      <c r="YQ47" s="59"/>
      <c r="YR47" s="59"/>
      <c r="YS47" s="59"/>
      <c r="YT47" s="59"/>
      <c r="YU47" s="59"/>
      <c r="YV47" s="59"/>
      <c r="YW47" s="59"/>
      <c r="YX47" s="59"/>
      <c r="YY47" s="59"/>
      <c r="YZ47" s="59"/>
      <c r="ZA47" s="59"/>
      <c r="ZB47" s="59"/>
      <c r="ZC47" s="59"/>
      <c r="ZD47" s="59"/>
      <c r="ZE47" s="59"/>
      <c r="ZF47" s="59"/>
      <c r="ZG47" s="59"/>
      <c r="ZH47" s="59"/>
      <c r="ZI47" s="59"/>
      <c r="ZJ47" s="59"/>
      <c r="ZK47" s="59"/>
      <c r="ZL47" s="59"/>
      <c r="ZM47" s="59"/>
      <c r="ZN47" s="59"/>
      <c r="ZO47" s="59"/>
      <c r="ZP47" s="59"/>
      <c r="ZQ47" s="59"/>
      <c r="ZR47" s="59"/>
      <c r="ZS47" s="59"/>
      <c r="ZT47" s="59"/>
      <c r="ZU47" s="59"/>
      <c r="ZV47" s="59"/>
      <c r="ZW47" s="59"/>
      <c r="ZX47" s="59"/>
      <c r="ZY47" s="59"/>
      <c r="ZZ47" s="59"/>
      <c r="AAA47" s="59"/>
      <c r="AAB47" s="59"/>
      <c r="AAC47" s="59"/>
      <c r="AAD47" s="59"/>
      <c r="AAE47" s="59"/>
      <c r="AAF47" s="59"/>
      <c r="AAG47" s="59"/>
      <c r="AAH47" s="59"/>
      <c r="AAI47" s="59"/>
      <c r="AAJ47" s="59"/>
      <c r="AAK47" s="59"/>
      <c r="AAL47" s="59"/>
      <c r="AAM47" s="59"/>
      <c r="AAN47" s="59"/>
      <c r="AAO47" s="59"/>
      <c r="AAP47" s="59"/>
      <c r="AAQ47" s="59"/>
      <c r="AAR47" s="59"/>
      <c r="AAS47" s="59"/>
      <c r="AAT47" s="59"/>
      <c r="AAU47" s="59"/>
      <c r="AAV47" s="59"/>
      <c r="AAW47" s="59"/>
      <c r="AAX47" s="59"/>
      <c r="AAY47" s="59"/>
      <c r="AAZ47" s="59"/>
      <c r="ABA47" s="59"/>
      <c r="ABB47" s="59"/>
      <c r="ABC47" s="59"/>
      <c r="ABD47" s="59"/>
      <c r="ABE47" s="59"/>
      <c r="ABF47" s="59"/>
      <c r="ABG47" s="59"/>
      <c r="ABH47" s="59"/>
      <c r="ABI47" s="59"/>
      <c r="ABJ47" s="59"/>
      <c r="ABK47" s="59"/>
      <c r="ABL47" s="59"/>
      <c r="ABM47" s="59"/>
      <c r="ABN47" s="59"/>
      <c r="ABO47" s="59"/>
      <c r="ABP47" s="59"/>
      <c r="ABQ47" s="59"/>
      <c r="ABR47" s="59"/>
      <c r="ABS47" s="59"/>
      <c r="ABT47" s="59"/>
      <c r="ABU47" s="59"/>
      <c r="ABV47" s="59"/>
      <c r="ABW47" s="59"/>
      <c r="ABX47" s="59"/>
      <c r="ABY47" s="59"/>
      <c r="ABZ47" s="59"/>
      <c r="ACA47" s="59"/>
      <c r="ACB47" s="59"/>
      <c r="ACC47" s="59"/>
      <c r="ACD47" s="59"/>
      <c r="ACE47" s="59"/>
      <c r="ACF47" s="59"/>
      <c r="ACG47" s="59"/>
      <c r="ACH47" s="59"/>
      <c r="ACI47" s="59"/>
      <c r="ACJ47" s="59"/>
      <c r="ACK47" s="59"/>
      <c r="ACL47" s="59"/>
      <c r="ACM47" s="59"/>
      <c r="ACN47" s="59"/>
      <c r="ACO47" s="59"/>
      <c r="ACP47" s="59"/>
      <c r="ACQ47" s="59"/>
      <c r="ACR47" s="59"/>
      <c r="ACS47" s="59"/>
      <c r="ACT47" s="59"/>
      <c r="ACU47" s="59"/>
      <c r="ACV47" s="59"/>
      <c r="ACW47" s="59"/>
      <c r="ACX47" s="59"/>
      <c r="ACY47" s="59"/>
      <c r="ACZ47" s="59"/>
      <c r="ADA47" s="59"/>
      <c r="ADB47" s="59"/>
      <c r="ADC47" s="59"/>
      <c r="ADD47" s="59"/>
      <c r="ADE47" s="59"/>
      <c r="ADF47" s="59"/>
      <c r="ADG47" s="59"/>
      <c r="ADH47" s="59"/>
      <c r="ADI47" s="59"/>
      <c r="ADJ47" s="59"/>
      <c r="ADK47" s="59"/>
      <c r="ADL47" s="59"/>
      <c r="ADM47" s="59"/>
      <c r="ADN47" s="59"/>
      <c r="ADO47" s="59"/>
      <c r="ADP47" s="59"/>
      <c r="ADQ47" s="59"/>
      <c r="ADR47" s="59"/>
      <c r="ADS47" s="59"/>
      <c r="ADT47" s="59"/>
      <c r="ADU47" s="59"/>
      <c r="ADV47" s="59"/>
      <c r="ADW47" s="59"/>
      <c r="ADX47" s="59"/>
      <c r="ADY47" s="59"/>
      <c r="ADZ47" s="59"/>
      <c r="AEA47" s="59"/>
      <c r="AEB47" s="59"/>
      <c r="AEC47" s="59"/>
      <c r="AED47" s="59"/>
      <c r="AEE47" s="59"/>
      <c r="AEF47" s="59"/>
      <c r="AEG47" s="59"/>
      <c r="AEH47" s="59"/>
      <c r="AEI47" s="59"/>
      <c r="AEJ47" s="59"/>
      <c r="AEK47" s="59"/>
      <c r="AEL47" s="59"/>
      <c r="AEM47" s="59"/>
      <c r="AEN47" s="59"/>
      <c r="AEO47" s="59"/>
      <c r="AEP47" s="59"/>
      <c r="AEQ47" s="59"/>
      <c r="AER47" s="59"/>
      <c r="AES47" s="59"/>
      <c r="AET47" s="59"/>
      <c r="AEU47" s="59"/>
      <c r="AEV47" s="59"/>
    </row>
    <row r="48" spans="1:828" s="27" customFormat="1" ht="18" x14ac:dyDescent="0.2">
      <c r="A48" s="61"/>
      <c r="D48" s="29"/>
      <c r="E48" s="23"/>
      <c r="F48" s="27" t="s">
        <v>47</v>
      </c>
      <c r="G48" s="29">
        <v>30</v>
      </c>
      <c r="H48" s="30"/>
      <c r="K48" s="30"/>
      <c r="L48" s="23" t="s">
        <v>47</v>
      </c>
      <c r="M48" s="29">
        <v>145</v>
      </c>
      <c r="N48" s="47">
        <f t="shared" si="1"/>
        <v>2.420994867490881E-4</v>
      </c>
      <c r="O48" s="47">
        <f t="shared" si="2"/>
        <v>1.2444642795839198E-3</v>
      </c>
      <c r="P48" s="48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</row>
    <row r="49" spans="1:828" s="27" customFormat="1" ht="18" x14ac:dyDescent="0.2">
      <c r="A49" s="61"/>
      <c r="D49" s="29"/>
      <c r="E49" s="23"/>
      <c r="F49" s="27" t="s">
        <v>75</v>
      </c>
      <c r="G49" s="29">
        <v>16</v>
      </c>
      <c r="H49" s="30"/>
      <c r="K49" s="30"/>
      <c r="L49" s="23" t="s">
        <v>48</v>
      </c>
      <c r="M49" s="29">
        <v>77</v>
      </c>
      <c r="N49" s="47">
        <f t="shared" si="1"/>
        <v>1.2911972626618033E-4</v>
      </c>
      <c r="O49" s="47">
        <f t="shared" si="2"/>
        <v>6.6085344502042642E-4</v>
      </c>
      <c r="P49" s="48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</row>
    <row r="50" spans="1:828" s="27" customFormat="1" ht="18" x14ac:dyDescent="0.2">
      <c r="A50" s="61"/>
      <c r="D50" s="29"/>
      <c r="E50" s="23"/>
      <c r="F50" s="23"/>
      <c r="G50" s="23"/>
      <c r="H50" s="30"/>
      <c r="K50" s="30"/>
      <c r="L50" s="23"/>
      <c r="M50" s="29"/>
      <c r="N50" s="47"/>
      <c r="O50" s="47"/>
      <c r="P50" s="48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</row>
    <row r="51" spans="1:828" s="27" customFormat="1" ht="18" x14ac:dyDescent="0.2">
      <c r="A51" s="61"/>
      <c r="D51" s="29"/>
      <c r="E51" s="23"/>
      <c r="F51" s="23"/>
      <c r="G51" s="23"/>
      <c r="H51" s="30"/>
      <c r="I51" s="23"/>
      <c r="J51" s="29"/>
      <c r="K51" s="30"/>
      <c r="L51" s="23"/>
      <c r="M51" s="29"/>
      <c r="N51" s="47"/>
      <c r="O51" s="47"/>
      <c r="P51" s="48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</row>
    <row r="52" spans="1:828" s="27" customFormat="1" ht="18" x14ac:dyDescent="0.2">
      <c r="A52" s="61"/>
      <c r="D52" s="29"/>
      <c r="E52" s="23"/>
      <c r="F52" s="23"/>
      <c r="G52" s="23"/>
      <c r="H52" s="30"/>
      <c r="I52" s="23"/>
      <c r="J52" s="29"/>
      <c r="K52" s="30"/>
      <c r="L52" s="23"/>
      <c r="M52" s="29"/>
      <c r="N52" s="47"/>
      <c r="O52" s="47"/>
      <c r="P52" s="48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</row>
    <row r="53" spans="1:828" s="27" customFormat="1" ht="18" x14ac:dyDescent="0.2">
      <c r="A53" s="61"/>
      <c r="D53" s="29"/>
      <c r="E53" s="23"/>
      <c r="F53" s="23"/>
      <c r="G53" s="23"/>
      <c r="H53" s="30"/>
      <c r="K53" s="30"/>
      <c r="L53" s="23"/>
      <c r="M53" s="29"/>
      <c r="N53" s="47"/>
      <c r="O53" s="47"/>
      <c r="P53" s="48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</row>
    <row r="54" spans="1:828" s="27" customFormat="1" ht="18" x14ac:dyDescent="0.2">
      <c r="A54" s="61"/>
      <c r="C54" s="23"/>
      <c r="D54" s="29"/>
      <c r="E54" s="23"/>
      <c r="F54" s="23"/>
      <c r="G54" s="23"/>
      <c r="H54" s="30"/>
      <c r="K54" s="30"/>
      <c r="L54" s="23"/>
      <c r="M54" s="29"/>
      <c r="N54" s="47"/>
      <c r="O54" s="47"/>
      <c r="P54" s="48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</row>
    <row r="55" spans="1:828" s="27" customFormat="1" ht="18" x14ac:dyDescent="0.2">
      <c r="A55" s="61"/>
      <c r="C55" s="23"/>
      <c r="D55" s="29"/>
      <c r="E55" s="23"/>
      <c r="F55" s="23"/>
      <c r="G55" s="23"/>
      <c r="H55" s="30"/>
      <c r="I55" s="23"/>
      <c r="J55" s="29"/>
      <c r="K55" s="30"/>
      <c r="L55" s="23"/>
      <c r="M55" s="29"/>
      <c r="N55" s="47"/>
      <c r="O55" s="47"/>
      <c r="P55" s="48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</row>
    <row r="56" spans="1:828" s="27" customFormat="1" ht="18" x14ac:dyDescent="0.2">
      <c r="A56" s="61"/>
      <c r="C56" s="23"/>
      <c r="D56" s="29"/>
      <c r="E56" s="23"/>
      <c r="F56" s="23"/>
      <c r="G56" s="23"/>
      <c r="H56" s="30"/>
      <c r="I56" s="23"/>
      <c r="J56" s="29"/>
      <c r="K56" s="30"/>
      <c r="L56" s="23"/>
      <c r="M56" s="29"/>
      <c r="N56" s="47"/>
      <c r="O56" s="47"/>
      <c r="P56" s="48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</row>
    <row r="57" spans="1:828" s="27" customFormat="1" ht="18" x14ac:dyDescent="0.2">
      <c r="A57" s="61"/>
      <c r="C57" s="23"/>
      <c r="D57" s="29"/>
      <c r="E57" s="23"/>
      <c r="F57" s="23"/>
      <c r="G57" s="23"/>
      <c r="H57" s="30"/>
      <c r="I57" s="23"/>
      <c r="J57" s="29"/>
      <c r="K57" s="30"/>
      <c r="L57" s="23"/>
      <c r="M57" s="29"/>
      <c r="N57" s="47"/>
      <c r="O57" s="47"/>
      <c r="P57" s="48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</row>
    <row r="58" spans="1:828" s="27" customFormat="1" ht="18" x14ac:dyDescent="0.2">
      <c r="A58" s="61"/>
      <c r="C58" s="23"/>
      <c r="D58" s="29"/>
      <c r="E58" s="23"/>
      <c r="F58" s="23"/>
      <c r="G58" s="23"/>
      <c r="H58" s="30"/>
      <c r="I58" s="23"/>
      <c r="J58" s="29"/>
      <c r="K58" s="30"/>
      <c r="L58" s="23"/>
      <c r="M58" s="29"/>
      <c r="N58" s="47"/>
      <c r="O58" s="47"/>
      <c r="P58" s="48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</row>
    <row r="59" spans="1:828" s="27" customFormat="1" ht="18" x14ac:dyDescent="0.2">
      <c r="A59" s="62"/>
      <c r="C59" s="63"/>
      <c r="D59" s="64"/>
      <c r="E59" s="63"/>
      <c r="F59" s="63"/>
      <c r="G59" s="64"/>
      <c r="H59" s="63"/>
      <c r="I59" s="63"/>
      <c r="J59" s="64"/>
      <c r="K59" s="63"/>
      <c r="L59" s="63"/>
      <c r="M59" s="64"/>
      <c r="N59" s="47"/>
      <c r="O59" s="47"/>
      <c r="P59" s="48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</row>
    <row r="60" spans="1:828" s="27" customFormat="1" ht="19" x14ac:dyDescent="0.2">
      <c r="A60" s="61" t="s">
        <v>49</v>
      </c>
      <c r="B60" s="53">
        <f>SUM(D60:D62)/D74</f>
        <v>0.32864198327899546</v>
      </c>
      <c r="C60" s="31" t="s">
        <v>50</v>
      </c>
      <c r="D60" s="29">
        <v>390</v>
      </c>
      <c r="E60" s="37">
        <f>SUM(G60:G61)/D74</f>
        <v>3.1198553859065819E-2</v>
      </c>
      <c r="F60" s="23" t="s">
        <v>68</v>
      </c>
      <c r="G60" s="29">
        <v>2713</v>
      </c>
      <c r="H60" s="50">
        <f>SUM(J60:J64)/J74</f>
        <v>0.41519619623056059</v>
      </c>
      <c r="I60" s="23" t="s">
        <v>51</v>
      </c>
      <c r="J60" s="29">
        <v>2</v>
      </c>
      <c r="K60" s="50">
        <f>SUM(M60:M61)/J74</f>
        <v>2.8820076212708986E-2</v>
      </c>
      <c r="L60" s="23" t="s">
        <v>52</v>
      </c>
      <c r="M60" s="29">
        <v>1748</v>
      </c>
      <c r="N60" s="47">
        <f t="shared" si="1"/>
        <v>2.18938635850092E-2</v>
      </c>
      <c r="O60" s="47">
        <f t="shared" si="2"/>
        <v>1.5002231453190977E-2</v>
      </c>
      <c r="P60" s="48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</row>
    <row r="61" spans="1:828" s="27" customFormat="1" ht="18" x14ac:dyDescent="0.2">
      <c r="A61" s="61"/>
      <c r="B61" s="53"/>
      <c r="C61" s="23" t="s">
        <v>53</v>
      </c>
      <c r="D61" s="29">
        <v>1144</v>
      </c>
      <c r="E61" s="23"/>
      <c r="F61" s="23" t="s">
        <v>70</v>
      </c>
      <c r="G61" s="29">
        <v>1153</v>
      </c>
      <c r="H61" s="30"/>
      <c r="I61" s="23" t="s">
        <v>54</v>
      </c>
      <c r="J61" s="29">
        <v>108</v>
      </c>
      <c r="K61" s="30"/>
      <c r="L61" s="23" t="s">
        <v>55</v>
      </c>
      <c r="M61" s="29">
        <v>1610</v>
      </c>
      <c r="N61" s="47">
        <f t="shared" si="1"/>
        <v>9.3046902740566186E-3</v>
      </c>
      <c r="O61" s="47">
        <f t="shared" si="2"/>
        <v>1.3817844759518007E-2</v>
      </c>
      <c r="P61" s="48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</row>
    <row r="62" spans="1:828" s="27" customFormat="1" ht="18" x14ac:dyDescent="0.2">
      <c r="A62" s="61"/>
      <c r="B62" s="53"/>
      <c r="C62" s="23" t="s">
        <v>56</v>
      </c>
      <c r="D62" s="29">
        <v>39190</v>
      </c>
      <c r="E62" s="23"/>
      <c r="F62" s="23"/>
      <c r="G62" s="23"/>
      <c r="H62" s="30"/>
      <c r="I62" s="23" t="s">
        <v>57</v>
      </c>
      <c r="J62" s="29">
        <v>1904</v>
      </c>
      <c r="K62" s="30"/>
      <c r="L62" s="23"/>
      <c r="M62" s="29"/>
      <c r="N62" s="47"/>
      <c r="O62" s="47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</row>
    <row r="63" spans="1:828" s="27" customFormat="1" ht="18" x14ac:dyDescent="0.2">
      <c r="A63" s="61"/>
      <c r="D63" s="29"/>
      <c r="E63" s="23"/>
      <c r="F63" s="23"/>
      <c r="G63" s="23"/>
      <c r="H63" s="30"/>
      <c r="I63" s="23" t="s">
        <v>58</v>
      </c>
      <c r="J63" s="29">
        <v>44961</v>
      </c>
      <c r="K63" s="30"/>
      <c r="L63" s="23"/>
      <c r="M63" s="29"/>
      <c r="N63" s="47"/>
      <c r="O63" s="47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</row>
    <row r="64" spans="1:828" s="27" customFormat="1" ht="18" x14ac:dyDescent="0.2">
      <c r="A64" s="61"/>
      <c r="D64" s="29"/>
      <c r="E64" s="23"/>
      <c r="F64" s="23"/>
      <c r="G64" s="23"/>
      <c r="H64" s="30"/>
      <c r="I64" s="23" t="s">
        <v>59</v>
      </c>
      <c r="J64" s="29">
        <v>1402</v>
      </c>
      <c r="K64" s="30"/>
      <c r="L64" s="23"/>
      <c r="M64" s="29"/>
      <c r="N64" s="47"/>
      <c r="O64" s="47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</row>
    <row r="65" spans="1:828" s="65" customFormat="1" ht="19" thickBot="1" x14ac:dyDescent="0.25">
      <c r="A65" s="62"/>
      <c r="B65" s="27"/>
      <c r="D65" s="64"/>
      <c r="E65" s="63"/>
      <c r="F65" s="63"/>
      <c r="G65" s="63"/>
      <c r="H65" s="66"/>
      <c r="I65" s="63"/>
      <c r="J65" s="64"/>
      <c r="K65" s="66"/>
      <c r="L65" s="63"/>
      <c r="M65" s="64"/>
      <c r="N65" s="47"/>
      <c r="O65" s="47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</row>
    <row r="66" spans="1:828" s="27" customFormat="1" ht="19" x14ac:dyDescent="0.2">
      <c r="A66" s="28" t="s">
        <v>60</v>
      </c>
      <c r="B66" s="26">
        <f t="shared" si="0"/>
        <v>9.8937990251460675E-3</v>
      </c>
      <c r="C66" s="23" t="s">
        <v>61</v>
      </c>
      <c r="D66" s="29">
        <f>1216+10</f>
        <v>1226</v>
      </c>
      <c r="E66" s="37">
        <f>G66/D74</f>
        <v>4.0349914458181346E-4</v>
      </c>
      <c r="F66" s="23" t="s">
        <v>62</v>
      </c>
      <c r="G66" s="29">
        <v>50</v>
      </c>
      <c r="H66" s="50">
        <f>SUM(J66:J67)/J74</f>
        <v>3.0467918569123554E-3</v>
      </c>
      <c r="I66" s="23" t="s">
        <v>63</v>
      </c>
      <c r="J66" s="29">
        <v>196</v>
      </c>
      <c r="K66" s="50">
        <f>M66/J74</f>
        <v>4.3770812592262007E-4</v>
      </c>
      <c r="L66" s="23" t="s">
        <v>64</v>
      </c>
      <c r="M66" s="29">
        <v>51</v>
      </c>
      <c r="N66" s="47">
        <f t="shared" si="1"/>
        <v>4.0349914458181346E-4</v>
      </c>
      <c r="O66" s="47">
        <f t="shared" si="2"/>
        <v>4.3770812592262007E-4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</row>
    <row r="67" spans="1:828" s="27" customFormat="1" ht="18" x14ac:dyDescent="0.2">
      <c r="A67" s="67"/>
      <c r="B67" s="30"/>
      <c r="D67" s="29"/>
      <c r="E67" s="23"/>
      <c r="F67" s="23"/>
      <c r="G67" s="23"/>
      <c r="H67" s="30"/>
      <c r="I67" s="23" t="s">
        <v>65</v>
      </c>
      <c r="J67" s="29">
        <v>159</v>
      </c>
      <c r="K67" s="30"/>
      <c r="L67" s="23"/>
      <c r="M67" s="29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</row>
    <row r="68" spans="1:828" s="27" customFormat="1" ht="18" x14ac:dyDescent="0.2">
      <c r="A68" s="67"/>
      <c r="B68" s="30"/>
      <c r="C68" s="23"/>
      <c r="D68" s="29"/>
      <c r="E68" s="23"/>
      <c r="F68" s="23"/>
      <c r="G68" s="23"/>
      <c r="H68" s="30"/>
      <c r="I68" s="23"/>
      <c r="J68" s="29"/>
      <c r="K68" s="30"/>
      <c r="L68" s="23"/>
      <c r="M68" s="29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</row>
    <row r="69" spans="1:828" s="27" customFormat="1" ht="18" x14ac:dyDescent="0.2">
      <c r="A69" s="67"/>
      <c r="B69" s="30"/>
      <c r="C69" s="23"/>
      <c r="D69" s="29"/>
      <c r="E69" s="23"/>
      <c r="F69" s="23"/>
      <c r="G69" s="23"/>
      <c r="H69" s="30"/>
      <c r="I69" s="23"/>
      <c r="J69" s="29"/>
      <c r="K69" s="30"/>
      <c r="L69" s="23"/>
      <c r="M69" s="29"/>
      <c r="N69" s="12"/>
      <c r="O69" s="12"/>
      <c r="P69" s="68"/>
      <c r="Q69" s="68"/>
      <c r="R69" s="68"/>
      <c r="S69" s="68"/>
      <c r="T69" s="68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</row>
    <row r="70" spans="1:828" s="27" customFormat="1" ht="19" thickBot="1" x14ac:dyDescent="0.25">
      <c r="A70" s="69"/>
      <c r="B70" s="42"/>
      <c r="C70" s="40"/>
      <c r="D70" s="41"/>
      <c r="E70" s="40"/>
      <c r="F70" s="40"/>
      <c r="G70" s="40"/>
      <c r="H70" s="42"/>
      <c r="I70" s="40"/>
      <c r="J70" s="41"/>
      <c r="K70" s="42"/>
      <c r="L70" s="40"/>
      <c r="M70" s="41"/>
      <c r="N70" s="12"/>
      <c r="O70" s="12"/>
      <c r="P70" s="68"/>
      <c r="Q70" s="68"/>
      <c r="R70" s="68"/>
      <c r="S70" s="68"/>
      <c r="T70" s="68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</row>
    <row r="71" spans="1:828" s="74" customFormat="1" ht="18" x14ac:dyDescent="0.2">
      <c r="A71" s="70" t="s">
        <v>66</v>
      </c>
      <c r="B71" s="71"/>
      <c r="C71" s="72"/>
      <c r="D71" s="73">
        <f>SUM(D5:D66)</f>
        <v>95561</v>
      </c>
      <c r="E71" s="72"/>
      <c r="F71" s="72"/>
      <c r="G71" s="72">
        <f>SUM(G34:G66)</f>
        <v>28355</v>
      </c>
      <c r="H71" s="71"/>
      <c r="I71" s="72"/>
      <c r="J71" s="73">
        <f>SUM(J3:J67)</f>
        <v>92904</v>
      </c>
      <c r="K71" s="71"/>
      <c r="L71" s="72"/>
      <c r="M71" s="73">
        <f>SUM(M2:M67)</f>
        <v>23612</v>
      </c>
      <c r="N71" s="12"/>
      <c r="O71" s="12"/>
      <c r="P71" s="68"/>
      <c r="Q71" s="68"/>
      <c r="R71" s="68"/>
      <c r="S71" s="68"/>
      <c r="T71" s="68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</row>
    <row r="72" spans="1:828" x14ac:dyDescent="0.2">
      <c r="D72" s="77"/>
      <c r="E72" s="78"/>
      <c r="F72" s="78"/>
      <c r="G72" s="78"/>
      <c r="K72" s="27"/>
      <c r="L72" s="27"/>
      <c r="M72" s="29"/>
    </row>
    <row r="73" spans="1:828" x14ac:dyDescent="0.2">
      <c r="K73" s="27"/>
      <c r="L73" s="27"/>
      <c r="M73" s="29"/>
    </row>
    <row r="74" spans="1:828" x14ac:dyDescent="0.2">
      <c r="D74" s="79">
        <f>D71+G71</f>
        <v>123916</v>
      </c>
      <c r="J74" s="79">
        <f>J71+M71</f>
        <v>116516</v>
      </c>
      <c r="K74" s="27"/>
      <c r="L74" s="27"/>
      <c r="M74" s="29"/>
    </row>
    <row r="75" spans="1:828" x14ac:dyDescent="0.2">
      <c r="D75" s="77">
        <f>D71/D74</f>
        <v>0.77117563510765352</v>
      </c>
      <c r="J75" s="77">
        <f>J71/J74</f>
        <v>0.79734972021009987</v>
      </c>
      <c r="K75" s="27"/>
      <c r="L75" s="27"/>
      <c r="M75" s="29"/>
    </row>
    <row r="76" spans="1:828" x14ac:dyDescent="0.2">
      <c r="J76" s="7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Mexico_city</vt:lpstr>
      <vt:lpstr>out-mexico-city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Zhanchao</dc:creator>
  <cp:lastModifiedBy>Yang, Zhanchao</cp:lastModifiedBy>
  <dcterms:created xsi:type="dcterms:W3CDTF">2025-09-15T15:43:05Z</dcterms:created>
  <dcterms:modified xsi:type="dcterms:W3CDTF">2025-09-16T14:50:55Z</dcterms:modified>
</cp:coreProperties>
</file>