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pple/Desktop/"/>
    </mc:Choice>
  </mc:AlternateContent>
  <xr:revisionPtr revIDLastSave="0" documentId="13_ncr:1_{96FA343C-1A95-D046-97AF-568A8780888C}" xr6:coauthVersionLast="47" xr6:coauthVersionMax="47" xr10:uidLastSave="{00000000-0000-0000-0000-000000000000}"/>
  <bookViews>
    <workbookView xWindow="4320" yWindow="860" windowWidth="22500" windowHeight="17320" activeTab="1" xr2:uid="{3EF6F1BB-ED37-3543-A6D9-F80F42A03DF8}"/>
  </bookViews>
  <sheets>
    <sheet name="Mexico_city" sheetId="1" r:id="rId1"/>
    <sheet name="out-mexico-city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4" i="2" l="1"/>
  <c r="D34" i="2"/>
  <c r="D66" i="2" l="1"/>
  <c r="D5" i="2"/>
  <c r="D71" i="2" s="1"/>
  <c r="D28" i="2"/>
  <c r="M71" i="2"/>
  <c r="J71" i="2"/>
  <c r="G71" i="2"/>
  <c r="D34" i="1"/>
  <c r="D74" i="2" l="1"/>
  <c r="B34" i="2" s="1"/>
  <c r="H66" i="2"/>
  <c r="K47" i="2"/>
  <c r="H5" i="2"/>
  <c r="K60" i="2"/>
  <c r="K34" i="2"/>
  <c r="H20" i="2"/>
  <c r="H60" i="2"/>
  <c r="H34" i="2"/>
  <c r="H11" i="2"/>
  <c r="H47" i="2"/>
  <c r="H28" i="2"/>
  <c r="H2" i="2"/>
  <c r="K66" i="2"/>
  <c r="D66" i="1"/>
  <c r="D5" i="1"/>
  <c r="D28" i="1"/>
  <c r="M71" i="1"/>
  <c r="J71" i="1"/>
  <c r="G71" i="1"/>
  <c r="D71" i="1"/>
  <c r="E47" i="2" l="1"/>
  <c r="B20" i="2"/>
  <c r="E60" i="2"/>
  <c r="E34" i="2"/>
  <c r="B60" i="2"/>
  <c r="B11" i="2"/>
  <c r="E66" i="2"/>
  <c r="B66" i="2"/>
  <c r="B47" i="2"/>
  <c r="B28" i="2"/>
  <c r="B5" i="2"/>
  <c r="D75" i="2"/>
  <c r="D74" i="1"/>
  <c r="J74" i="1"/>
  <c r="K66" i="1" l="1"/>
  <c r="H60" i="1"/>
  <c r="H66" i="1"/>
  <c r="H28" i="1"/>
  <c r="H2" i="1"/>
  <c r="H20" i="1"/>
  <c r="K47" i="1"/>
  <c r="K34" i="1"/>
  <c r="H47" i="1"/>
  <c r="H34" i="1"/>
  <c r="H11" i="1"/>
  <c r="K60" i="1"/>
  <c r="H5" i="1"/>
  <c r="B47" i="1"/>
  <c r="E60" i="1"/>
  <c r="B5" i="1"/>
  <c r="E66" i="1"/>
  <c r="B60" i="1"/>
  <c r="B66" i="1"/>
  <c r="B28" i="1"/>
  <c r="B20" i="1"/>
  <c r="E47" i="1"/>
  <c r="E34" i="1"/>
  <c r="B11" i="1"/>
  <c r="D75" i="1"/>
  <c r="B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Eilleen</author>
  </authors>
  <commentList>
    <comment ref="H6" authorId="0" shapeId="0" xr:uid="{5419182B-1708-4943-9CA7-6888389DD2C8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  <comment ref="K6" authorId="0" shapeId="0" xr:uid="{4C61BF19-344F-BA40-9FFE-D87EBFF3EF2A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Eilleen</author>
  </authors>
  <commentList>
    <comment ref="H6" authorId="0" shapeId="0" xr:uid="{DD3491A4-1653-274A-984D-9F797AD1261D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  <comment ref="K6" authorId="0" shapeId="0" xr:uid="{8C12769C-090A-9B41-91E8-4783A78CBC64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</commentList>
</comments>
</file>

<file path=xl/sharedStrings.xml><?xml version="1.0" encoding="utf-8"?>
<sst xmlns="http://schemas.openxmlformats.org/spreadsheetml/2006/main" count="156" uniqueCount="76">
  <si>
    <t>x</t>
  </si>
  <si>
    <t>single_label</t>
  </si>
  <si>
    <t>count</t>
  </si>
  <si>
    <t>multi_label</t>
  </si>
  <si>
    <t>count2</t>
  </si>
  <si>
    <t>single_la_17</t>
  </si>
  <si>
    <t>count_1</t>
  </si>
  <si>
    <t>multi_la_17</t>
  </si>
  <si>
    <t>count_2</t>
  </si>
  <si>
    <t>Walk</t>
  </si>
  <si>
    <t>NA</t>
  </si>
  <si>
    <t>caminar en la calle (14)</t>
  </si>
  <si>
    <t>Bike</t>
  </si>
  <si>
    <t>Bicicleta (B)</t>
  </si>
  <si>
    <t>Bicicleta (07)</t>
  </si>
  <si>
    <t>Car</t>
  </si>
  <si>
    <t>automovil (9)</t>
  </si>
  <si>
    <t>automovil (01)</t>
  </si>
  <si>
    <t>Taxi (maybe lump with car)</t>
  </si>
  <si>
    <t>Taxi (8)</t>
  </si>
  <si>
    <t>Taxi (App) (03)</t>
  </si>
  <si>
    <t>Taxi (04)</t>
  </si>
  <si>
    <t>Bicitaxi (16)</t>
  </si>
  <si>
    <t>Mototaxi (17)</t>
  </si>
  <si>
    <t>Motorcycle</t>
  </si>
  <si>
    <t>Moto (A)</t>
  </si>
  <si>
    <t>Moto (09)</t>
  </si>
  <si>
    <t>Metro &amp; Light rail</t>
  </si>
  <si>
    <t>Metro, light rail (only)</t>
  </si>
  <si>
    <t>Metro(05)</t>
  </si>
  <si>
    <t>BRT+metro</t>
  </si>
  <si>
    <t>Bus+Metro</t>
  </si>
  <si>
    <t>Tren Ligero(12)</t>
  </si>
  <si>
    <t>Metro+ other mode of metro</t>
  </si>
  <si>
    <t>Tren suburbano (13)</t>
  </si>
  <si>
    <t>Metro +BRT +bus</t>
  </si>
  <si>
    <t>Mexicable  (15)</t>
  </si>
  <si>
    <t>Metro+other</t>
  </si>
  <si>
    <t>BRT +bus +metro</t>
  </si>
  <si>
    <t>BRT + Metro+other</t>
  </si>
  <si>
    <t>Metro+BRT+ bus+other</t>
  </si>
  <si>
    <t>Bus+metro+other</t>
  </si>
  <si>
    <t>BRT+bus+metro+other</t>
  </si>
  <si>
    <t>BRT</t>
  </si>
  <si>
    <t>Metrobus (only)</t>
  </si>
  <si>
    <t>metrobus,Mexibus(11)</t>
  </si>
  <si>
    <t>BRT+Bus</t>
  </si>
  <si>
    <t>BRT+other</t>
  </si>
  <si>
    <t>BRT +bus +other</t>
  </si>
  <si>
    <t>Non BRT bus</t>
  </si>
  <si>
    <t>Trolebus (4)</t>
  </si>
  <si>
    <t>Trolebus (Trolley) (10)</t>
  </si>
  <si>
    <t>Bus+other Bus (two mode of bus connect)</t>
  </si>
  <si>
    <t>Autobus RTP Autobus (5)</t>
  </si>
  <si>
    <t>Autobus RTP M1 (06)</t>
  </si>
  <si>
    <t>Bus+ other</t>
  </si>
  <si>
    <t>Colectivo (only) (7)</t>
  </si>
  <si>
    <t>Autobus (08)</t>
  </si>
  <si>
    <t>Colectivo/Micro (02)</t>
  </si>
  <si>
    <t>Transporte  escolar  (18)</t>
  </si>
  <si>
    <t>Other</t>
  </si>
  <si>
    <t>Otro  (C )</t>
  </si>
  <si>
    <t>Other mode combined (no public transit)</t>
  </si>
  <si>
    <t>Otro (20)</t>
  </si>
  <si>
    <t>Other mode combined (no public transit involved)</t>
  </si>
  <si>
    <t>Transporte  de personal (19)</t>
  </si>
  <si>
    <t>sum</t>
  </si>
  <si>
    <t>Bus+metro</t>
  </si>
  <si>
    <t>bus</t>
  </si>
  <si>
    <t>Metro</t>
  </si>
  <si>
    <t>Bus+ Other</t>
  </si>
  <si>
    <t>bus+metro+other</t>
  </si>
  <si>
    <t>metro+other</t>
  </si>
  <si>
    <t>BRT+bus</t>
  </si>
  <si>
    <t>BRT+Metro+other</t>
  </si>
  <si>
    <t>BRT+bus+other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</si>
</sst>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0"/>
      <color theme="1"/>
      <name val="Arial"/>
      <family val="2"/>
    </font>
    <font>
      <b/>
      <sz val="20"/>
      <color theme="0"/>
      <name val="Arial"/>
      <family val="2"/>
    </font>
    <font>
      <b/>
      <sz val="14"/>
      <color rgb="FF000000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4"/>
      <color rgb="FF000000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sz val="11"/>
      <color rgb="FFFF0000"/>
      <name val="Arial"/>
      <family val="2"/>
    </font>
    <font>
      <sz val="14"/>
      <color theme="1"/>
      <name val="Arial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0" fontId="5" fillId="3" borderId="2" xfId="1" applyNumberFormat="1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4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4" fillId="3" borderId="8" xfId="0" applyFont="1" applyFill="1" applyBorder="1" applyAlignment="1">
      <alignment horizontal="left" vertical="center" wrapText="1"/>
    </xf>
    <xf numFmtId="0" fontId="5" fillId="3" borderId="9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6" fillId="3" borderId="1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10" fontId="6" fillId="4" borderId="5" xfId="1" applyNumberFormat="1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10" fontId="5" fillId="4" borderId="2" xfId="1" applyNumberFormat="1" applyFont="1" applyFill="1" applyBorder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4" fillId="4" borderId="6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/>
    </xf>
    <xf numFmtId="0" fontId="8" fillId="3" borderId="6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5" fillId="3" borderId="5" xfId="0" applyFont="1" applyFill="1" applyBorder="1" applyAlignment="1">
      <alignment horizontal="left" vertical="center"/>
    </xf>
    <xf numFmtId="10" fontId="6" fillId="4" borderId="0" xfId="1" applyNumberFormat="1" applyFont="1" applyFill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 wrapText="1"/>
    </xf>
    <xf numFmtId="0" fontId="6" fillId="4" borderId="10" xfId="0" applyFont="1" applyFill="1" applyBorder="1" applyAlignment="1">
      <alignment horizontal="left" vertical="center"/>
    </xf>
    <xf numFmtId="0" fontId="6" fillId="4" borderId="11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horizontal="left" vertical="center"/>
    </xf>
    <xf numFmtId="0" fontId="7" fillId="4" borderId="10" xfId="0" applyFont="1" applyFill="1" applyBorder="1" applyAlignment="1">
      <alignment horizontal="left" vertical="center"/>
    </xf>
    <xf numFmtId="10" fontId="6" fillId="3" borderId="0" xfId="1" applyNumberFormat="1" applyFont="1" applyFill="1" applyAlignment="1">
      <alignment horizontal="left" vertical="center"/>
    </xf>
    <xf numFmtId="10" fontId="5" fillId="3" borderId="7" xfId="1" applyNumberFormat="1" applyFont="1" applyFill="1" applyBorder="1" applyAlignment="1">
      <alignment horizontal="left" vertical="center"/>
    </xf>
    <xf numFmtId="10" fontId="6" fillId="4" borderId="3" xfId="1" applyNumberFormat="1" applyFont="1" applyFill="1" applyBorder="1" applyAlignment="1">
      <alignment horizontal="left" vertical="center"/>
    </xf>
    <xf numFmtId="10" fontId="7" fillId="0" borderId="0" xfId="1" applyNumberFormat="1" applyFont="1" applyAlignment="1">
      <alignment horizontal="left" vertical="center"/>
    </xf>
    <xf numFmtId="10" fontId="0" fillId="0" borderId="0" xfId="1" applyNumberFormat="1" applyFont="1" applyAlignment="1"/>
    <xf numFmtId="0" fontId="9" fillId="4" borderId="6" xfId="0" applyFont="1" applyFill="1" applyBorder="1" applyAlignment="1">
      <alignment horizontal="left" vertical="center" wrapText="1"/>
    </xf>
    <xf numFmtId="10" fontId="5" fillId="4" borderId="7" xfId="1" applyNumberFormat="1" applyFont="1" applyFill="1" applyBorder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0" fontId="0" fillId="0" borderId="0" xfId="0" applyNumberFormat="1"/>
    <xf numFmtId="0" fontId="10" fillId="4" borderId="12" xfId="0" applyFont="1" applyFill="1" applyBorder="1" applyAlignment="1">
      <alignment horizontal="left" vertical="center" wrapText="1" indent="1"/>
    </xf>
    <xf numFmtId="10" fontId="7" fillId="4" borderId="0" xfId="1" applyNumberFormat="1" applyFont="1" applyFill="1" applyAlignment="1">
      <alignment horizontal="left" vertical="center"/>
    </xf>
    <xf numFmtId="0" fontId="5" fillId="4" borderId="13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left" vertical="center"/>
    </xf>
    <xf numFmtId="10" fontId="5" fillId="4" borderId="13" xfId="1" applyNumberFormat="1" applyFont="1" applyFill="1" applyBorder="1" applyAlignment="1">
      <alignment horizontal="left" vertical="center"/>
    </xf>
    <xf numFmtId="0" fontId="6" fillId="4" borderId="13" xfId="0" applyFont="1" applyFill="1" applyBorder="1" applyAlignment="1">
      <alignment horizontal="left" vertical="center"/>
    </xf>
    <xf numFmtId="10" fontId="5" fillId="4" borderId="15" xfId="1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4" borderId="13" xfId="0" applyFont="1" applyFill="1" applyBorder="1" applyAlignment="1">
      <alignment horizontal="left" vertical="center"/>
    </xf>
    <xf numFmtId="0" fontId="8" fillId="4" borderId="6" xfId="0" applyFont="1" applyFill="1" applyBorder="1" applyAlignment="1">
      <alignment horizontal="left" vertical="center" wrapText="1" indent="1"/>
    </xf>
    <xf numFmtId="0" fontId="8" fillId="4" borderId="16" xfId="0" applyFont="1" applyFill="1" applyBorder="1" applyAlignment="1">
      <alignment horizontal="left" vertical="center" wrapText="1" indent="1"/>
    </xf>
    <xf numFmtId="0" fontId="6" fillId="4" borderId="17" xfId="0" applyFont="1" applyFill="1" applyBorder="1" applyAlignment="1">
      <alignment horizontal="left" vertical="center"/>
    </xf>
    <xf numFmtId="0" fontId="6" fillId="4" borderId="18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5" fillId="4" borderId="19" xfId="0" applyFont="1" applyFill="1" applyBorder="1" applyAlignment="1">
      <alignment horizontal="left" vertical="center"/>
    </xf>
    <xf numFmtId="0" fontId="12" fillId="4" borderId="6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2" fillId="4" borderId="8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10" fontId="5" fillId="5" borderId="7" xfId="0" applyNumberFormat="1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10" fontId="7" fillId="0" borderId="5" xfId="1" applyNumberFormat="1" applyFont="1" applyBorder="1" applyAlignment="1">
      <alignment horizontal="left" vertical="center"/>
    </xf>
    <xf numFmtId="10" fontId="7" fillId="0" borderId="0" xfId="1" applyNumberFormat="1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D7E98-42FB-CC41-8BEF-B3C0E62E0D68}">
  <dimension ref="A1:AEV76"/>
  <sheetViews>
    <sheetView workbookViewId="0">
      <selection sqref="A1:XFD1048576"/>
    </sheetView>
  </sheetViews>
  <sheetFormatPr baseColWidth="10" defaultColWidth="9" defaultRowHeight="16" x14ac:dyDescent="0.2"/>
  <cols>
    <col min="1" max="1" width="47.33203125" style="76" customWidth="1"/>
    <col min="2" max="2" width="17.33203125" style="77" customWidth="1"/>
    <col min="3" max="3" width="33.5" style="12" customWidth="1"/>
    <col min="4" max="4" width="27.33203125" style="80" customWidth="1"/>
    <col min="5" max="6" width="27.33203125" style="12" customWidth="1"/>
    <col min="7" max="7" width="27" style="12" customWidth="1"/>
    <col min="8" max="8" width="15.6640625" style="77" customWidth="1"/>
    <col min="9" max="9" width="30.1640625" style="12" customWidth="1"/>
    <col min="10" max="10" width="15.5" style="80" customWidth="1"/>
    <col min="11" max="11" width="26.83203125" style="77" customWidth="1"/>
    <col min="12" max="12" width="37.6640625" style="12" customWidth="1"/>
    <col min="13" max="13" width="15.5" style="80" customWidth="1"/>
    <col min="14" max="14" width="13" style="12" customWidth="1"/>
    <col min="15" max="15" width="12.1640625" style="12" customWidth="1"/>
    <col min="16" max="20" width="9" style="69"/>
    <col min="21" max="16384" width="9" style="12"/>
  </cols>
  <sheetData>
    <row r="1" spans="1:828" s="6" customFormat="1" ht="26" thickBot="1" x14ac:dyDescent="0.25">
      <c r="A1" s="1" t="s">
        <v>0</v>
      </c>
      <c r="B1" s="2">
        <v>2007</v>
      </c>
      <c r="C1" s="3" t="s">
        <v>1</v>
      </c>
      <c r="D1" s="4" t="s">
        <v>2</v>
      </c>
      <c r="E1" s="2">
        <v>2007</v>
      </c>
      <c r="F1" s="3" t="s">
        <v>3</v>
      </c>
      <c r="G1" s="3" t="s">
        <v>4</v>
      </c>
      <c r="H1" s="2">
        <v>2017</v>
      </c>
      <c r="I1" s="3" t="s">
        <v>5</v>
      </c>
      <c r="J1" s="4" t="s">
        <v>6</v>
      </c>
      <c r="K1" s="2">
        <v>2017</v>
      </c>
      <c r="L1" s="3" t="s">
        <v>7</v>
      </c>
      <c r="M1" s="4" t="s">
        <v>8</v>
      </c>
      <c r="N1" s="5"/>
      <c r="O1" s="5"/>
      <c r="P1"/>
      <c r="Q1"/>
      <c r="R1"/>
      <c r="S1"/>
      <c r="T1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</row>
    <row r="2" spans="1:828" s="13" customFormat="1" ht="19" x14ac:dyDescent="0.2">
      <c r="A2" s="7" t="s">
        <v>9</v>
      </c>
      <c r="B2" s="8"/>
      <c r="C2" s="9" t="s">
        <v>10</v>
      </c>
      <c r="D2" s="10">
        <v>0</v>
      </c>
      <c r="E2" s="9"/>
      <c r="F2" s="9"/>
      <c r="G2" s="9"/>
      <c r="H2" s="8">
        <f>J2/J74</f>
        <v>0.40376791756967417</v>
      </c>
      <c r="I2" s="9" t="s">
        <v>11</v>
      </c>
      <c r="J2" s="11">
        <v>42478</v>
      </c>
      <c r="K2" s="8"/>
      <c r="L2" s="9"/>
      <c r="M2" s="10"/>
      <c r="N2" s="12"/>
      <c r="O2" s="12"/>
      <c r="P2"/>
      <c r="Q2"/>
      <c r="R2"/>
      <c r="S2"/>
      <c r="T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</row>
    <row r="3" spans="1:828" s="13" customFormat="1" ht="18" x14ac:dyDescent="0.2">
      <c r="A3" s="14"/>
      <c r="B3" s="15"/>
      <c r="C3" s="16"/>
      <c r="D3" s="11"/>
      <c r="E3" s="16"/>
      <c r="F3" s="16"/>
      <c r="G3" s="16"/>
      <c r="H3" s="15"/>
      <c r="I3" s="16"/>
      <c r="J3" s="11"/>
      <c r="K3" s="15"/>
      <c r="L3" s="16"/>
      <c r="M3" s="11"/>
      <c r="N3" s="12"/>
      <c r="O3" s="12"/>
      <c r="P3"/>
      <c r="Q3"/>
      <c r="R3"/>
      <c r="S3"/>
      <c r="T3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</row>
    <row r="4" spans="1:828" s="13" customFormat="1" ht="19" thickBot="1" x14ac:dyDescent="0.25">
      <c r="A4" s="17"/>
      <c r="B4" s="18"/>
      <c r="C4" s="19"/>
      <c r="D4" s="20"/>
      <c r="E4" s="19"/>
      <c r="F4" s="19"/>
      <c r="G4" s="19"/>
      <c r="H4" s="18"/>
      <c r="I4" s="19"/>
      <c r="J4" s="20"/>
      <c r="K4" s="18"/>
      <c r="L4" s="19"/>
      <c r="M4" s="20"/>
      <c r="N4" s="12"/>
      <c r="O4" s="12"/>
      <c r="P4"/>
      <c r="Q4"/>
      <c r="R4"/>
      <c r="S4"/>
      <c r="T4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</row>
    <row r="5" spans="1:828" s="27" customFormat="1" ht="19" x14ac:dyDescent="0.2">
      <c r="A5" s="21" t="s">
        <v>12</v>
      </c>
      <c r="B5" s="22">
        <f>D5/$D$74</f>
        <v>1.7752740278150974E-2</v>
      </c>
      <c r="C5" s="23" t="s">
        <v>13</v>
      </c>
      <c r="D5" s="24">
        <f>1904+12</f>
        <v>1916</v>
      </c>
      <c r="E5" s="25"/>
      <c r="F5" s="25"/>
      <c r="G5" s="25"/>
      <c r="H5" s="26">
        <f>J5/J74</f>
        <v>1.9619025892551614E-2</v>
      </c>
      <c r="I5" s="25" t="s">
        <v>14</v>
      </c>
      <c r="J5" s="24">
        <v>2064</v>
      </c>
      <c r="K5" s="26"/>
      <c r="L5" s="25"/>
      <c r="M5" s="24"/>
      <c r="N5" s="12"/>
      <c r="O5" s="12"/>
      <c r="P5"/>
      <c r="Q5"/>
      <c r="R5"/>
      <c r="S5"/>
      <c r="T5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</row>
    <row r="6" spans="1:828" s="27" customFormat="1" ht="18" x14ac:dyDescent="0.2">
      <c r="A6" s="28"/>
      <c r="B6" s="29"/>
      <c r="C6" s="23"/>
      <c r="D6" s="29"/>
      <c r="E6" s="23"/>
      <c r="F6" s="23"/>
      <c r="G6" s="23"/>
      <c r="H6" s="30"/>
      <c r="I6" s="31"/>
      <c r="J6" s="32"/>
      <c r="K6" s="30"/>
      <c r="L6" s="31"/>
      <c r="M6" s="32"/>
      <c r="N6" s="12"/>
      <c r="O6" s="12"/>
      <c r="P6"/>
      <c r="Q6"/>
      <c r="R6"/>
      <c r="S6"/>
      <c r="T6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</row>
    <row r="7" spans="1:828" s="27" customFormat="1" ht="18" x14ac:dyDescent="0.2">
      <c r="A7" s="28"/>
      <c r="B7" s="29"/>
      <c r="C7" s="23"/>
      <c r="D7" s="29"/>
      <c r="E7" s="23"/>
      <c r="F7" s="23"/>
      <c r="G7" s="23"/>
      <c r="H7" s="30"/>
      <c r="I7" s="23"/>
      <c r="J7" s="29"/>
      <c r="K7" s="30"/>
      <c r="L7" s="23"/>
      <c r="M7" s="29"/>
      <c r="N7" s="12"/>
      <c r="O7" s="12"/>
      <c r="P7"/>
      <c r="Q7"/>
      <c r="R7"/>
      <c r="S7"/>
      <c r="T7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</row>
    <row r="8" spans="1:828" s="27" customFormat="1" ht="18" x14ac:dyDescent="0.2">
      <c r="A8" s="28"/>
      <c r="B8" s="29"/>
      <c r="C8" s="23"/>
      <c r="D8" s="29"/>
      <c r="E8" s="23"/>
      <c r="F8" s="23"/>
      <c r="G8" s="23"/>
      <c r="H8" s="30"/>
      <c r="I8" s="23"/>
      <c r="J8" s="29"/>
      <c r="K8" s="30"/>
      <c r="L8" s="23"/>
      <c r="M8" s="29"/>
      <c r="N8" s="12"/>
      <c r="O8" s="12"/>
      <c r="P8"/>
      <c r="Q8"/>
      <c r="R8"/>
      <c r="S8"/>
      <c r="T8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</row>
    <row r="9" spans="1:828" s="27" customFormat="1" ht="18" x14ac:dyDescent="0.2">
      <c r="A9" s="28"/>
      <c r="B9" s="29"/>
      <c r="C9" s="23"/>
      <c r="D9" s="29"/>
      <c r="E9" s="23"/>
      <c r="F9" s="23"/>
      <c r="G9" s="23"/>
      <c r="H9" s="30"/>
      <c r="I9" s="23"/>
      <c r="J9" s="29"/>
      <c r="K9" s="30"/>
      <c r="L9" s="23"/>
      <c r="M9" s="29"/>
      <c r="N9" s="12"/>
      <c r="O9" s="12"/>
      <c r="P9"/>
      <c r="Q9"/>
      <c r="R9"/>
      <c r="S9"/>
      <c r="T9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</row>
    <row r="10" spans="1:828" s="27" customFormat="1" ht="19" thickBot="1" x14ac:dyDescent="0.25">
      <c r="A10" s="28"/>
      <c r="B10" s="29"/>
      <c r="C10" s="23"/>
      <c r="D10" s="29"/>
      <c r="E10" s="23"/>
      <c r="F10" s="23"/>
      <c r="G10" s="23"/>
      <c r="H10" s="30"/>
      <c r="I10" s="23"/>
      <c r="J10" s="29"/>
      <c r="K10" s="30"/>
      <c r="L10" s="23"/>
      <c r="M10" s="29"/>
      <c r="N10" s="12"/>
      <c r="O10" s="12"/>
      <c r="P10"/>
      <c r="Q10"/>
      <c r="R10"/>
      <c r="S10"/>
      <c r="T10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</row>
    <row r="11" spans="1:828" s="33" customFormat="1" ht="19" x14ac:dyDescent="0.2">
      <c r="A11" s="7" t="s">
        <v>15</v>
      </c>
      <c r="B11" s="26">
        <f t="shared" ref="B11:B66" si="0">D11/$D$74</f>
        <v>0.27609402651792414</v>
      </c>
      <c r="C11" s="9" t="s">
        <v>16</v>
      </c>
      <c r="D11" s="10">
        <v>29798</v>
      </c>
      <c r="E11" s="9"/>
      <c r="F11" s="9"/>
      <c r="G11" s="9"/>
      <c r="H11" s="8">
        <f>J11/J74</f>
        <v>0.29541652408653662</v>
      </c>
      <c r="I11" s="9" t="s">
        <v>17</v>
      </c>
      <c r="J11" s="10">
        <v>31079</v>
      </c>
      <c r="K11" s="8"/>
      <c r="L11" s="9"/>
      <c r="M11" s="10"/>
      <c r="N11" s="12"/>
      <c r="O11" s="12"/>
      <c r="P11"/>
      <c r="Q11"/>
      <c r="R11"/>
      <c r="S11"/>
      <c r="T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</row>
    <row r="12" spans="1:828" s="13" customFormat="1" ht="18" x14ac:dyDescent="0.2">
      <c r="A12" s="34"/>
      <c r="B12" s="16"/>
      <c r="C12" s="16"/>
      <c r="D12" s="11"/>
      <c r="E12" s="16"/>
      <c r="F12" s="16"/>
      <c r="G12" s="16"/>
      <c r="H12" s="15"/>
      <c r="I12" s="16"/>
      <c r="J12" s="11"/>
      <c r="K12" s="15"/>
      <c r="L12" s="16"/>
      <c r="M12" s="11"/>
      <c r="N12" s="12"/>
      <c r="O12" s="12"/>
      <c r="P12"/>
      <c r="Q12"/>
      <c r="R12"/>
      <c r="S12"/>
      <c r="T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</row>
    <row r="13" spans="1:828" s="13" customFormat="1" ht="18" x14ac:dyDescent="0.2">
      <c r="A13" s="34"/>
      <c r="B13" s="16"/>
      <c r="C13" s="16"/>
      <c r="D13" s="11"/>
      <c r="E13" s="16"/>
      <c r="F13" s="16"/>
      <c r="G13" s="16"/>
      <c r="H13" s="15"/>
      <c r="I13" s="35"/>
      <c r="J13" s="36"/>
      <c r="K13" s="15"/>
      <c r="L13" s="35"/>
      <c r="M13" s="36"/>
      <c r="N13" s="12"/>
      <c r="O13" s="12"/>
      <c r="P13"/>
      <c r="Q13"/>
      <c r="R13"/>
      <c r="S13"/>
      <c r="T13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</row>
    <row r="14" spans="1:828" s="13" customFormat="1" ht="18" x14ac:dyDescent="0.2">
      <c r="A14" s="34"/>
      <c r="B14" s="16"/>
      <c r="C14" s="16"/>
      <c r="D14" s="11"/>
      <c r="E14" s="16"/>
      <c r="F14" s="16"/>
      <c r="G14" s="16"/>
      <c r="H14" s="15"/>
      <c r="I14" s="35"/>
      <c r="J14" s="36"/>
      <c r="K14" s="15"/>
      <c r="L14" s="35"/>
      <c r="M14" s="36"/>
      <c r="N14" s="12"/>
      <c r="O14" s="12"/>
      <c r="P14"/>
      <c r="Q14"/>
      <c r="R14"/>
      <c r="S14"/>
      <c r="T14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</row>
    <row r="15" spans="1:828" s="13" customFormat="1" ht="18" x14ac:dyDescent="0.2">
      <c r="A15" s="34"/>
      <c r="B15" s="16"/>
      <c r="C15" s="16"/>
      <c r="D15" s="11"/>
      <c r="E15" s="16"/>
      <c r="F15" s="16"/>
      <c r="G15" s="16"/>
      <c r="H15" s="15"/>
      <c r="I15" s="35"/>
      <c r="J15" s="36"/>
      <c r="K15" s="15"/>
      <c r="L15" s="35"/>
      <c r="M15" s="36"/>
      <c r="N15" s="12"/>
      <c r="O15" s="12"/>
      <c r="P15"/>
      <c r="Q15"/>
      <c r="R15"/>
      <c r="S15"/>
      <c r="T15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</row>
    <row r="16" spans="1:828" s="13" customFormat="1" ht="18" x14ac:dyDescent="0.2">
      <c r="A16" s="34"/>
      <c r="B16" s="16"/>
      <c r="C16" s="16"/>
      <c r="D16" s="11"/>
      <c r="E16" s="16"/>
      <c r="F16" s="16"/>
      <c r="G16" s="16"/>
      <c r="H16" s="15"/>
      <c r="I16" s="35"/>
      <c r="J16" s="36"/>
      <c r="K16" s="15"/>
      <c r="L16" s="35"/>
      <c r="M16" s="36"/>
      <c r="N16" s="12"/>
      <c r="O16" s="12"/>
      <c r="P16"/>
      <c r="Q16"/>
      <c r="R16"/>
      <c r="S16"/>
      <c r="T16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</row>
    <row r="17" spans="1:828" s="13" customFormat="1" ht="18" x14ac:dyDescent="0.2">
      <c r="A17" s="34"/>
      <c r="B17" s="16"/>
      <c r="C17" s="16"/>
      <c r="D17" s="11"/>
      <c r="E17" s="16"/>
      <c r="F17" s="16"/>
      <c r="G17" s="16"/>
      <c r="H17" s="15"/>
      <c r="I17" s="35"/>
      <c r="J17" s="36"/>
      <c r="K17" s="15"/>
      <c r="L17" s="35"/>
      <c r="M17" s="36"/>
      <c r="N17" s="12"/>
      <c r="O17" s="12"/>
      <c r="P17"/>
      <c r="Q17"/>
      <c r="R17"/>
      <c r="S17"/>
      <c r="T17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</row>
    <row r="18" spans="1:828" s="13" customFormat="1" ht="18" x14ac:dyDescent="0.2">
      <c r="A18" s="34"/>
      <c r="B18" s="16"/>
      <c r="C18" s="16"/>
      <c r="D18" s="11"/>
      <c r="E18" s="16"/>
      <c r="F18" s="16"/>
      <c r="G18" s="16"/>
      <c r="H18" s="15"/>
      <c r="I18" s="35"/>
      <c r="J18" s="36"/>
      <c r="K18" s="15"/>
      <c r="L18" s="35"/>
      <c r="M18" s="36"/>
      <c r="N18" s="12"/>
      <c r="O18" s="12"/>
      <c r="P18"/>
      <c r="Q18"/>
      <c r="R18"/>
      <c r="S18"/>
      <c r="T18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</row>
    <row r="19" spans="1:828" s="13" customFormat="1" ht="19" thickBot="1" x14ac:dyDescent="0.25">
      <c r="A19" s="14"/>
      <c r="B19" s="16"/>
      <c r="C19" s="16"/>
      <c r="D19" s="11"/>
      <c r="E19" s="16"/>
      <c r="F19" s="16"/>
      <c r="G19" s="16"/>
      <c r="H19" s="15"/>
      <c r="I19" s="16"/>
      <c r="J19" s="11"/>
      <c r="K19" s="15"/>
      <c r="L19" s="16"/>
      <c r="M19" s="11"/>
      <c r="N19" s="12"/>
      <c r="O19" s="12"/>
      <c r="P19"/>
      <c r="Q19"/>
      <c r="R19"/>
      <c r="S19"/>
      <c r="T19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</row>
    <row r="20" spans="1:828" s="38" customFormat="1" ht="19" x14ac:dyDescent="0.2">
      <c r="A20" s="21" t="s">
        <v>18</v>
      </c>
      <c r="B20" s="37">
        <f t="shared" si="0"/>
        <v>6.5497975483428617E-2</v>
      </c>
      <c r="C20" s="25" t="s">
        <v>19</v>
      </c>
      <c r="D20" s="24">
        <v>7069</v>
      </c>
      <c r="E20" s="25"/>
      <c r="F20" s="25"/>
      <c r="G20" s="25"/>
      <c r="H20" s="26">
        <f>SUM(J20:J23)/J74</f>
        <v>7.1945933614691454E-2</v>
      </c>
      <c r="I20" s="25" t="s">
        <v>20</v>
      </c>
      <c r="J20" s="24">
        <v>831</v>
      </c>
      <c r="K20" s="26"/>
      <c r="L20" s="25"/>
      <c r="M20" s="24"/>
      <c r="N20" s="12"/>
      <c r="O20" s="12"/>
      <c r="P20"/>
      <c r="Q20"/>
      <c r="R20"/>
      <c r="S20"/>
      <c r="T20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</row>
    <row r="21" spans="1:828" s="27" customFormat="1" ht="18" x14ac:dyDescent="0.2">
      <c r="A21" s="28"/>
      <c r="B21" s="23"/>
      <c r="C21" s="23"/>
      <c r="D21" s="29"/>
      <c r="E21" s="23"/>
      <c r="F21" s="23"/>
      <c r="G21" s="23"/>
      <c r="H21" s="30"/>
      <c r="I21" s="23" t="s">
        <v>21</v>
      </c>
      <c r="J21" s="29">
        <v>6029</v>
      </c>
      <c r="K21" s="30"/>
      <c r="L21" s="23"/>
      <c r="M21" s="29"/>
      <c r="N21" s="12"/>
      <c r="O21" s="12"/>
      <c r="P21"/>
      <c r="Q21"/>
      <c r="R21"/>
      <c r="S21"/>
      <c r="T2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</row>
    <row r="22" spans="1:828" s="27" customFormat="1" ht="18" x14ac:dyDescent="0.2">
      <c r="A22" s="28"/>
      <c r="B22" s="23"/>
      <c r="C22" s="23"/>
      <c r="D22" s="29"/>
      <c r="E22" s="23"/>
      <c r="F22" s="23"/>
      <c r="G22" s="23"/>
      <c r="H22" s="30"/>
      <c r="I22" s="23" t="s">
        <v>22</v>
      </c>
      <c r="J22" s="29">
        <v>167</v>
      </c>
      <c r="K22" s="30"/>
      <c r="L22" s="23"/>
      <c r="M22" s="29"/>
      <c r="N22" s="12"/>
      <c r="O22" s="12"/>
      <c r="P22"/>
      <c r="Q22"/>
      <c r="R22"/>
      <c r="S22"/>
      <c r="T2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</row>
    <row r="23" spans="1:828" s="27" customFormat="1" ht="18" x14ac:dyDescent="0.2">
      <c r="A23" s="28"/>
      <c r="B23" s="23"/>
      <c r="C23" s="23"/>
      <c r="D23" s="29"/>
      <c r="E23" s="23"/>
      <c r="F23" s="23"/>
      <c r="G23" s="23"/>
      <c r="H23" s="30"/>
      <c r="I23" s="23" t="s">
        <v>23</v>
      </c>
      <c r="J23" s="29">
        <v>542</v>
      </c>
      <c r="K23" s="30"/>
      <c r="L23" s="23"/>
      <c r="M23" s="29"/>
      <c r="N23" s="12"/>
      <c r="O23" s="12"/>
      <c r="P23"/>
      <c r="Q23"/>
      <c r="R23"/>
      <c r="S23"/>
      <c r="T23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</row>
    <row r="24" spans="1:828" s="27" customFormat="1" ht="18" x14ac:dyDescent="0.2">
      <c r="A24" s="28"/>
      <c r="B24" s="23"/>
      <c r="C24" s="23"/>
      <c r="D24" s="29"/>
      <c r="E24" s="23"/>
      <c r="F24" s="23"/>
      <c r="G24" s="23"/>
      <c r="H24" s="30"/>
      <c r="I24" s="23"/>
      <c r="J24" s="29"/>
      <c r="K24" s="30"/>
      <c r="L24" s="23"/>
      <c r="M24" s="29"/>
      <c r="N24" s="12"/>
      <c r="O24" s="12"/>
      <c r="P24"/>
      <c r="Q24"/>
      <c r="R24"/>
      <c r="S24"/>
      <c r="T24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</row>
    <row r="25" spans="1:828" s="27" customFormat="1" ht="18" x14ac:dyDescent="0.2">
      <c r="A25" s="28"/>
      <c r="B25" s="23"/>
      <c r="C25" s="23"/>
      <c r="D25" s="29"/>
      <c r="E25" s="23"/>
      <c r="F25" s="23"/>
      <c r="G25" s="23"/>
      <c r="H25" s="30"/>
      <c r="I25" s="23"/>
      <c r="J25" s="29"/>
      <c r="K25" s="30"/>
      <c r="L25" s="23"/>
      <c r="M25" s="29"/>
      <c r="N25" s="12"/>
      <c r="O25" s="12"/>
      <c r="P25"/>
      <c r="Q25"/>
      <c r="R25"/>
      <c r="S25"/>
      <c r="T25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</row>
    <row r="26" spans="1:828" s="27" customFormat="1" ht="18" x14ac:dyDescent="0.2">
      <c r="A26" s="28"/>
      <c r="B26" s="23"/>
      <c r="C26" s="23"/>
      <c r="D26" s="29"/>
      <c r="E26" s="23"/>
      <c r="F26" s="23"/>
      <c r="G26" s="23"/>
      <c r="H26" s="30"/>
      <c r="I26" s="23"/>
      <c r="J26" s="29"/>
      <c r="K26" s="30"/>
      <c r="L26" s="23"/>
      <c r="M26" s="29"/>
      <c r="N26" s="12"/>
      <c r="O26" s="12"/>
      <c r="P26"/>
      <c r="Q26"/>
      <c r="R26"/>
      <c r="S26"/>
      <c r="T26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</row>
    <row r="27" spans="1:828" s="43" customFormat="1" ht="19" thickBot="1" x14ac:dyDescent="0.25">
      <c r="A27" s="39"/>
      <c r="B27" s="23"/>
      <c r="C27" s="40"/>
      <c r="D27" s="41"/>
      <c r="E27" s="40"/>
      <c r="F27" s="40"/>
      <c r="H27" s="42"/>
      <c r="I27" s="40"/>
      <c r="J27" s="41"/>
      <c r="K27" s="42"/>
      <c r="L27" s="40"/>
      <c r="M27" s="41"/>
      <c r="N27" s="12"/>
      <c r="O27" s="12"/>
      <c r="P27"/>
      <c r="Q27"/>
      <c r="R27"/>
      <c r="S27"/>
      <c r="T27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</row>
    <row r="28" spans="1:828" s="13" customFormat="1" ht="19" x14ac:dyDescent="0.2">
      <c r="A28" s="14" t="s">
        <v>24</v>
      </c>
      <c r="B28" s="44">
        <f t="shared" si="0"/>
        <v>2.7147979652913544E-3</v>
      </c>
      <c r="C28" s="16" t="s">
        <v>25</v>
      </c>
      <c r="D28" s="11">
        <f>292+1</f>
        <v>293</v>
      </c>
      <c r="E28" s="16"/>
      <c r="F28" s="16"/>
      <c r="H28" s="45">
        <f>J28/J74</f>
        <v>1.2138321736816091E-2</v>
      </c>
      <c r="I28" s="16" t="s">
        <v>26</v>
      </c>
      <c r="J28" s="11">
        <v>1277</v>
      </c>
      <c r="K28" s="45"/>
      <c r="L28" s="16"/>
      <c r="M28" s="11"/>
      <c r="N28" s="12"/>
      <c r="O28" s="12"/>
      <c r="P28"/>
      <c r="Q28"/>
      <c r="R28"/>
      <c r="S28"/>
      <c r="T28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</row>
    <row r="29" spans="1:828" s="13" customFormat="1" ht="18" x14ac:dyDescent="0.2">
      <c r="A29" s="14"/>
      <c r="B29" s="16"/>
      <c r="C29" s="16"/>
      <c r="D29" s="11"/>
      <c r="E29" s="16"/>
      <c r="F29" s="16"/>
      <c r="H29" s="15"/>
      <c r="I29" s="16"/>
      <c r="J29" s="11"/>
      <c r="K29" s="15"/>
      <c r="L29" s="16"/>
      <c r="M29" s="11"/>
      <c r="N29" s="12"/>
      <c r="O29" s="12"/>
      <c r="P29"/>
      <c r="Q29"/>
      <c r="R29"/>
      <c r="S29"/>
      <c r="T29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2"/>
      <c r="FJ29" s="12"/>
      <c r="FK29" s="12"/>
      <c r="FL29" s="12"/>
      <c r="FM29" s="12"/>
      <c r="FN29" s="12"/>
      <c r="FO29" s="12"/>
      <c r="FP29" s="12"/>
      <c r="FQ29" s="12"/>
      <c r="FR29" s="12"/>
      <c r="FS29" s="12"/>
      <c r="FT29" s="12"/>
      <c r="FU29" s="12"/>
      <c r="FV29" s="12"/>
      <c r="FW29" s="12"/>
      <c r="FX29" s="12"/>
      <c r="FY29" s="12"/>
      <c r="FZ29" s="12"/>
      <c r="GA29" s="12"/>
      <c r="GB29" s="12"/>
      <c r="GC29" s="12"/>
      <c r="GD29" s="12"/>
      <c r="GE29" s="12"/>
      <c r="GF29" s="12"/>
      <c r="GG29" s="12"/>
      <c r="GH29" s="12"/>
      <c r="GI29" s="12"/>
      <c r="GJ29" s="12"/>
      <c r="GK29" s="12"/>
      <c r="GL29" s="12"/>
      <c r="GM29" s="12"/>
      <c r="GN29" s="12"/>
      <c r="GO29" s="12"/>
      <c r="GP29" s="12"/>
      <c r="GQ29" s="12"/>
      <c r="GR29" s="12"/>
      <c r="GS29" s="12"/>
      <c r="GT29" s="12"/>
      <c r="GU29" s="12"/>
      <c r="GV29" s="12"/>
      <c r="GW29" s="12"/>
      <c r="GX29" s="12"/>
      <c r="GY29" s="12"/>
      <c r="GZ29" s="12"/>
      <c r="HA29" s="12"/>
      <c r="HB29" s="12"/>
      <c r="HC29" s="12"/>
      <c r="HD29" s="12"/>
      <c r="HE29" s="12"/>
      <c r="HF29" s="12"/>
      <c r="HG29" s="12"/>
      <c r="HH29" s="12"/>
      <c r="HI29" s="12"/>
      <c r="HJ29" s="12"/>
      <c r="HK29" s="12"/>
      <c r="HL29" s="12"/>
      <c r="HM29" s="12"/>
      <c r="HN29" s="12"/>
      <c r="HO29" s="12"/>
      <c r="HP29" s="12"/>
      <c r="HQ29" s="12"/>
      <c r="HR29" s="12"/>
      <c r="HS29" s="12"/>
      <c r="HT29" s="12"/>
      <c r="HU29" s="12"/>
      <c r="HV29" s="12"/>
      <c r="HW29" s="12"/>
      <c r="HX29" s="12"/>
      <c r="HY29" s="12"/>
      <c r="HZ29" s="12"/>
      <c r="IA29" s="12"/>
      <c r="IB29" s="12"/>
      <c r="IC29" s="12"/>
      <c r="ID29" s="12"/>
      <c r="IE29" s="12"/>
      <c r="IF29" s="12"/>
      <c r="IG29" s="12"/>
      <c r="IH29" s="12"/>
      <c r="II29" s="12"/>
      <c r="IJ29" s="12"/>
      <c r="IK29" s="12"/>
      <c r="IL29" s="12"/>
      <c r="IM29" s="12"/>
      <c r="IN29" s="12"/>
      <c r="IO29" s="12"/>
      <c r="IP29" s="12"/>
      <c r="IQ29" s="12"/>
      <c r="IR29" s="12"/>
      <c r="IS29" s="12"/>
      <c r="IT29" s="12"/>
      <c r="IU29" s="12"/>
      <c r="IV29" s="12"/>
      <c r="IW29" s="12"/>
      <c r="IX29" s="12"/>
      <c r="IY29" s="12"/>
      <c r="IZ29" s="12"/>
      <c r="JA29" s="12"/>
      <c r="JB29" s="12"/>
      <c r="JC29" s="12"/>
      <c r="JD29" s="12"/>
      <c r="JE29" s="12"/>
      <c r="JF29" s="12"/>
      <c r="JG29" s="12"/>
      <c r="JH29" s="12"/>
      <c r="JI29" s="12"/>
      <c r="JJ29" s="12"/>
      <c r="JK29" s="12"/>
      <c r="JL29" s="12"/>
      <c r="JM29" s="12"/>
      <c r="JN29" s="12"/>
      <c r="JO29" s="12"/>
      <c r="JP29" s="12"/>
      <c r="JQ29" s="12"/>
      <c r="JR29" s="12"/>
      <c r="JS29" s="12"/>
      <c r="JT29" s="12"/>
      <c r="JU29" s="12"/>
      <c r="JV29" s="12"/>
      <c r="JW29" s="12"/>
      <c r="JX29" s="12"/>
      <c r="JY29" s="12"/>
      <c r="JZ29" s="12"/>
      <c r="KA29" s="12"/>
      <c r="KB29" s="12"/>
      <c r="KC29" s="12"/>
      <c r="KD29" s="12"/>
      <c r="KE29" s="12"/>
      <c r="KF29" s="12"/>
      <c r="KG29" s="12"/>
      <c r="KH29" s="12"/>
      <c r="KI29" s="12"/>
      <c r="KJ29" s="12"/>
      <c r="KK29" s="12"/>
      <c r="KL29" s="12"/>
      <c r="KM29" s="12"/>
      <c r="KN29" s="12"/>
      <c r="KO29" s="12"/>
      <c r="KP29" s="12"/>
      <c r="KQ29" s="12"/>
      <c r="KR29" s="12"/>
      <c r="KS29" s="12"/>
      <c r="KT29" s="12"/>
      <c r="KU29" s="12"/>
      <c r="KV29" s="12"/>
      <c r="KW29" s="12"/>
      <c r="KX29" s="12"/>
      <c r="KY29" s="12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12"/>
      <c r="LP29" s="12"/>
      <c r="LQ29" s="12"/>
      <c r="LR29" s="12"/>
      <c r="LS29" s="12"/>
      <c r="LT29" s="12"/>
      <c r="LU29" s="12"/>
      <c r="LV29" s="12"/>
      <c r="LW29" s="12"/>
      <c r="LX29" s="12"/>
      <c r="LY29" s="12"/>
      <c r="LZ29" s="12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12"/>
      <c r="MN29" s="12"/>
      <c r="MO29" s="12"/>
      <c r="MP29" s="12"/>
      <c r="MQ29" s="12"/>
      <c r="MR29" s="12"/>
      <c r="MS29" s="12"/>
      <c r="MT29" s="12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12"/>
      <c r="NK29" s="12"/>
      <c r="NL29" s="12"/>
      <c r="NM29" s="12"/>
      <c r="NN29" s="12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12"/>
      <c r="PA29" s="12"/>
      <c r="PB29" s="12"/>
      <c r="PC29" s="12"/>
      <c r="PD29" s="12"/>
      <c r="PE29" s="12"/>
      <c r="PF29" s="12"/>
      <c r="PG29" s="12"/>
      <c r="PH29" s="12"/>
      <c r="PI29" s="12"/>
      <c r="PJ29" s="12"/>
      <c r="PK29" s="12"/>
      <c r="PL29" s="12"/>
      <c r="PM29" s="12"/>
      <c r="PN29" s="12"/>
      <c r="PO29" s="12"/>
      <c r="PP29" s="12"/>
      <c r="PQ29" s="12"/>
      <c r="PR29" s="12"/>
      <c r="PS29" s="12"/>
      <c r="PT29" s="12"/>
      <c r="PU29" s="12"/>
      <c r="PV29" s="12"/>
      <c r="PW29" s="12"/>
      <c r="PX29" s="12"/>
      <c r="PY29" s="12"/>
      <c r="PZ29" s="12"/>
      <c r="QA29" s="12"/>
      <c r="QB29" s="12"/>
      <c r="QC29" s="12"/>
      <c r="QD29" s="12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12"/>
      <c r="QU29" s="12"/>
      <c r="QV29" s="12"/>
      <c r="QW29" s="12"/>
      <c r="QX29" s="12"/>
      <c r="QY29" s="12"/>
      <c r="QZ29" s="12"/>
      <c r="RA29" s="12"/>
      <c r="RB29" s="12"/>
      <c r="RC29" s="12"/>
      <c r="RD29" s="12"/>
      <c r="RE29" s="12"/>
      <c r="RF29" s="12"/>
      <c r="RG29" s="12"/>
      <c r="RH29" s="12"/>
      <c r="RI29" s="12"/>
      <c r="RJ29" s="12"/>
      <c r="RK29" s="12"/>
      <c r="RL29" s="12"/>
      <c r="RM29" s="12"/>
      <c r="RN29" s="12"/>
      <c r="RO29" s="12"/>
      <c r="RP29" s="12"/>
      <c r="RQ29" s="12"/>
      <c r="RR29" s="12"/>
      <c r="RS29" s="12"/>
      <c r="RT29" s="12"/>
      <c r="RU29" s="12"/>
      <c r="RV29" s="12"/>
      <c r="RW29" s="12"/>
      <c r="RX29" s="12"/>
      <c r="RY29" s="12"/>
      <c r="RZ29" s="12"/>
      <c r="SA29" s="12"/>
      <c r="SB29" s="12"/>
      <c r="SC29" s="12"/>
      <c r="SD29" s="12"/>
      <c r="SE29" s="12"/>
      <c r="SF29" s="12"/>
      <c r="SG29" s="12"/>
      <c r="SH29" s="12"/>
      <c r="SI29" s="12"/>
      <c r="SJ29" s="12"/>
      <c r="SK29" s="12"/>
      <c r="SL29" s="12"/>
      <c r="SM29" s="12"/>
      <c r="SN29" s="12"/>
      <c r="SO29" s="12"/>
      <c r="SP29" s="12"/>
      <c r="SQ29" s="12"/>
      <c r="SR29" s="12"/>
      <c r="SS29" s="12"/>
      <c r="ST29" s="12"/>
      <c r="SU29" s="12"/>
      <c r="SV29" s="12"/>
      <c r="SW29" s="12"/>
      <c r="SX29" s="12"/>
      <c r="SY29" s="12"/>
      <c r="SZ29" s="12"/>
      <c r="TA29" s="12"/>
      <c r="TB29" s="12"/>
      <c r="TC29" s="12"/>
      <c r="TD29" s="12"/>
      <c r="TE29" s="12"/>
      <c r="TF29" s="12"/>
      <c r="TG29" s="12"/>
      <c r="TH29" s="12"/>
      <c r="TI29" s="12"/>
      <c r="TJ29" s="12"/>
      <c r="TK29" s="12"/>
      <c r="TL29" s="12"/>
      <c r="TM29" s="12"/>
      <c r="TN29" s="12"/>
      <c r="TO29" s="12"/>
      <c r="TP29" s="12"/>
      <c r="TQ29" s="12"/>
      <c r="TR29" s="12"/>
      <c r="TS29" s="12"/>
      <c r="TT29" s="12"/>
      <c r="TU29" s="12"/>
      <c r="TV29" s="12"/>
      <c r="TW29" s="12"/>
      <c r="TX29" s="12"/>
      <c r="TY29" s="12"/>
      <c r="TZ29" s="12"/>
      <c r="UA29" s="12"/>
      <c r="UB29" s="12"/>
      <c r="UC29" s="12"/>
      <c r="UD29" s="12"/>
      <c r="UE29" s="12"/>
      <c r="UF29" s="12"/>
      <c r="UG29" s="12"/>
      <c r="UH29" s="12"/>
      <c r="UI29" s="12"/>
      <c r="UJ29" s="12"/>
      <c r="UK29" s="12"/>
      <c r="UL29" s="12"/>
      <c r="UM29" s="12"/>
      <c r="UN29" s="12"/>
      <c r="UO29" s="12"/>
      <c r="UP29" s="12"/>
      <c r="UQ29" s="12"/>
      <c r="UR29" s="12"/>
      <c r="US29" s="12"/>
      <c r="UT29" s="12"/>
      <c r="UU29" s="12"/>
      <c r="UV29" s="12"/>
      <c r="UW29" s="12"/>
      <c r="UX29" s="12"/>
      <c r="UY29" s="12"/>
      <c r="UZ29" s="12"/>
      <c r="VA29" s="12"/>
      <c r="VB29" s="12"/>
      <c r="VC29" s="12"/>
      <c r="VD29" s="12"/>
      <c r="VE29" s="12"/>
      <c r="VF29" s="12"/>
      <c r="VG29" s="12"/>
      <c r="VH29" s="12"/>
      <c r="VI29" s="12"/>
      <c r="VJ29" s="12"/>
      <c r="VK29" s="12"/>
      <c r="VL29" s="12"/>
      <c r="VM29" s="12"/>
      <c r="VN29" s="12"/>
      <c r="VO29" s="12"/>
      <c r="VP29" s="12"/>
      <c r="VQ29" s="12"/>
      <c r="VR29" s="12"/>
      <c r="VS29" s="12"/>
      <c r="VT29" s="12"/>
      <c r="VU29" s="12"/>
      <c r="VV29" s="12"/>
      <c r="VW29" s="12"/>
      <c r="VX29" s="12"/>
      <c r="VY29" s="12"/>
      <c r="VZ29" s="12"/>
      <c r="WA29" s="12"/>
      <c r="WB29" s="12"/>
      <c r="WC29" s="12"/>
      <c r="WD29" s="12"/>
      <c r="WE29" s="12"/>
      <c r="WF29" s="12"/>
      <c r="WG29" s="12"/>
      <c r="WH29" s="12"/>
      <c r="WI29" s="12"/>
      <c r="WJ29" s="12"/>
      <c r="WK29" s="12"/>
      <c r="WL29" s="12"/>
      <c r="WM29" s="12"/>
      <c r="WN29" s="12"/>
      <c r="WO29" s="12"/>
      <c r="WP29" s="12"/>
      <c r="WQ29" s="12"/>
      <c r="WR29" s="12"/>
      <c r="WS29" s="12"/>
      <c r="WT29" s="12"/>
      <c r="WU29" s="12"/>
      <c r="WV29" s="12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12"/>
      <c r="XM29" s="12"/>
      <c r="XN29" s="12"/>
      <c r="XO29" s="12"/>
      <c r="XP29" s="12"/>
      <c r="XQ29" s="12"/>
      <c r="XR29" s="12"/>
      <c r="XS29" s="12"/>
      <c r="XT29" s="12"/>
      <c r="XU29" s="12"/>
      <c r="XV29" s="12"/>
      <c r="XW29" s="12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12"/>
      <c r="YK29" s="12"/>
      <c r="YL29" s="12"/>
      <c r="YM29" s="12"/>
      <c r="YN29" s="12"/>
      <c r="YO29" s="12"/>
      <c r="YP29" s="12"/>
      <c r="YQ29" s="12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12"/>
      <c r="ZH29" s="12"/>
      <c r="ZI29" s="12"/>
      <c r="ZJ29" s="12"/>
      <c r="ZK29" s="12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12"/>
      <c r="AAX29" s="12"/>
      <c r="AAY29" s="12"/>
      <c r="AAZ29" s="12"/>
      <c r="ABA29" s="12"/>
      <c r="ABB29" s="12"/>
      <c r="ABC29" s="12"/>
      <c r="ABD29" s="12"/>
      <c r="ABE29" s="12"/>
      <c r="ABF29" s="12"/>
      <c r="ABG29" s="12"/>
      <c r="ABH29" s="12"/>
      <c r="ABI29" s="12"/>
      <c r="ABJ29" s="12"/>
      <c r="ABK29" s="12"/>
      <c r="ABL29" s="12"/>
      <c r="ABM29" s="12"/>
      <c r="ABN29" s="12"/>
      <c r="ABO29" s="12"/>
      <c r="ABP29" s="12"/>
      <c r="ABQ29" s="12"/>
      <c r="ABR29" s="12"/>
      <c r="ABS29" s="12"/>
      <c r="ABT29" s="12"/>
      <c r="ABU29" s="12"/>
      <c r="ABV29" s="12"/>
      <c r="ABW29" s="12"/>
      <c r="ABX29" s="12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12"/>
      <c r="ACO29" s="12"/>
      <c r="ACP29" s="12"/>
      <c r="ACQ29" s="12"/>
      <c r="ACR29" s="12"/>
      <c r="ACS29" s="12"/>
      <c r="ACT29" s="12"/>
      <c r="ACU29" s="12"/>
      <c r="ACV29" s="12"/>
      <c r="ACW29" s="12"/>
      <c r="ACX29" s="12"/>
      <c r="ACY29" s="12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12"/>
      <c r="ADM29" s="12"/>
      <c r="ADN29" s="12"/>
      <c r="ADO29" s="12"/>
      <c r="ADP29" s="12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12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</row>
    <row r="30" spans="1:828" s="13" customFormat="1" ht="18" x14ac:dyDescent="0.2">
      <c r="A30" s="14"/>
      <c r="B30" s="16"/>
      <c r="C30" s="16"/>
      <c r="D30" s="11"/>
      <c r="E30" s="16"/>
      <c r="F30" s="16"/>
      <c r="H30" s="15"/>
      <c r="I30" s="16"/>
      <c r="J30" s="11"/>
      <c r="K30" s="15"/>
      <c r="L30" s="16"/>
      <c r="M30" s="11"/>
      <c r="N30" s="12"/>
      <c r="O30" s="12"/>
      <c r="P30"/>
      <c r="Q30"/>
      <c r="R30"/>
      <c r="S30"/>
      <c r="T30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</row>
    <row r="31" spans="1:828" s="13" customFormat="1" ht="18" x14ac:dyDescent="0.2">
      <c r="A31" s="14"/>
      <c r="B31" s="16"/>
      <c r="C31" s="16"/>
      <c r="D31" s="11"/>
      <c r="E31" s="16"/>
      <c r="F31" s="16"/>
      <c r="H31" s="15"/>
      <c r="I31" s="16"/>
      <c r="J31" s="11"/>
      <c r="K31" s="15"/>
      <c r="L31" s="16"/>
      <c r="M31" s="11"/>
      <c r="N31" s="12"/>
      <c r="O31" s="12"/>
      <c r="P31"/>
      <c r="Q31"/>
      <c r="R31"/>
      <c r="S31"/>
      <c r="T31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</row>
    <row r="32" spans="1:828" s="13" customFormat="1" ht="18" x14ac:dyDescent="0.2">
      <c r="A32" s="14"/>
      <c r="B32" s="16"/>
      <c r="C32" s="16"/>
      <c r="D32" s="11"/>
      <c r="E32" s="16"/>
      <c r="F32" s="16"/>
      <c r="H32" s="15"/>
      <c r="I32" s="16"/>
      <c r="J32" s="11"/>
      <c r="K32" s="15"/>
      <c r="L32" s="16"/>
      <c r="M32" s="11"/>
      <c r="N32" s="12"/>
      <c r="O32" s="12"/>
      <c r="P32"/>
      <c r="Q32"/>
      <c r="R32"/>
      <c r="S32"/>
      <c r="T3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</row>
    <row r="33" spans="1:828" s="13" customFormat="1" ht="19" thickBot="1" x14ac:dyDescent="0.25">
      <c r="A33" s="17"/>
      <c r="B33" s="16"/>
      <c r="C33" s="19"/>
      <c r="D33" s="20"/>
      <c r="E33" s="19"/>
      <c r="F33" s="19"/>
      <c r="G33" s="19"/>
      <c r="H33" s="18"/>
      <c r="I33" s="19"/>
      <c r="J33" s="20"/>
      <c r="K33" s="18"/>
      <c r="L33" s="19"/>
      <c r="M33" s="20"/>
      <c r="N33" s="12"/>
      <c r="O33" s="12"/>
      <c r="P33"/>
      <c r="Q33"/>
      <c r="R33"/>
      <c r="S33"/>
      <c r="T33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</row>
    <row r="34" spans="1:828" s="27" customFormat="1" ht="19" x14ac:dyDescent="0.2">
      <c r="A34" s="21" t="s">
        <v>27</v>
      </c>
      <c r="B34" s="46">
        <f t="shared" si="0"/>
        <v>6.5794472189535519E-2</v>
      </c>
      <c r="C34" s="25" t="s">
        <v>28</v>
      </c>
      <c r="D34" s="24">
        <f>4354+15+2732</f>
        <v>7101</v>
      </c>
      <c r="E34" s="46">
        <f>SUM(G34:G41)/D74</f>
        <v>0.20160849463062996</v>
      </c>
      <c r="F34" s="23" t="s">
        <v>67</v>
      </c>
      <c r="G34" s="29">
        <v>17964</v>
      </c>
      <c r="H34" s="26">
        <f>SUM(J34:J38)/J74</f>
        <v>6.8124786129804951E-2</v>
      </c>
      <c r="I34" s="25" t="s">
        <v>29</v>
      </c>
      <c r="J34" s="24">
        <v>7090</v>
      </c>
      <c r="K34" s="26">
        <f>SUM(M34:M42)/J74</f>
        <v>0.16041215162921563</v>
      </c>
      <c r="L34" s="25" t="s">
        <v>30</v>
      </c>
      <c r="M34" s="24">
        <v>592</v>
      </c>
      <c r="N34" s="47"/>
      <c r="O34" s="12"/>
      <c r="P34" s="48"/>
      <c r="Q34"/>
      <c r="R34"/>
      <c r="S34"/>
      <c r="T34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  <c r="IY34" s="12"/>
      <c r="IZ34" s="12"/>
      <c r="JA34" s="12"/>
      <c r="JB34" s="12"/>
      <c r="JC34" s="12"/>
      <c r="JD34" s="12"/>
      <c r="JE34" s="12"/>
      <c r="JF34" s="12"/>
      <c r="JG34" s="12"/>
      <c r="JH34" s="12"/>
      <c r="JI34" s="12"/>
      <c r="JJ34" s="12"/>
      <c r="JK34" s="12"/>
      <c r="JL34" s="12"/>
      <c r="JM34" s="12"/>
      <c r="JN34" s="12"/>
      <c r="JO34" s="12"/>
      <c r="JP34" s="12"/>
      <c r="JQ34" s="12"/>
      <c r="JR34" s="12"/>
      <c r="JS34" s="12"/>
      <c r="JT34" s="12"/>
      <c r="JU34" s="12"/>
      <c r="JV34" s="12"/>
      <c r="JW34" s="12"/>
      <c r="JX34" s="12"/>
      <c r="JY34" s="12"/>
      <c r="JZ34" s="12"/>
      <c r="KA34" s="12"/>
      <c r="KB34" s="12"/>
      <c r="KC34" s="12"/>
      <c r="KD34" s="12"/>
      <c r="KE34" s="12"/>
      <c r="KF34" s="12"/>
      <c r="KG34" s="12"/>
      <c r="KH34" s="12"/>
      <c r="KI34" s="12"/>
      <c r="KJ34" s="12"/>
      <c r="KK34" s="12"/>
      <c r="KL34" s="12"/>
      <c r="KM34" s="12"/>
      <c r="KN34" s="12"/>
      <c r="KO34" s="12"/>
      <c r="KP34" s="12"/>
      <c r="KQ34" s="12"/>
      <c r="KR34" s="12"/>
      <c r="KS34" s="12"/>
      <c r="KT34" s="12"/>
      <c r="KU34" s="12"/>
      <c r="KV34" s="12"/>
      <c r="KW34" s="12"/>
      <c r="KX34" s="12"/>
      <c r="KY34" s="12"/>
      <c r="KZ34" s="12"/>
      <c r="LA34" s="12"/>
      <c r="LB34" s="12"/>
      <c r="LC34" s="12"/>
      <c r="LD34" s="12"/>
      <c r="LE34" s="12"/>
      <c r="LF34" s="12"/>
      <c r="LG34" s="12"/>
      <c r="LH34" s="12"/>
      <c r="LI34" s="12"/>
      <c r="LJ34" s="12"/>
      <c r="LK34" s="12"/>
      <c r="LL34" s="12"/>
      <c r="LM34" s="12"/>
      <c r="LN34" s="12"/>
      <c r="LO34" s="12"/>
      <c r="LP34" s="12"/>
      <c r="LQ34" s="12"/>
      <c r="LR34" s="12"/>
      <c r="LS34" s="12"/>
      <c r="LT34" s="12"/>
      <c r="LU34" s="12"/>
      <c r="LV34" s="12"/>
      <c r="LW34" s="12"/>
      <c r="LX34" s="12"/>
      <c r="LY34" s="12"/>
      <c r="LZ34" s="12"/>
      <c r="MA34" s="12"/>
      <c r="MB34" s="12"/>
      <c r="MC34" s="12"/>
      <c r="MD34" s="12"/>
      <c r="ME34" s="12"/>
      <c r="MF34" s="12"/>
      <c r="MG34" s="12"/>
      <c r="MH34" s="12"/>
      <c r="MI34" s="12"/>
      <c r="MJ34" s="12"/>
      <c r="MK34" s="12"/>
      <c r="ML34" s="12"/>
      <c r="MM34" s="12"/>
      <c r="MN34" s="12"/>
      <c r="MO34" s="12"/>
      <c r="MP34" s="12"/>
      <c r="MQ34" s="12"/>
      <c r="MR34" s="12"/>
      <c r="MS34" s="12"/>
      <c r="MT34" s="12"/>
      <c r="MU34" s="12"/>
      <c r="MV34" s="12"/>
      <c r="MW34" s="12"/>
      <c r="MX34" s="12"/>
      <c r="MY34" s="12"/>
      <c r="MZ34" s="12"/>
      <c r="NA34" s="12"/>
      <c r="NB34" s="12"/>
      <c r="NC34" s="12"/>
      <c r="ND34" s="12"/>
      <c r="NE34" s="12"/>
      <c r="NF34" s="12"/>
      <c r="NG34" s="12"/>
      <c r="NH34" s="12"/>
      <c r="NI34" s="12"/>
      <c r="NJ34" s="12"/>
      <c r="NK34" s="12"/>
      <c r="NL34" s="12"/>
      <c r="NM34" s="12"/>
      <c r="NN34" s="12"/>
      <c r="NO34" s="12"/>
      <c r="NP34" s="12"/>
      <c r="NQ34" s="12"/>
      <c r="NR34" s="12"/>
      <c r="NS34" s="12"/>
      <c r="NT34" s="12"/>
      <c r="NU34" s="12"/>
      <c r="NV34" s="12"/>
      <c r="NW34" s="12"/>
      <c r="NX34" s="12"/>
      <c r="NY34" s="12"/>
      <c r="NZ34" s="12"/>
      <c r="OA34" s="12"/>
      <c r="OB34" s="12"/>
      <c r="OC34" s="12"/>
      <c r="OD34" s="12"/>
      <c r="OE34" s="12"/>
      <c r="OF34" s="12"/>
      <c r="OG34" s="12"/>
      <c r="OH34" s="12"/>
      <c r="OI34" s="12"/>
      <c r="OJ34" s="12"/>
      <c r="OK34" s="12"/>
      <c r="OL34" s="12"/>
      <c r="OM34" s="12"/>
      <c r="ON34" s="12"/>
      <c r="OO34" s="12"/>
      <c r="OP34" s="12"/>
      <c r="OQ34" s="12"/>
      <c r="OR34" s="12"/>
      <c r="OS34" s="12"/>
      <c r="OT34" s="12"/>
      <c r="OU34" s="12"/>
      <c r="OV34" s="12"/>
      <c r="OW34" s="12"/>
      <c r="OX34" s="12"/>
      <c r="OY34" s="12"/>
      <c r="OZ34" s="12"/>
      <c r="PA34" s="12"/>
      <c r="PB34" s="12"/>
      <c r="PC34" s="12"/>
      <c r="PD34" s="12"/>
      <c r="PE34" s="12"/>
      <c r="PF34" s="12"/>
      <c r="PG34" s="12"/>
      <c r="PH34" s="12"/>
      <c r="PI34" s="12"/>
      <c r="PJ34" s="12"/>
      <c r="PK34" s="12"/>
      <c r="PL34" s="12"/>
      <c r="PM34" s="12"/>
      <c r="PN34" s="12"/>
      <c r="PO34" s="12"/>
      <c r="PP34" s="12"/>
      <c r="PQ34" s="12"/>
      <c r="PR34" s="12"/>
      <c r="PS34" s="12"/>
      <c r="PT34" s="12"/>
      <c r="PU34" s="12"/>
      <c r="PV34" s="12"/>
      <c r="PW34" s="12"/>
      <c r="PX34" s="12"/>
      <c r="PY34" s="12"/>
      <c r="PZ34" s="12"/>
      <c r="QA34" s="12"/>
      <c r="QB34" s="12"/>
      <c r="QC34" s="12"/>
      <c r="QD34" s="12"/>
      <c r="QE34" s="12"/>
      <c r="QF34" s="12"/>
      <c r="QG34" s="12"/>
      <c r="QH34" s="12"/>
      <c r="QI34" s="12"/>
      <c r="QJ34" s="12"/>
      <c r="QK34" s="12"/>
      <c r="QL34" s="12"/>
      <c r="QM34" s="12"/>
      <c r="QN34" s="12"/>
      <c r="QO34" s="12"/>
      <c r="QP34" s="12"/>
      <c r="QQ34" s="12"/>
      <c r="QR34" s="12"/>
      <c r="QS34" s="12"/>
      <c r="QT34" s="12"/>
      <c r="QU34" s="12"/>
      <c r="QV34" s="12"/>
      <c r="QW34" s="12"/>
      <c r="QX34" s="12"/>
      <c r="QY34" s="12"/>
      <c r="QZ34" s="12"/>
      <c r="RA34" s="12"/>
      <c r="RB34" s="12"/>
      <c r="RC34" s="12"/>
      <c r="RD34" s="12"/>
      <c r="RE34" s="12"/>
      <c r="RF34" s="12"/>
      <c r="RG34" s="12"/>
      <c r="RH34" s="12"/>
      <c r="RI34" s="12"/>
      <c r="RJ34" s="12"/>
      <c r="RK34" s="12"/>
      <c r="RL34" s="12"/>
      <c r="RM34" s="12"/>
      <c r="RN34" s="12"/>
      <c r="RO34" s="12"/>
      <c r="RP34" s="12"/>
      <c r="RQ34" s="12"/>
      <c r="RR34" s="12"/>
      <c r="RS34" s="12"/>
      <c r="RT34" s="12"/>
      <c r="RU34" s="12"/>
      <c r="RV34" s="12"/>
      <c r="RW34" s="12"/>
      <c r="RX34" s="12"/>
      <c r="RY34" s="12"/>
      <c r="RZ34" s="12"/>
      <c r="SA34" s="12"/>
      <c r="SB34" s="12"/>
      <c r="SC34" s="12"/>
      <c r="SD34" s="12"/>
      <c r="SE34" s="12"/>
      <c r="SF34" s="12"/>
      <c r="SG34" s="12"/>
      <c r="SH34" s="12"/>
      <c r="SI34" s="12"/>
      <c r="SJ34" s="12"/>
      <c r="SK34" s="12"/>
      <c r="SL34" s="12"/>
      <c r="SM34" s="12"/>
      <c r="SN34" s="12"/>
      <c r="SO34" s="12"/>
      <c r="SP34" s="12"/>
      <c r="SQ34" s="12"/>
      <c r="SR34" s="12"/>
      <c r="SS34" s="12"/>
      <c r="ST34" s="12"/>
      <c r="SU34" s="12"/>
      <c r="SV34" s="12"/>
      <c r="SW34" s="12"/>
      <c r="SX34" s="12"/>
      <c r="SY34" s="12"/>
      <c r="SZ34" s="12"/>
      <c r="TA34" s="12"/>
      <c r="TB34" s="12"/>
      <c r="TC34" s="12"/>
      <c r="TD34" s="12"/>
      <c r="TE34" s="12"/>
      <c r="TF34" s="12"/>
      <c r="TG34" s="12"/>
      <c r="TH34" s="12"/>
      <c r="TI34" s="12"/>
      <c r="TJ34" s="12"/>
      <c r="TK34" s="12"/>
      <c r="TL34" s="12"/>
      <c r="TM34" s="12"/>
      <c r="TN34" s="12"/>
      <c r="TO34" s="12"/>
      <c r="TP34" s="12"/>
      <c r="TQ34" s="12"/>
      <c r="TR34" s="12"/>
      <c r="TS34" s="12"/>
      <c r="TT34" s="12"/>
      <c r="TU34" s="12"/>
      <c r="TV34" s="12"/>
      <c r="TW34" s="12"/>
      <c r="TX34" s="12"/>
      <c r="TY34" s="12"/>
      <c r="TZ34" s="12"/>
      <c r="UA34" s="12"/>
      <c r="UB34" s="12"/>
      <c r="UC34" s="12"/>
      <c r="UD34" s="12"/>
      <c r="UE34" s="12"/>
      <c r="UF34" s="12"/>
      <c r="UG34" s="12"/>
      <c r="UH34" s="12"/>
      <c r="UI34" s="12"/>
      <c r="UJ34" s="12"/>
      <c r="UK34" s="12"/>
      <c r="UL34" s="12"/>
      <c r="UM34" s="12"/>
      <c r="UN34" s="12"/>
      <c r="UO34" s="12"/>
      <c r="UP34" s="12"/>
      <c r="UQ34" s="12"/>
      <c r="UR34" s="12"/>
      <c r="US34" s="12"/>
      <c r="UT34" s="12"/>
      <c r="UU34" s="12"/>
      <c r="UV34" s="12"/>
      <c r="UW34" s="12"/>
      <c r="UX34" s="12"/>
      <c r="UY34" s="12"/>
      <c r="UZ34" s="12"/>
      <c r="VA34" s="12"/>
      <c r="VB34" s="12"/>
      <c r="VC34" s="12"/>
      <c r="VD34" s="12"/>
      <c r="VE34" s="12"/>
      <c r="VF34" s="12"/>
      <c r="VG34" s="12"/>
      <c r="VH34" s="12"/>
      <c r="VI34" s="12"/>
      <c r="VJ34" s="12"/>
      <c r="VK34" s="12"/>
      <c r="VL34" s="12"/>
      <c r="VM34" s="12"/>
      <c r="VN34" s="12"/>
      <c r="VO34" s="12"/>
      <c r="VP34" s="12"/>
      <c r="VQ34" s="12"/>
      <c r="VR34" s="12"/>
      <c r="VS34" s="12"/>
      <c r="VT34" s="12"/>
      <c r="VU34" s="12"/>
      <c r="VV34" s="12"/>
      <c r="VW34" s="12"/>
      <c r="VX34" s="12"/>
      <c r="VY34" s="12"/>
      <c r="VZ34" s="12"/>
      <c r="WA34" s="12"/>
      <c r="WB34" s="12"/>
      <c r="WC34" s="12"/>
      <c r="WD34" s="12"/>
      <c r="WE34" s="12"/>
      <c r="WF34" s="12"/>
      <c r="WG34" s="12"/>
      <c r="WH34" s="12"/>
      <c r="WI34" s="12"/>
      <c r="WJ34" s="12"/>
      <c r="WK34" s="12"/>
      <c r="WL34" s="12"/>
      <c r="WM34" s="12"/>
      <c r="WN34" s="12"/>
      <c r="WO34" s="12"/>
      <c r="WP34" s="12"/>
      <c r="WQ34" s="12"/>
      <c r="WR34" s="12"/>
      <c r="WS34" s="12"/>
      <c r="WT34" s="12"/>
      <c r="WU34" s="12"/>
      <c r="WV34" s="12"/>
      <c r="WW34" s="12"/>
      <c r="WX34" s="12"/>
      <c r="WY34" s="12"/>
      <c r="WZ34" s="12"/>
      <c r="XA34" s="12"/>
      <c r="XB34" s="12"/>
      <c r="XC34" s="12"/>
      <c r="XD34" s="12"/>
      <c r="XE34" s="12"/>
      <c r="XF34" s="12"/>
      <c r="XG34" s="12"/>
      <c r="XH34" s="12"/>
      <c r="XI34" s="12"/>
      <c r="XJ34" s="12"/>
      <c r="XK34" s="12"/>
      <c r="XL34" s="12"/>
      <c r="XM34" s="12"/>
      <c r="XN34" s="12"/>
      <c r="XO34" s="12"/>
      <c r="XP34" s="12"/>
      <c r="XQ34" s="12"/>
      <c r="XR34" s="12"/>
      <c r="XS34" s="12"/>
      <c r="XT34" s="12"/>
      <c r="XU34" s="12"/>
      <c r="XV34" s="12"/>
      <c r="XW34" s="12"/>
      <c r="XX34" s="12"/>
      <c r="XY34" s="12"/>
      <c r="XZ34" s="12"/>
      <c r="YA34" s="12"/>
      <c r="YB34" s="12"/>
      <c r="YC34" s="12"/>
      <c r="YD34" s="12"/>
      <c r="YE34" s="12"/>
      <c r="YF34" s="12"/>
      <c r="YG34" s="12"/>
      <c r="YH34" s="12"/>
      <c r="YI34" s="12"/>
      <c r="YJ34" s="12"/>
      <c r="YK34" s="12"/>
      <c r="YL34" s="12"/>
      <c r="YM34" s="12"/>
      <c r="YN34" s="12"/>
      <c r="YO34" s="12"/>
      <c r="YP34" s="12"/>
      <c r="YQ34" s="12"/>
      <c r="YR34" s="12"/>
      <c r="YS34" s="12"/>
      <c r="YT34" s="12"/>
      <c r="YU34" s="12"/>
      <c r="YV34" s="12"/>
      <c r="YW34" s="12"/>
      <c r="YX34" s="12"/>
      <c r="YY34" s="12"/>
      <c r="YZ34" s="12"/>
      <c r="ZA34" s="12"/>
      <c r="ZB34" s="12"/>
      <c r="ZC34" s="12"/>
      <c r="ZD34" s="12"/>
      <c r="ZE34" s="12"/>
      <c r="ZF34" s="12"/>
      <c r="ZG34" s="12"/>
      <c r="ZH34" s="12"/>
      <c r="ZI34" s="12"/>
      <c r="ZJ34" s="12"/>
      <c r="ZK34" s="12"/>
      <c r="ZL34" s="12"/>
      <c r="ZM34" s="12"/>
      <c r="ZN34" s="12"/>
      <c r="ZO34" s="12"/>
      <c r="ZP34" s="12"/>
      <c r="ZQ34" s="12"/>
      <c r="ZR34" s="12"/>
      <c r="ZS34" s="12"/>
      <c r="ZT34" s="12"/>
      <c r="ZU34" s="12"/>
      <c r="ZV34" s="12"/>
      <c r="ZW34" s="12"/>
      <c r="ZX34" s="12"/>
      <c r="ZY34" s="12"/>
      <c r="ZZ34" s="12"/>
      <c r="AAA34" s="12"/>
      <c r="AAB34" s="12"/>
      <c r="AAC34" s="12"/>
      <c r="AAD34" s="12"/>
      <c r="AAE34" s="12"/>
      <c r="AAF34" s="12"/>
      <c r="AAG34" s="12"/>
      <c r="AAH34" s="12"/>
      <c r="AAI34" s="12"/>
      <c r="AAJ34" s="12"/>
      <c r="AAK34" s="12"/>
      <c r="AAL34" s="12"/>
      <c r="AAM34" s="12"/>
      <c r="AAN34" s="12"/>
      <c r="AAO34" s="12"/>
      <c r="AAP34" s="12"/>
      <c r="AAQ34" s="12"/>
      <c r="AAR34" s="12"/>
      <c r="AAS34" s="12"/>
      <c r="AAT34" s="12"/>
      <c r="AAU34" s="12"/>
      <c r="AAV34" s="12"/>
      <c r="AAW34" s="12"/>
      <c r="AAX34" s="12"/>
      <c r="AAY34" s="12"/>
      <c r="AAZ34" s="12"/>
      <c r="ABA34" s="12"/>
      <c r="ABB34" s="12"/>
      <c r="ABC34" s="12"/>
      <c r="ABD34" s="12"/>
      <c r="ABE34" s="12"/>
      <c r="ABF34" s="12"/>
      <c r="ABG34" s="12"/>
      <c r="ABH34" s="12"/>
      <c r="ABI34" s="12"/>
      <c r="ABJ34" s="12"/>
      <c r="ABK34" s="12"/>
      <c r="ABL34" s="12"/>
      <c r="ABM34" s="12"/>
      <c r="ABN34" s="12"/>
      <c r="ABO34" s="12"/>
      <c r="ABP34" s="12"/>
      <c r="ABQ34" s="12"/>
      <c r="ABR34" s="12"/>
      <c r="ABS34" s="12"/>
      <c r="ABT34" s="12"/>
      <c r="ABU34" s="12"/>
      <c r="ABV34" s="12"/>
      <c r="ABW34" s="12"/>
      <c r="ABX34" s="12"/>
      <c r="ABY34" s="12"/>
      <c r="ABZ34" s="12"/>
      <c r="ACA34" s="12"/>
      <c r="ACB34" s="12"/>
      <c r="ACC34" s="12"/>
      <c r="ACD34" s="12"/>
      <c r="ACE34" s="12"/>
      <c r="ACF34" s="12"/>
      <c r="ACG34" s="12"/>
      <c r="ACH34" s="12"/>
      <c r="ACI34" s="12"/>
      <c r="ACJ34" s="12"/>
      <c r="ACK34" s="12"/>
      <c r="ACL34" s="12"/>
      <c r="ACM34" s="12"/>
      <c r="ACN34" s="12"/>
      <c r="ACO34" s="12"/>
      <c r="ACP34" s="12"/>
      <c r="ACQ34" s="12"/>
      <c r="ACR34" s="12"/>
      <c r="ACS34" s="12"/>
      <c r="ACT34" s="12"/>
      <c r="ACU34" s="12"/>
      <c r="ACV34" s="12"/>
      <c r="ACW34" s="12"/>
      <c r="ACX34" s="12"/>
      <c r="ACY34" s="12"/>
      <c r="ACZ34" s="12"/>
      <c r="ADA34" s="12"/>
      <c r="ADB34" s="12"/>
      <c r="ADC34" s="12"/>
      <c r="ADD34" s="12"/>
      <c r="ADE34" s="12"/>
      <c r="ADF34" s="12"/>
      <c r="ADG34" s="12"/>
      <c r="ADH34" s="12"/>
      <c r="ADI34" s="12"/>
      <c r="ADJ34" s="12"/>
      <c r="ADK34" s="12"/>
      <c r="ADL34" s="12"/>
      <c r="ADM34" s="12"/>
      <c r="ADN34" s="12"/>
      <c r="ADO34" s="12"/>
      <c r="ADP34" s="12"/>
      <c r="ADQ34" s="12"/>
      <c r="ADR34" s="12"/>
      <c r="ADS34" s="12"/>
      <c r="ADT34" s="12"/>
      <c r="ADU34" s="12"/>
      <c r="ADV34" s="12"/>
      <c r="ADW34" s="12"/>
      <c r="ADX34" s="12"/>
      <c r="ADY34" s="12"/>
      <c r="ADZ34" s="12"/>
      <c r="AEA34" s="12"/>
      <c r="AEB34" s="12"/>
      <c r="AEC34" s="12"/>
      <c r="AED34" s="12"/>
      <c r="AEE34" s="12"/>
      <c r="AEF34" s="12"/>
      <c r="AEG34" s="12"/>
      <c r="AEH34" s="12"/>
      <c r="AEI34" s="12"/>
      <c r="AEJ34" s="12"/>
      <c r="AEK34" s="12"/>
      <c r="AEL34" s="12"/>
      <c r="AEM34" s="12"/>
      <c r="AEN34" s="12"/>
      <c r="AEO34" s="12"/>
      <c r="AEP34" s="12"/>
      <c r="AEQ34" s="12"/>
      <c r="AER34" s="12"/>
      <c r="AES34" s="12"/>
      <c r="AET34" s="12"/>
      <c r="AEU34" s="12"/>
      <c r="AEV34" s="12"/>
    </row>
    <row r="35" spans="1:828" s="27" customFormat="1" ht="18" x14ac:dyDescent="0.2">
      <c r="A35" s="49"/>
      <c r="D35" s="29"/>
      <c r="E35" s="23"/>
      <c r="F35" s="23" t="s">
        <v>69</v>
      </c>
      <c r="G35" s="29">
        <v>1625</v>
      </c>
      <c r="H35" s="50"/>
      <c r="I35" s="23"/>
      <c r="J35" s="29"/>
      <c r="K35" s="50"/>
      <c r="L35" s="23" t="s">
        <v>31</v>
      </c>
      <c r="M35" s="29">
        <v>14334</v>
      </c>
      <c r="N35" s="47"/>
      <c r="O35" s="51"/>
      <c r="P35" s="48"/>
      <c r="Q35"/>
      <c r="R35"/>
      <c r="S35"/>
      <c r="T35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</row>
    <row r="36" spans="1:828" s="27" customFormat="1" ht="18" x14ac:dyDescent="0.2">
      <c r="A36" s="28"/>
      <c r="D36" s="29"/>
      <c r="E36" s="23"/>
      <c r="F36" s="23" t="s">
        <v>71</v>
      </c>
      <c r="G36" s="29">
        <v>884</v>
      </c>
      <c r="H36" s="30"/>
      <c r="I36" s="23" t="s">
        <v>32</v>
      </c>
      <c r="J36" s="29">
        <v>76</v>
      </c>
      <c r="K36" s="30"/>
      <c r="L36" s="23" t="s">
        <v>33</v>
      </c>
      <c r="M36" s="29">
        <v>140</v>
      </c>
      <c r="N36" s="47"/>
      <c r="O36" s="12"/>
      <c r="P36" s="48"/>
      <c r="Q36"/>
      <c r="R36"/>
      <c r="S36"/>
      <c r="T36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</row>
    <row r="37" spans="1:828" s="27" customFormat="1" ht="18" x14ac:dyDescent="0.2">
      <c r="A37" s="28"/>
      <c r="D37" s="29"/>
      <c r="E37" s="23"/>
      <c r="F37" s="23" t="s">
        <v>72</v>
      </c>
      <c r="G37" s="29">
        <v>835</v>
      </c>
      <c r="H37" s="30"/>
      <c r="I37" s="23" t="s">
        <v>34</v>
      </c>
      <c r="J37" s="29">
        <v>1</v>
      </c>
      <c r="K37" s="30"/>
      <c r="L37" s="23"/>
      <c r="M37" s="29"/>
      <c r="N37" s="47"/>
      <c r="O37" s="12"/>
      <c r="P37" s="48"/>
      <c r="Q37" s="52"/>
      <c r="R37"/>
      <c r="S37"/>
      <c r="T37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  <c r="IL37" s="12"/>
      <c r="IM37" s="12"/>
      <c r="IN37" s="12"/>
      <c r="IO37" s="12"/>
      <c r="IP37" s="12"/>
      <c r="IQ37" s="12"/>
      <c r="IR37" s="12"/>
      <c r="IS37" s="12"/>
      <c r="IT37" s="12"/>
      <c r="IU37" s="12"/>
      <c r="IV37" s="12"/>
      <c r="IW37" s="12"/>
      <c r="IX37" s="12"/>
      <c r="IY37" s="12"/>
      <c r="IZ37" s="12"/>
      <c r="JA37" s="12"/>
      <c r="JB37" s="12"/>
      <c r="JC37" s="12"/>
      <c r="JD37" s="12"/>
      <c r="JE37" s="12"/>
      <c r="JF37" s="12"/>
      <c r="JG37" s="12"/>
      <c r="JH37" s="12"/>
      <c r="JI37" s="12"/>
      <c r="JJ37" s="12"/>
      <c r="JK37" s="12"/>
      <c r="JL37" s="12"/>
      <c r="JM37" s="12"/>
      <c r="JN37" s="12"/>
      <c r="JO37" s="12"/>
      <c r="JP37" s="12"/>
      <c r="JQ37" s="12"/>
      <c r="JR37" s="12"/>
      <c r="JS37" s="12"/>
      <c r="JT37" s="12"/>
      <c r="JU37" s="12"/>
      <c r="JV37" s="12"/>
      <c r="JW37" s="12"/>
      <c r="JX37" s="12"/>
      <c r="JY37" s="12"/>
      <c r="JZ37" s="12"/>
      <c r="KA37" s="12"/>
      <c r="KB37" s="12"/>
      <c r="KC37" s="12"/>
      <c r="KD37" s="12"/>
      <c r="KE37" s="12"/>
      <c r="KF37" s="12"/>
      <c r="KG37" s="12"/>
      <c r="KH37" s="12"/>
      <c r="KI37" s="12"/>
      <c r="KJ37" s="12"/>
      <c r="KK37" s="12"/>
      <c r="KL37" s="12"/>
      <c r="KM37" s="12"/>
      <c r="KN37" s="12"/>
      <c r="KO37" s="12"/>
      <c r="KP37" s="12"/>
      <c r="KQ37" s="12"/>
      <c r="KR37" s="12"/>
      <c r="KS37" s="12"/>
      <c r="KT37" s="12"/>
      <c r="KU37" s="12"/>
      <c r="KV37" s="12"/>
      <c r="KW37" s="12"/>
      <c r="KX37" s="12"/>
      <c r="KY37" s="12"/>
      <c r="KZ37" s="12"/>
      <c r="LA37" s="12"/>
      <c r="LB37" s="12"/>
      <c r="LC37" s="12"/>
      <c r="LD37" s="12"/>
      <c r="LE37" s="12"/>
      <c r="LF37" s="12"/>
      <c r="LG37" s="12"/>
      <c r="LH37" s="12"/>
      <c r="LI37" s="12"/>
      <c r="LJ37" s="12"/>
      <c r="LK37" s="12"/>
      <c r="LL37" s="12"/>
      <c r="LM37" s="12"/>
      <c r="LN37" s="12"/>
      <c r="LO37" s="12"/>
      <c r="LP37" s="12"/>
      <c r="LQ37" s="12"/>
      <c r="LR37" s="12"/>
      <c r="LS37" s="12"/>
      <c r="LT37" s="12"/>
      <c r="LU37" s="12"/>
      <c r="LV37" s="12"/>
      <c r="LW37" s="12"/>
      <c r="LX37" s="12"/>
      <c r="LY37" s="12"/>
      <c r="LZ37" s="12"/>
      <c r="MA37" s="12"/>
      <c r="MB37" s="12"/>
      <c r="MC37" s="12"/>
      <c r="MD37" s="12"/>
      <c r="ME37" s="12"/>
      <c r="MF37" s="12"/>
      <c r="MG37" s="12"/>
      <c r="MH37" s="12"/>
      <c r="MI37" s="12"/>
      <c r="MJ37" s="12"/>
      <c r="MK37" s="12"/>
      <c r="ML37" s="12"/>
      <c r="MM37" s="12"/>
      <c r="MN37" s="12"/>
      <c r="MO37" s="12"/>
      <c r="MP37" s="12"/>
      <c r="MQ37" s="12"/>
      <c r="MR37" s="12"/>
      <c r="MS37" s="12"/>
      <c r="MT37" s="12"/>
      <c r="MU37" s="12"/>
      <c r="MV37" s="12"/>
      <c r="MW37" s="12"/>
      <c r="MX37" s="12"/>
      <c r="MY37" s="12"/>
      <c r="MZ37" s="12"/>
      <c r="NA37" s="12"/>
      <c r="NB37" s="12"/>
      <c r="NC37" s="12"/>
      <c r="ND37" s="12"/>
      <c r="NE37" s="12"/>
      <c r="NF37" s="12"/>
      <c r="NG37" s="12"/>
      <c r="NH37" s="12"/>
      <c r="NI37" s="12"/>
      <c r="NJ37" s="12"/>
      <c r="NK37" s="12"/>
      <c r="NL37" s="12"/>
      <c r="NM37" s="12"/>
      <c r="NN37" s="12"/>
      <c r="NO37" s="12"/>
      <c r="NP37" s="12"/>
      <c r="NQ37" s="12"/>
      <c r="NR37" s="12"/>
      <c r="NS37" s="12"/>
      <c r="NT37" s="12"/>
      <c r="NU37" s="12"/>
      <c r="NV37" s="12"/>
      <c r="NW37" s="12"/>
      <c r="NX37" s="12"/>
      <c r="NY37" s="12"/>
      <c r="NZ37" s="12"/>
      <c r="OA37" s="12"/>
      <c r="OB37" s="12"/>
      <c r="OC37" s="12"/>
      <c r="OD37" s="12"/>
      <c r="OE37" s="12"/>
      <c r="OF37" s="12"/>
      <c r="OG37" s="12"/>
      <c r="OH37" s="12"/>
      <c r="OI37" s="12"/>
      <c r="OJ37" s="12"/>
      <c r="OK37" s="12"/>
      <c r="OL37" s="12"/>
      <c r="OM37" s="12"/>
      <c r="ON37" s="12"/>
      <c r="OO37" s="12"/>
      <c r="OP37" s="12"/>
      <c r="OQ37" s="12"/>
      <c r="OR37" s="12"/>
      <c r="OS37" s="12"/>
      <c r="OT37" s="12"/>
      <c r="OU37" s="12"/>
      <c r="OV37" s="12"/>
      <c r="OW37" s="12"/>
      <c r="OX37" s="12"/>
      <c r="OY37" s="12"/>
      <c r="OZ37" s="12"/>
      <c r="PA37" s="12"/>
      <c r="PB37" s="12"/>
      <c r="PC37" s="12"/>
      <c r="PD37" s="12"/>
      <c r="PE37" s="12"/>
      <c r="PF37" s="12"/>
      <c r="PG37" s="12"/>
      <c r="PH37" s="12"/>
      <c r="PI37" s="12"/>
      <c r="PJ37" s="12"/>
      <c r="PK37" s="12"/>
      <c r="PL37" s="12"/>
      <c r="PM37" s="12"/>
      <c r="PN37" s="12"/>
      <c r="PO37" s="12"/>
      <c r="PP37" s="12"/>
      <c r="PQ37" s="12"/>
      <c r="PR37" s="12"/>
      <c r="PS37" s="12"/>
      <c r="PT37" s="12"/>
      <c r="PU37" s="12"/>
      <c r="PV37" s="12"/>
      <c r="PW37" s="12"/>
      <c r="PX37" s="12"/>
      <c r="PY37" s="12"/>
      <c r="PZ37" s="12"/>
      <c r="QA37" s="12"/>
      <c r="QB37" s="12"/>
      <c r="QC37" s="12"/>
      <c r="QD37" s="12"/>
      <c r="QE37" s="12"/>
      <c r="QF37" s="12"/>
      <c r="QG37" s="12"/>
      <c r="QH37" s="12"/>
      <c r="QI37" s="12"/>
      <c r="QJ37" s="12"/>
      <c r="QK37" s="12"/>
      <c r="QL37" s="12"/>
      <c r="QM37" s="12"/>
      <c r="QN37" s="12"/>
      <c r="QO37" s="12"/>
      <c r="QP37" s="12"/>
      <c r="QQ37" s="12"/>
      <c r="QR37" s="12"/>
      <c r="QS37" s="12"/>
      <c r="QT37" s="12"/>
      <c r="QU37" s="12"/>
      <c r="QV37" s="12"/>
      <c r="QW37" s="12"/>
      <c r="QX37" s="12"/>
      <c r="QY37" s="12"/>
      <c r="QZ37" s="12"/>
      <c r="RA37" s="12"/>
      <c r="RB37" s="12"/>
      <c r="RC37" s="12"/>
      <c r="RD37" s="12"/>
      <c r="RE37" s="12"/>
      <c r="RF37" s="12"/>
      <c r="RG37" s="12"/>
      <c r="RH37" s="12"/>
      <c r="RI37" s="12"/>
      <c r="RJ37" s="12"/>
      <c r="RK37" s="12"/>
      <c r="RL37" s="12"/>
      <c r="RM37" s="12"/>
      <c r="RN37" s="12"/>
      <c r="RO37" s="12"/>
      <c r="RP37" s="12"/>
      <c r="RQ37" s="12"/>
      <c r="RR37" s="12"/>
      <c r="RS37" s="12"/>
      <c r="RT37" s="12"/>
      <c r="RU37" s="12"/>
      <c r="RV37" s="12"/>
      <c r="RW37" s="12"/>
      <c r="RX37" s="12"/>
      <c r="RY37" s="12"/>
      <c r="RZ37" s="12"/>
      <c r="SA37" s="12"/>
      <c r="SB37" s="12"/>
      <c r="SC37" s="12"/>
      <c r="SD37" s="12"/>
      <c r="SE37" s="12"/>
      <c r="SF37" s="12"/>
      <c r="SG37" s="12"/>
      <c r="SH37" s="12"/>
      <c r="SI37" s="12"/>
      <c r="SJ37" s="12"/>
      <c r="SK37" s="12"/>
      <c r="SL37" s="12"/>
      <c r="SM37" s="12"/>
      <c r="SN37" s="12"/>
      <c r="SO37" s="12"/>
      <c r="SP37" s="12"/>
      <c r="SQ37" s="12"/>
      <c r="SR37" s="12"/>
      <c r="SS37" s="12"/>
      <c r="ST37" s="12"/>
      <c r="SU37" s="12"/>
      <c r="SV37" s="12"/>
      <c r="SW37" s="12"/>
      <c r="SX37" s="12"/>
      <c r="SY37" s="12"/>
      <c r="SZ37" s="12"/>
      <c r="TA37" s="12"/>
      <c r="TB37" s="12"/>
      <c r="TC37" s="12"/>
      <c r="TD37" s="12"/>
      <c r="TE37" s="12"/>
      <c r="TF37" s="12"/>
      <c r="TG37" s="12"/>
      <c r="TH37" s="12"/>
      <c r="TI37" s="12"/>
      <c r="TJ37" s="12"/>
      <c r="TK37" s="12"/>
      <c r="TL37" s="12"/>
      <c r="TM37" s="12"/>
      <c r="TN37" s="12"/>
      <c r="TO37" s="12"/>
      <c r="TP37" s="12"/>
      <c r="TQ37" s="12"/>
      <c r="TR37" s="12"/>
      <c r="TS37" s="12"/>
      <c r="TT37" s="12"/>
      <c r="TU37" s="12"/>
      <c r="TV37" s="12"/>
      <c r="TW37" s="12"/>
      <c r="TX37" s="12"/>
      <c r="TY37" s="12"/>
      <c r="TZ37" s="12"/>
      <c r="UA37" s="12"/>
      <c r="UB37" s="12"/>
      <c r="UC37" s="12"/>
      <c r="UD37" s="12"/>
      <c r="UE37" s="12"/>
      <c r="UF37" s="12"/>
      <c r="UG37" s="12"/>
      <c r="UH37" s="12"/>
      <c r="UI37" s="12"/>
      <c r="UJ37" s="12"/>
      <c r="UK37" s="12"/>
      <c r="UL37" s="12"/>
      <c r="UM37" s="12"/>
      <c r="UN37" s="12"/>
      <c r="UO37" s="12"/>
      <c r="UP37" s="12"/>
      <c r="UQ37" s="12"/>
      <c r="UR37" s="12"/>
      <c r="US37" s="12"/>
      <c r="UT37" s="12"/>
      <c r="UU37" s="12"/>
      <c r="UV37" s="12"/>
      <c r="UW37" s="12"/>
      <c r="UX37" s="12"/>
      <c r="UY37" s="12"/>
      <c r="UZ37" s="12"/>
      <c r="VA37" s="12"/>
      <c r="VB37" s="12"/>
      <c r="VC37" s="12"/>
      <c r="VD37" s="12"/>
      <c r="VE37" s="12"/>
      <c r="VF37" s="12"/>
      <c r="VG37" s="12"/>
      <c r="VH37" s="12"/>
      <c r="VI37" s="12"/>
      <c r="VJ37" s="12"/>
      <c r="VK37" s="12"/>
      <c r="VL37" s="12"/>
      <c r="VM37" s="12"/>
      <c r="VN37" s="12"/>
      <c r="VO37" s="12"/>
      <c r="VP37" s="12"/>
      <c r="VQ37" s="12"/>
      <c r="VR37" s="12"/>
      <c r="VS37" s="12"/>
      <c r="VT37" s="12"/>
      <c r="VU37" s="12"/>
      <c r="VV37" s="12"/>
      <c r="VW37" s="12"/>
      <c r="VX37" s="12"/>
      <c r="VY37" s="12"/>
      <c r="VZ37" s="12"/>
      <c r="WA37" s="12"/>
      <c r="WB37" s="12"/>
      <c r="WC37" s="12"/>
      <c r="WD37" s="12"/>
      <c r="WE37" s="12"/>
      <c r="WF37" s="12"/>
      <c r="WG37" s="12"/>
      <c r="WH37" s="12"/>
      <c r="WI37" s="12"/>
      <c r="WJ37" s="12"/>
      <c r="WK37" s="12"/>
      <c r="WL37" s="12"/>
      <c r="WM37" s="12"/>
      <c r="WN37" s="12"/>
      <c r="WO37" s="12"/>
      <c r="WP37" s="12"/>
      <c r="WQ37" s="12"/>
      <c r="WR37" s="12"/>
      <c r="WS37" s="12"/>
      <c r="WT37" s="12"/>
      <c r="WU37" s="12"/>
      <c r="WV37" s="12"/>
      <c r="WW37" s="12"/>
      <c r="WX37" s="12"/>
      <c r="WY37" s="12"/>
      <c r="WZ37" s="12"/>
      <c r="XA37" s="12"/>
      <c r="XB37" s="12"/>
      <c r="XC37" s="12"/>
      <c r="XD37" s="12"/>
      <c r="XE37" s="12"/>
      <c r="XF37" s="12"/>
      <c r="XG37" s="12"/>
      <c r="XH37" s="12"/>
      <c r="XI37" s="12"/>
      <c r="XJ37" s="12"/>
      <c r="XK37" s="12"/>
      <c r="XL37" s="12"/>
      <c r="XM37" s="12"/>
      <c r="XN37" s="12"/>
      <c r="XO37" s="12"/>
      <c r="XP37" s="12"/>
      <c r="XQ37" s="12"/>
      <c r="XR37" s="12"/>
      <c r="XS37" s="12"/>
      <c r="XT37" s="12"/>
      <c r="XU37" s="12"/>
      <c r="XV37" s="12"/>
      <c r="XW37" s="12"/>
      <c r="XX37" s="12"/>
      <c r="XY37" s="12"/>
      <c r="XZ37" s="12"/>
      <c r="YA37" s="12"/>
      <c r="YB37" s="12"/>
      <c r="YC37" s="12"/>
      <c r="YD37" s="12"/>
      <c r="YE37" s="12"/>
      <c r="YF37" s="12"/>
      <c r="YG37" s="12"/>
      <c r="YH37" s="12"/>
      <c r="YI37" s="12"/>
      <c r="YJ37" s="12"/>
      <c r="YK37" s="12"/>
      <c r="YL37" s="12"/>
      <c r="YM37" s="12"/>
      <c r="YN37" s="12"/>
      <c r="YO37" s="12"/>
      <c r="YP37" s="12"/>
      <c r="YQ37" s="12"/>
      <c r="YR37" s="12"/>
      <c r="YS37" s="12"/>
      <c r="YT37" s="12"/>
      <c r="YU37" s="12"/>
      <c r="YV37" s="12"/>
      <c r="YW37" s="12"/>
      <c r="YX37" s="12"/>
      <c r="YY37" s="12"/>
      <c r="YZ37" s="12"/>
      <c r="ZA37" s="12"/>
      <c r="ZB37" s="12"/>
      <c r="ZC37" s="12"/>
      <c r="ZD37" s="12"/>
      <c r="ZE37" s="12"/>
      <c r="ZF37" s="12"/>
      <c r="ZG37" s="12"/>
      <c r="ZH37" s="12"/>
      <c r="ZI37" s="12"/>
      <c r="ZJ37" s="12"/>
      <c r="ZK37" s="12"/>
      <c r="ZL37" s="12"/>
      <c r="ZM37" s="12"/>
      <c r="ZN37" s="12"/>
      <c r="ZO37" s="12"/>
      <c r="ZP37" s="12"/>
      <c r="ZQ37" s="12"/>
      <c r="ZR37" s="12"/>
      <c r="ZS37" s="12"/>
      <c r="ZT37" s="12"/>
      <c r="ZU37" s="12"/>
      <c r="ZV37" s="12"/>
      <c r="ZW37" s="12"/>
      <c r="ZX37" s="12"/>
      <c r="ZY37" s="12"/>
      <c r="ZZ37" s="12"/>
      <c r="AAA37" s="12"/>
      <c r="AAB37" s="12"/>
      <c r="AAC37" s="12"/>
      <c r="AAD37" s="12"/>
      <c r="AAE37" s="12"/>
      <c r="AAF37" s="12"/>
      <c r="AAG37" s="12"/>
      <c r="AAH37" s="12"/>
      <c r="AAI37" s="12"/>
      <c r="AAJ37" s="12"/>
      <c r="AAK37" s="12"/>
      <c r="AAL37" s="12"/>
      <c r="AAM37" s="12"/>
      <c r="AAN37" s="12"/>
      <c r="AAO37" s="12"/>
      <c r="AAP37" s="12"/>
      <c r="AAQ37" s="12"/>
      <c r="AAR37" s="12"/>
      <c r="AAS37" s="12"/>
      <c r="AAT37" s="12"/>
      <c r="AAU37" s="12"/>
      <c r="AAV37" s="12"/>
      <c r="AAW37" s="12"/>
      <c r="AAX37" s="12"/>
      <c r="AAY37" s="12"/>
      <c r="AAZ37" s="12"/>
      <c r="ABA37" s="12"/>
      <c r="ABB37" s="12"/>
      <c r="ABC37" s="12"/>
      <c r="ABD37" s="12"/>
      <c r="ABE37" s="12"/>
      <c r="ABF37" s="12"/>
      <c r="ABG37" s="12"/>
      <c r="ABH37" s="12"/>
      <c r="ABI37" s="12"/>
      <c r="ABJ37" s="12"/>
      <c r="ABK37" s="12"/>
      <c r="ABL37" s="12"/>
      <c r="ABM37" s="12"/>
      <c r="ABN37" s="12"/>
      <c r="ABO37" s="12"/>
      <c r="ABP37" s="12"/>
      <c r="ABQ37" s="12"/>
      <c r="ABR37" s="12"/>
      <c r="ABS37" s="12"/>
      <c r="ABT37" s="12"/>
      <c r="ABU37" s="12"/>
      <c r="ABV37" s="12"/>
      <c r="ABW37" s="12"/>
      <c r="ABX37" s="12"/>
      <c r="ABY37" s="12"/>
      <c r="ABZ37" s="12"/>
      <c r="ACA37" s="12"/>
      <c r="ACB37" s="12"/>
      <c r="ACC37" s="12"/>
      <c r="ACD37" s="12"/>
      <c r="ACE37" s="12"/>
      <c r="ACF37" s="12"/>
      <c r="ACG37" s="12"/>
      <c r="ACH37" s="12"/>
      <c r="ACI37" s="12"/>
      <c r="ACJ37" s="12"/>
      <c r="ACK37" s="12"/>
      <c r="ACL37" s="12"/>
      <c r="ACM37" s="12"/>
      <c r="ACN37" s="12"/>
      <c r="ACO37" s="12"/>
      <c r="ACP37" s="12"/>
      <c r="ACQ37" s="12"/>
      <c r="ACR37" s="12"/>
      <c r="ACS37" s="12"/>
      <c r="ACT37" s="12"/>
      <c r="ACU37" s="12"/>
      <c r="ACV37" s="12"/>
      <c r="ACW37" s="12"/>
      <c r="ACX37" s="12"/>
      <c r="ACY37" s="12"/>
      <c r="ACZ37" s="12"/>
      <c r="ADA37" s="12"/>
      <c r="ADB37" s="12"/>
      <c r="ADC37" s="12"/>
      <c r="ADD37" s="12"/>
      <c r="ADE37" s="12"/>
      <c r="ADF37" s="12"/>
      <c r="ADG37" s="12"/>
      <c r="ADH37" s="12"/>
      <c r="ADI37" s="12"/>
      <c r="ADJ37" s="12"/>
      <c r="ADK37" s="12"/>
      <c r="ADL37" s="12"/>
      <c r="ADM37" s="12"/>
      <c r="ADN37" s="12"/>
      <c r="ADO37" s="12"/>
      <c r="ADP37" s="12"/>
      <c r="ADQ37" s="12"/>
      <c r="ADR37" s="12"/>
      <c r="ADS37" s="12"/>
      <c r="ADT37" s="12"/>
      <c r="ADU37" s="12"/>
      <c r="ADV37" s="12"/>
      <c r="ADW37" s="12"/>
      <c r="ADX37" s="12"/>
      <c r="ADY37" s="12"/>
      <c r="ADZ37" s="12"/>
      <c r="AEA37" s="12"/>
      <c r="AEB37" s="12"/>
      <c r="AEC37" s="12"/>
      <c r="AED37" s="12"/>
      <c r="AEE37" s="12"/>
      <c r="AEF37" s="12"/>
      <c r="AEG37" s="12"/>
      <c r="AEH37" s="12"/>
      <c r="AEI37" s="12"/>
      <c r="AEJ37" s="12"/>
      <c r="AEK37" s="12"/>
      <c r="AEL37" s="12"/>
      <c r="AEM37" s="12"/>
      <c r="AEN37" s="12"/>
      <c r="AEO37" s="12"/>
      <c r="AEP37" s="12"/>
      <c r="AEQ37" s="12"/>
      <c r="AER37" s="12"/>
      <c r="AES37" s="12"/>
      <c r="AET37" s="12"/>
      <c r="AEU37" s="12"/>
      <c r="AEV37" s="12"/>
    </row>
    <row r="38" spans="1:828" s="27" customFormat="1" ht="18" x14ac:dyDescent="0.2">
      <c r="A38" s="28"/>
      <c r="D38" s="29"/>
      <c r="E38" s="23"/>
      <c r="F38" s="27" t="s">
        <v>35</v>
      </c>
      <c r="G38" s="29">
        <v>230</v>
      </c>
      <c r="H38" s="30"/>
      <c r="I38" s="23" t="s">
        <v>36</v>
      </c>
      <c r="J38" s="29">
        <v>0</v>
      </c>
      <c r="K38" s="30"/>
      <c r="L38" s="23" t="s">
        <v>37</v>
      </c>
      <c r="M38" s="29">
        <v>772</v>
      </c>
      <c r="N38" s="47"/>
      <c r="O38" s="12"/>
      <c r="P38" s="48"/>
      <c r="Q38"/>
      <c r="R38"/>
      <c r="S38"/>
      <c r="T38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</row>
    <row r="39" spans="1:828" s="27" customFormat="1" ht="18" x14ac:dyDescent="0.2">
      <c r="A39" s="28"/>
      <c r="D39" s="29"/>
      <c r="E39" s="23"/>
      <c r="F39" s="27" t="s">
        <v>30</v>
      </c>
      <c r="G39" s="29">
        <v>197</v>
      </c>
      <c r="H39" s="30"/>
      <c r="I39" s="23"/>
      <c r="J39" s="29"/>
      <c r="K39" s="30"/>
      <c r="L39" s="23" t="s">
        <v>38</v>
      </c>
      <c r="M39" s="29">
        <v>467</v>
      </c>
      <c r="N39" s="47"/>
      <c r="O39" s="12"/>
      <c r="P39" s="48"/>
      <c r="Q39"/>
      <c r="R39"/>
      <c r="S39"/>
      <c r="T39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  <c r="IY39" s="12"/>
      <c r="IZ39" s="12"/>
      <c r="JA39" s="12"/>
      <c r="JB39" s="12"/>
      <c r="JC39" s="12"/>
      <c r="JD39" s="12"/>
      <c r="JE39" s="12"/>
      <c r="JF39" s="12"/>
      <c r="JG39" s="12"/>
      <c r="JH39" s="12"/>
      <c r="JI39" s="12"/>
      <c r="JJ39" s="12"/>
      <c r="JK39" s="12"/>
      <c r="JL39" s="12"/>
      <c r="JM39" s="12"/>
      <c r="JN39" s="12"/>
      <c r="JO39" s="12"/>
      <c r="JP39" s="12"/>
      <c r="JQ39" s="12"/>
      <c r="JR39" s="12"/>
      <c r="JS39" s="12"/>
      <c r="JT39" s="12"/>
      <c r="JU39" s="12"/>
      <c r="JV39" s="12"/>
      <c r="JW39" s="12"/>
      <c r="JX39" s="12"/>
      <c r="JY39" s="12"/>
      <c r="JZ39" s="12"/>
      <c r="KA39" s="12"/>
      <c r="KB39" s="12"/>
      <c r="KC39" s="12"/>
      <c r="KD39" s="12"/>
      <c r="KE39" s="12"/>
      <c r="KF39" s="12"/>
      <c r="KG39" s="12"/>
      <c r="KH39" s="12"/>
      <c r="KI39" s="12"/>
      <c r="KJ39" s="12"/>
      <c r="KK39" s="12"/>
      <c r="KL39" s="12"/>
      <c r="KM39" s="12"/>
      <c r="KN39" s="12"/>
      <c r="KO39" s="12"/>
      <c r="KP39" s="12"/>
      <c r="KQ39" s="12"/>
      <c r="KR39" s="12"/>
      <c r="KS39" s="12"/>
      <c r="KT39" s="12"/>
      <c r="KU39" s="12"/>
      <c r="KV39" s="12"/>
      <c r="KW39" s="12"/>
      <c r="KX39" s="12"/>
      <c r="KY39" s="12"/>
      <c r="KZ39" s="12"/>
      <c r="LA39" s="12"/>
      <c r="LB39" s="12"/>
      <c r="LC39" s="12"/>
      <c r="LD39" s="12"/>
      <c r="LE39" s="12"/>
      <c r="LF39" s="12"/>
      <c r="LG39" s="12"/>
      <c r="LH39" s="12"/>
      <c r="LI39" s="12"/>
      <c r="LJ39" s="12"/>
      <c r="LK39" s="12"/>
      <c r="LL39" s="12"/>
      <c r="LM39" s="12"/>
      <c r="LN39" s="12"/>
      <c r="LO39" s="12"/>
      <c r="LP39" s="12"/>
      <c r="LQ39" s="12"/>
      <c r="LR39" s="12"/>
      <c r="LS39" s="12"/>
      <c r="LT39" s="12"/>
      <c r="LU39" s="12"/>
      <c r="LV39" s="12"/>
      <c r="LW39" s="12"/>
      <c r="LX39" s="12"/>
      <c r="LY39" s="12"/>
      <c r="LZ39" s="12"/>
      <c r="MA39" s="12"/>
      <c r="MB39" s="12"/>
      <c r="MC39" s="12"/>
      <c r="MD39" s="12"/>
      <c r="ME39" s="12"/>
      <c r="MF39" s="12"/>
      <c r="MG39" s="12"/>
      <c r="MH39" s="12"/>
      <c r="MI39" s="12"/>
      <c r="MJ39" s="12"/>
      <c r="MK39" s="12"/>
      <c r="ML39" s="12"/>
      <c r="MM39" s="12"/>
      <c r="MN39" s="12"/>
      <c r="MO39" s="12"/>
      <c r="MP39" s="12"/>
      <c r="MQ39" s="12"/>
      <c r="MR39" s="12"/>
      <c r="MS39" s="12"/>
      <c r="MT39" s="12"/>
      <c r="MU39" s="12"/>
      <c r="MV39" s="12"/>
      <c r="MW39" s="12"/>
      <c r="MX39" s="12"/>
      <c r="MY39" s="12"/>
      <c r="MZ39" s="12"/>
      <c r="NA39" s="12"/>
      <c r="NB39" s="12"/>
      <c r="NC39" s="12"/>
      <c r="ND39" s="12"/>
      <c r="NE39" s="12"/>
      <c r="NF39" s="12"/>
      <c r="NG39" s="12"/>
      <c r="NH39" s="12"/>
      <c r="NI39" s="12"/>
      <c r="NJ39" s="12"/>
      <c r="NK39" s="12"/>
      <c r="NL39" s="12"/>
      <c r="NM39" s="12"/>
      <c r="NN39" s="12"/>
      <c r="NO39" s="12"/>
      <c r="NP39" s="12"/>
      <c r="NQ39" s="12"/>
      <c r="NR39" s="12"/>
      <c r="NS39" s="12"/>
      <c r="NT39" s="12"/>
      <c r="NU39" s="12"/>
      <c r="NV39" s="12"/>
      <c r="NW39" s="12"/>
      <c r="NX39" s="12"/>
      <c r="NY39" s="12"/>
      <c r="NZ39" s="12"/>
      <c r="OA39" s="12"/>
      <c r="OB39" s="12"/>
      <c r="OC39" s="12"/>
      <c r="OD39" s="12"/>
      <c r="OE39" s="12"/>
      <c r="OF39" s="12"/>
      <c r="OG39" s="12"/>
      <c r="OH39" s="12"/>
      <c r="OI39" s="12"/>
      <c r="OJ39" s="12"/>
      <c r="OK39" s="12"/>
      <c r="OL39" s="12"/>
      <c r="OM39" s="12"/>
      <c r="ON39" s="12"/>
      <c r="OO39" s="12"/>
      <c r="OP39" s="12"/>
      <c r="OQ39" s="12"/>
      <c r="OR39" s="12"/>
      <c r="OS39" s="12"/>
      <c r="OT39" s="12"/>
      <c r="OU39" s="12"/>
      <c r="OV39" s="12"/>
      <c r="OW39" s="12"/>
      <c r="OX39" s="12"/>
      <c r="OY39" s="12"/>
      <c r="OZ39" s="12"/>
      <c r="PA39" s="12"/>
      <c r="PB39" s="12"/>
      <c r="PC39" s="12"/>
      <c r="PD39" s="12"/>
      <c r="PE39" s="12"/>
      <c r="PF39" s="12"/>
      <c r="PG39" s="12"/>
      <c r="PH39" s="12"/>
      <c r="PI39" s="12"/>
      <c r="PJ39" s="12"/>
      <c r="PK39" s="12"/>
      <c r="PL39" s="12"/>
      <c r="PM39" s="12"/>
      <c r="PN39" s="12"/>
      <c r="PO39" s="12"/>
      <c r="PP39" s="12"/>
      <c r="PQ39" s="12"/>
      <c r="PR39" s="12"/>
      <c r="PS39" s="12"/>
      <c r="PT39" s="12"/>
      <c r="PU39" s="12"/>
      <c r="PV39" s="12"/>
      <c r="PW39" s="12"/>
      <c r="PX39" s="12"/>
      <c r="PY39" s="12"/>
      <c r="PZ39" s="12"/>
      <c r="QA39" s="12"/>
      <c r="QB39" s="12"/>
      <c r="QC39" s="12"/>
      <c r="QD39" s="12"/>
      <c r="QE39" s="12"/>
      <c r="QF39" s="12"/>
      <c r="QG39" s="12"/>
      <c r="QH39" s="12"/>
      <c r="QI39" s="12"/>
      <c r="QJ39" s="12"/>
      <c r="QK39" s="12"/>
      <c r="QL39" s="12"/>
      <c r="QM39" s="12"/>
      <c r="QN39" s="12"/>
      <c r="QO39" s="12"/>
      <c r="QP39" s="12"/>
      <c r="QQ39" s="12"/>
      <c r="QR39" s="12"/>
      <c r="QS39" s="12"/>
      <c r="QT39" s="12"/>
      <c r="QU39" s="12"/>
      <c r="QV39" s="12"/>
      <c r="QW39" s="12"/>
      <c r="QX39" s="12"/>
      <c r="QY39" s="12"/>
      <c r="QZ39" s="12"/>
      <c r="RA39" s="12"/>
      <c r="RB39" s="12"/>
      <c r="RC39" s="12"/>
      <c r="RD39" s="12"/>
      <c r="RE39" s="12"/>
      <c r="RF39" s="12"/>
      <c r="RG39" s="12"/>
      <c r="RH39" s="12"/>
      <c r="RI39" s="12"/>
      <c r="RJ39" s="12"/>
      <c r="RK39" s="12"/>
      <c r="RL39" s="12"/>
      <c r="RM39" s="12"/>
      <c r="RN39" s="12"/>
      <c r="RO39" s="12"/>
      <c r="RP39" s="12"/>
      <c r="RQ39" s="12"/>
      <c r="RR39" s="12"/>
      <c r="RS39" s="12"/>
      <c r="RT39" s="12"/>
      <c r="RU39" s="12"/>
      <c r="RV39" s="12"/>
      <c r="RW39" s="12"/>
      <c r="RX39" s="12"/>
      <c r="RY39" s="12"/>
      <c r="RZ39" s="12"/>
      <c r="SA39" s="12"/>
      <c r="SB39" s="12"/>
      <c r="SC39" s="12"/>
      <c r="SD39" s="12"/>
      <c r="SE39" s="12"/>
      <c r="SF39" s="12"/>
      <c r="SG39" s="12"/>
      <c r="SH39" s="12"/>
      <c r="SI39" s="12"/>
      <c r="SJ39" s="12"/>
      <c r="SK39" s="12"/>
      <c r="SL39" s="12"/>
      <c r="SM39" s="12"/>
      <c r="SN39" s="12"/>
      <c r="SO39" s="12"/>
      <c r="SP39" s="12"/>
      <c r="SQ39" s="12"/>
      <c r="SR39" s="12"/>
      <c r="SS39" s="12"/>
      <c r="ST39" s="12"/>
      <c r="SU39" s="12"/>
      <c r="SV39" s="12"/>
      <c r="SW39" s="12"/>
      <c r="SX39" s="12"/>
      <c r="SY39" s="12"/>
      <c r="SZ39" s="12"/>
      <c r="TA39" s="12"/>
      <c r="TB39" s="12"/>
      <c r="TC39" s="12"/>
      <c r="TD39" s="12"/>
      <c r="TE39" s="12"/>
      <c r="TF39" s="12"/>
      <c r="TG39" s="12"/>
      <c r="TH39" s="12"/>
      <c r="TI39" s="12"/>
      <c r="TJ39" s="12"/>
      <c r="TK39" s="12"/>
      <c r="TL39" s="12"/>
      <c r="TM39" s="12"/>
      <c r="TN39" s="12"/>
      <c r="TO39" s="12"/>
      <c r="TP39" s="12"/>
      <c r="TQ39" s="12"/>
      <c r="TR39" s="12"/>
      <c r="TS39" s="12"/>
      <c r="TT39" s="12"/>
      <c r="TU39" s="12"/>
      <c r="TV39" s="12"/>
      <c r="TW39" s="12"/>
      <c r="TX39" s="12"/>
      <c r="TY39" s="12"/>
      <c r="TZ39" s="12"/>
      <c r="UA39" s="12"/>
      <c r="UB39" s="12"/>
      <c r="UC39" s="12"/>
      <c r="UD39" s="12"/>
      <c r="UE39" s="12"/>
      <c r="UF39" s="12"/>
      <c r="UG39" s="12"/>
      <c r="UH39" s="12"/>
      <c r="UI39" s="12"/>
      <c r="UJ39" s="12"/>
      <c r="UK39" s="12"/>
      <c r="UL39" s="12"/>
      <c r="UM39" s="12"/>
      <c r="UN39" s="12"/>
      <c r="UO39" s="12"/>
      <c r="UP39" s="12"/>
      <c r="UQ39" s="12"/>
      <c r="UR39" s="12"/>
      <c r="US39" s="12"/>
      <c r="UT39" s="12"/>
      <c r="UU39" s="12"/>
      <c r="UV39" s="12"/>
      <c r="UW39" s="12"/>
      <c r="UX39" s="12"/>
      <c r="UY39" s="12"/>
      <c r="UZ39" s="12"/>
      <c r="VA39" s="12"/>
      <c r="VB39" s="12"/>
      <c r="VC39" s="12"/>
      <c r="VD39" s="12"/>
      <c r="VE39" s="12"/>
      <c r="VF39" s="12"/>
      <c r="VG39" s="12"/>
      <c r="VH39" s="12"/>
      <c r="VI39" s="12"/>
      <c r="VJ39" s="12"/>
      <c r="VK39" s="12"/>
      <c r="VL39" s="12"/>
      <c r="VM39" s="12"/>
      <c r="VN39" s="12"/>
      <c r="VO39" s="12"/>
      <c r="VP39" s="12"/>
      <c r="VQ39" s="12"/>
      <c r="VR39" s="12"/>
      <c r="VS39" s="12"/>
      <c r="VT39" s="12"/>
      <c r="VU39" s="12"/>
      <c r="VV39" s="12"/>
      <c r="VW39" s="12"/>
      <c r="VX39" s="12"/>
      <c r="VY39" s="12"/>
      <c r="VZ39" s="12"/>
      <c r="WA39" s="12"/>
      <c r="WB39" s="12"/>
      <c r="WC39" s="12"/>
      <c r="WD39" s="12"/>
      <c r="WE39" s="12"/>
      <c r="WF39" s="12"/>
      <c r="WG39" s="12"/>
      <c r="WH39" s="12"/>
      <c r="WI39" s="12"/>
      <c r="WJ39" s="12"/>
      <c r="WK39" s="12"/>
      <c r="WL39" s="12"/>
      <c r="WM39" s="12"/>
      <c r="WN39" s="12"/>
      <c r="WO39" s="12"/>
      <c r="WP39" s="12"/>
      <c r="WQ39" s="12"/>
      <c r="WR39" s="12"/>
      <c r="WS39" s="12"/>
      <c r="WT39" s="12"/>
      <c r="WU39" s="12"/>
      <c r="WV39" s="12"/>
      <c r="WW39" s="12"/>
      <c r="WX39" s="12"/>
      <c r="WY39" s="12"/>
      <c r="WZ39" s="12"/>
      <c r="XA39" s="12"/>
      <c r="XB39" s="12"/>
      <c r="XC39" s="12"/>
      <c r="XD39" s="12"/>
      <c r="XE39" s="12"/>
      <c r="XF39" s="12"/>
      <c r="XG39" s="12"/>
      <c r="XH39" s="12"/>
      <c r="XI39" s="12"/>
      <c r="XJ39" s="12"/>
      <c r="XK39" s="12"/>
      <c r="XL39" s="12"/>
      <c r="XM39" s="12"/>
      <c r="XN39" s="12"/>
      <c r="XO39" s="12"/>
      <c r="XP39" s="12"/>
      <c r="XQ39" s="12"/>
      <c r="XR39" s="12"/>
      <c r="XS39" s="12"/>
      <c r="XT39" s="12"/>
      <c r="XU39" s="12"/>
      <c r="XV39" s="12"/>
      <c r="XW39" s="12"/>
      <c r="XX39" s="12"/>
      <c r="XY39" s="12"/>
      <c r="XZ39" s="12"/>
      <c r="YA39" s="12"/>
      <c r="YB39" s="12"/>
      <c r="YC39" s="12"/>
      <c r="YD39" s="12"/>
      <c r="YE39" s="12"/>
      <c r="YF39" s="12"/>
      <c r="YG39" s="12"/>
      <c r="YH39" s="12"/>
      <c r="YI39" s="12"/>
      <c r="YJ39" s="12"/>
      <c r="YK39" s="12"/>
      <c r="YL39" s="12"/>
      <c r="YM39" s="12"/>
      <c r="YN39" s="12"/>
      <c r="YO39" s="12"/>
      <c r="YP39" s="12"/>
      <c r="YQ39" s="12"/>
      <c r="YR39" s="12"/>
      <c r="YS39" s="12"/>
      <c r="YT39" s="12"/>
      <c r="YU39" s="12"/>
      <c r="YV39" s="12"/>
      <c r="YW39" s="12"/>
      <c r="YX39" s="12"/>
      <c r="YY39" s="12"/>
      <c r="YZ39" s="12"/>
      <c r="ZA39" s="12"/>
      <c r="ZB39" s="12"/>
      <c r="ZC39" s="12"/>
      <c r="ZD39" s="12"/>
      <c r="ZE39" s="12"/>
      <c r="ZF39" s="12"/>
      <c r="ZG39" s="12"/>
      <c r="ZH39" s="12"/>
      <c r="ZI39" s="12"/>
      <c r="ZJ39" s="12"/>
      <c r="ZK39" s="12"/>
      <c r="ZL39" s="12"/>
      <c r="ZM39" s="12"/>
      <c r="ZN39" s="12"/>
      <c r="ZO39" s="12"/>
      <c r="ZP39" s="12"/>
      <c r="ZQ39" s="12"/>
      <c r="ZR39" s="12"/>
      <c r="ZS39" s="12"/>
      <c r="ZT39" s="12"/>
      <c r="ZU39" s="12"/>
      <c r="ZV39" s="12"/>
      <c r="ZW39" s="12"/>
      <c r="ZX39" s="12"/>
      <c r="ZY39" s="12"/>
      <c r="ZZ39" s="12"/>
      <c r="AAA39" s="12"/>
      <c r="AAB39" s="12"/>
      <c r="AAC39" s="12"/>
      <c r="AAD39" s="12"/>
      <c r="AAE39" s="12"/>
      <c r="AAF39" s="12"/>
      <c r="AAG39" s="12"/>
      <c r="AAH39" s="12"/>
      <c r="AAI39" s="12"/>
      <c r="AAJ39" s="12"/>
      <c r="AAK39" s="12"/>
      <c r="AAL39" s="12"/>
      <c r="AAM39" s="12"/>
      <c r="AAN39" s="12"/>
      <c r="AAO39" s="12"/>
      <c r="AAP39" s="12"/>
      <c r="AAQ39" s="12"/>
      <c r="AAR39" s="12"/>
      <c r="AAS39" s="12"/>
      <c r="AAT39" s="12"/>
      <c r="AAU39" s="12"/>
      <c r="AAV39" s="12"/>
      <c r="AAW39" s="12"/>
      <c r="AAX39" s="12"/>
      <c r="AAY39" s="12"/>
      <c r="AAZ39" s="12"/>
      <c r="ABA39" s="12"/>
      <c r="ABB39" s="12"/>
      <c r="ABC39" s="12"/>
      <c r="ABD39" s="12"/>
      <c r="ABE39" s="12"/>
      <c r="ABF39" s="12"/>
      <c r="ABG39" s="12"/>
      <c r="ABH39" s="12"/>
      <c r="ABI39" s="12"/>
      <c r="ABJ39" s="12"/>
      <c r="ABK39" s="12"/>
      <c r="ABL39" s="12"/>
      <c r="ABM39" s="12"/>
      <c r="ABN39" s="12"/>
      <c r="ABO39" s="12"/>
      <c r="ABP39" s="12"/>
      <c r="ABQ39" s="12"/>
      <c r="ABR39" s="12"/>
      <c r="ABS39" s="12"/>
      <c r="ABT39" s="12"/>
      <c r="ABU39" s="12"/>
      <c r="ABV39" s="12"/>
      <c r="ABW39" s="12"/>
      <c r="ABX39" s="12"/>
      <c r="ABY39" s="12"/>
      <c r="ABZ39" s="12"/>
      <c r="ACA39" s="12"/>
      <c r="ACB39" s="12"/>
      <c r="ACC39" s="12"/>
      <c r="ACD39" s="12"/>
      <c r="ACE39" s="12"/>
      <c r="ACF39" s="12"/>
      <c r="ACG39" s="12"/>
      <c r="ACH39" s="12"/>
      <c r="ACI39" s="12"/>
      <c r="ACJ39" s="12"/>
      <c r="ACK39" s="12"/>
      <c r="ACL39" s="12"/>
      <c r="ACM39" s="12"/>
      <c r="ACN39" s="12"/>
      <c r="ACO39" s="12"/>
      <c r="ACP39" s="12"/>
      <c r="ACQ39" s="12"/>
      <c r="ACR39" s="12"/>
      <c r="ACS39" s="12"/>
      <c r="ACT39" s="12"/>
      <c r="ACU39" s="12"/>
      <c r="ACV39" s="12"/>
      <c r="ACW39" s="12"/>
      <c r="ACX39" s="12"/>
      <c r="ACY39" s="12"/>
      <c r="ACZ39" s="12"/>
      <c r="ADA39" s="12"/>
      <c r="ADB39" s="12"/>
      <c r="ADC39" s="12"/>
      <c r="ADD39" s="12"/>
      <c r="ADE39" s="12"/>
      <c r="ADF39" s="12"/>
      <c r="ADG39" s="12"/>
      <c r="ADH39" s="12"/>
      <c r="ADI39" s="12"/>
      <c r="ADJ39" s="12"/>
      <c r="ADK39" s="12"/>
      <c r="ADL39" s="12"/>
      <c r="ADM39" s="12"/>
      <c r="ADN39" s="12"/>
      <c r="ADO39" s="12"/>
      <c r="ADP39" s="12"/>
      <c r="ADQ39" s="12"/>
      <c r="ADR39" s="12"/>
      <c r="ADS39" s="12"/>
      <c r="ADT39" s="12"/>
      <c r="ADU39" s="12"/>
      <c r="ADV39" s="12"/>
      <c r="ADW39" s="12"/>
      <c r="ADX39" s="12"/>
      <c r="ADY39" s="12"/>
      <c r="ADZ39" s="12"/>
      <c r="AEA39" s="12"/>
      <c r="AEB39" s="12"/>
      <c r="AEC39" s="12"/>
      <c r="AED39" s="12"/>
      <c r="AEE39" s="12"/>
      <c r="AEF39" s="12"/>
      <c r="AEG39" s="12"/>
      <c r="AEH39" s="12"/>
      <c r="AEI39" s="12"/>
      <c r="AEJ39" s="12"/>
      <c r="AEK39" s="12"/>
      <c r="AEL39" s="12"/>
      <c r="AEM39" s="12"/>
      <c r="AEN39" s="12"/>
      <c r="AEO39" s="12"/>
      <c r="AEP39" s="12"/>
      <c r="AEQ39" s="12"/>
      <c r="AER39" s="12"/>
      <c r="AES39" s="12"/>
      <c r="AET39" s="12"/>
      <c r="AEU39" s="12"/>
      <c r="AEV39" s="12"/>
    </row>
    <row r="40" spans="1:828" s="27" customFormat="1" ht="18" x14ac:dyDescent="0.2">
      <c r="A40" s="28"/>
      <c r="D40" s="29"/>
      <c r="E40" s="23"/>
      <c r="F40" s="23" t="s">
        <v>74</v>
      </c>
      <c r="G40" s="29">
        <v>17</v>
      </c>
      <c r="H40" s="30"/>
      <c r="I40" s="23"/>
      <c r="K40" s="30"/>
      <c r="L40" s="23" t="s">
        <v>39</v>
      </c>
      <c r="M40" s="29">
        <v>59</v>
      </c>
      <c r="N40" s="47"/>
      <c r="O40" s="12"/>
      <c r="P40" s="48"/>
      <c r="Q40"/>
      <c r="R40"/>
      <c r="S40"/>
      <c r="T40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2"/>
      <c r="JG40" s="12"/>
      <c r="JH40" s="12"/>
      <c r="JI40" s="12"/>
      <c r="JJ40" s="12"/>
      <c r="JK40" s="12"/>
      <c r="JL40" s="12"/>
      <c r="JM40" s="12"/>
      <c r="JN40" s="12"/>
      <c r="JO40" s="12"/>
      <c r="JP40" s="12"/>
      <c r="JQ40" s="12"/>
      <c r="JR40" s="12"/>
      <c r="JS40" s="12"/>
      <c r="JT40" s="12"/>
      <c r="JU40" s="12"/>
      <c r="JV40" s="12"/>
      <c r="JW40" s="12"/>
      <c r="JX40" s="12"/>
      <c r="JY40" s="12"/>
      <c r="JZ40" s="12"/>
      <c r="KA40" s="12"/>
      <c r="KB40" s="12"/>
      <c r="KC40" s="12"/>
      <c r="KD40" s="12"/>
      <c r="KE40" s="12"/>
      <c r="KF40" s="12"/>
      <c r="KG40" s="12"/>
      <c r="KH40" s="12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2"/>
      <c r="KT40" s="12"/>
      <c r="KU40" s="12"/>
      <c r="KV40" s="12"/>
      <c r="KW40" s="12"/>
      <c r="KX40" s="12"/>
      <c r="KY40" s="12"/>
      <c r="KZ40" s="12"/>
      <c r="LA40" s="12"/>
      <c r="LB40" s="12"/>
      <c r="LC40" s="12"/>
      <c r="LD40" s="12"/>
      <c r="LE40" s="12"/>
      <c r="LF40" s="12"/>
      <c r="LG40" s="12"/>
      <c r="LH40" s="12"/>
      <c r="LI40" s="12"/>
      <c r="LJ40" s="12"/>
      <c r="LK40" s="12"/>
      <c r="LL40" s="12"/>
      <c r="LM40" s="12"/>
      <c r="LN40" s="12"/>
      <c r="LO40" s="12"/>
      <c r="LP40" s="12"/>
      <c r="LQ40" s="12"/>
      <c r="LR40" s="12"/>
      <c r="LS40" s="12"/>
      <c r="LT40" s="12"/>
      <c r="LU40" s="12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2"/>
      <c r="MG40" s="12"/>
      <c r="MH40" s="12"/>
      <c r="MI40" s="12"/>
      <c r="MJ40" s="12"/>
      <c r="MK40" s="12"/>
      <c r="ML40" s="12"/>
      <c r="MM40" s="12"/>
      <c r="MN40" s="12"/>
      <c r="MO40" s="12"/>
      <c r="MP40" s="12"/>
      <c r="MQ40" s="12"/>
      <c r="MR40" s="12"/>
      <c r="MS40" s="12"/>
      <c r="MT40" s="12"/>
      <c r="MU40" s="12"/>
      <c r="MV40" s="12"/>
      <c r="MW40" s="12"/>
      <c r="MX40" s="12"/>
      <c r="MY40" s="12"/>
      <c r="MZ40" s="12"/>
      <c r="NA40" s="12"/>
      <c r="NB40" s="12"/>
      <c r="NC40" s="12"/>
      <c r="ND40" s="12"/>
      <c r="NE40" s="12"/>
      <c r="NF40" s="12"/>
      <c r="NG40" s="12"/>
      <c r="NH40" s="12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2"/>
      <c r="NT40" s="12"/>
      <c r="NU40" s="12"/>
      <c r="NV40" s="12"/>
      <c r="NW40" s="12"/>
      <c r="NX40" s="12"/>
      <c r="NY40" s="12"/>
      <c r="NZ40" s="12"/>
      <c r="OA40" s="12"/>
      <c r="OB40" s="12"/>
      <c r="OC40" s="12"/>
      <c r="OD40" s="12"/>
      <c r="OE40" s="12"/>
      <c r="OF40" s="12"/>
      <c r="OG40" s="12"/>
      <c r="OH40" s="12"/>
      <c r="OI40" s="12"/>
      <c r="OJ40" s="12"/>
      <c r="OK40" s="12"/>
      <c r="OL40" s="12"/>
      <c r="OM40" s="12"/>
      <c r="ON40" s="12"/>
      <c r="OO40" s="12"/>
      <c r="OP40" s="12"/>
      <c r="OQ40" s="12"/>
      <c r="OR40" s="12"/>
      <c r="OS40" s="12"/>
      <c r="OT40" s="12"/>
      <c r="OU40" s="12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2"/>
      <c r="PG40" s="12"/>
      <c r="PH40" s="12"/>
      <c r="PI40" s="12"/>
      <c r="PJ40" s="12"/>
      <c r="PK40" s="12"/>
      <c r="PL40" s="12"/>
      <c r="PM40" s="12"/>
      <c r="PN40" s="12"/>
      <c r="PO40" s="12"/>
      <c r="PP40" s="12"/>
      <c r="PQ40" s="12"/>
      <c r="PR40" s="12"/>
      <c r="PS40" s="12"/>
      <c r="PT40" s="12"/>
      <c r="PU40" s="12"/>
      <c r="PV40" s="12"/>
      <c r="PW40" s="12"/>
      <c r="PX40" s="12"/>
      <c r="PY40" s="12"/>
      <c r="PZ40" s="12"/>
      <c r="QA40" s="12"/>
      <c r="QB40" s="12"/>
      <c r="QC40" s="12"/>
      <c r="QD40" s="12"/>
      <c r="QE40" s="12"/>
      <c r="QF40" s="12"/>
      <c r="QG40" s="12"/>
      <c r="QH40" s="12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2"/>
      <c r="QT40" s="12"/>
      <c r="QU40" s="12"/>
      <c r="QV40" s="12"/>
      <c r="QW40" s="12"/>
      <c r="QX40" s="12"/>
      <c r="QY40" s="12"/>
      <c r="QZ40" s="12"/>
      <c r="RA40" s="12"/>
      <c r="RB40" s="12"/>
      <c r="RC40" s="12"/>
      <c r="RD40" s="12"/>
      <c r="RE40" s="12"/>
      <c r="RF40" s="12"/>
      <c r="RG40" s="12"/>
      <c r="RH40" s="12"/>
      <c r="RI40" s="12"/>
      <c r="RJ40" s="12"/>
      <c r="RK40" s="12"/>
      <c r="RL40" s="12"/>
      <c r="RM40" s="12"/>
      <c r="RN40" s="12"/>
      <c r="RO40" s="12"/>
      <c r="RP40" s="12"/>
      <c r="RQ40" s="12"/>
      <c r="RR40" s="12"/>
      <c r="RS40" s="12"/>
      <c r="RT40" s="12"/>
      <c r="RU40" s="12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2"/>
      <c r="SG40" s="12"/>
      <c r="SH40" s="12"/>
      <c r="SI40" s="12"/>
      <c r="SJ40" s="12"/>
      <c r="SK40" s="12"/>
      <c r="SL40" s="12"/>
      <c r="SM40" s="12"/>
      <c r="SN40" s="12"/>
      <c r="SO40" s="12"/>
      <c r="SP40" s="12"/>
      <c r="SQ40" s="12"/>
      <c r="SR40" s="12"/>
      <c r="SS40" s="12"/>
      <c r="ST40" s="12"/>
      <c r="SU40" s="12"/>
      <c r="SV40" s="12"/>
      <c r="SW40" s="12"/>
      <c r="SX40" s="12"/>
      <c r="SY40" s="12"/>
      <c r="SZ40" s="12"/>
      <c r="TA40" s="12"/>
      <c r="TB40" s="12"/>
      <c r="TC40" s="12"/>
      <c r="TD40" s="12"/>
      <c r="TE40" s="12"/>
      <c r="TF40" s="12"/>
      <c r="TG40" s="12"/>
      <c r="TH40" s="12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2"/>
      <c r="TT40" s="12"/>
      <c r="TU40" s="12"/>
      <c r="TV40" s="12"/>
      <c r="TW40" s="12"/>
      <c r="TX40" s="12"/>
      <c r="TY40" s="12"/>
      <c r="TZ40" s="12"/>
      <c r="UA40" s="12"/>
      <c r="UB40" s="12"/>
      <c r="UC40" s="12"/>
      <c r="UD40" s="12"/>
      <c r="UE40" s="12"/>
      <c r="UF40" s="12"/>
      <c r="UG40" s="12"/>
      <c r="UH40" s="12"/>
      <c r="UI40" s="12"/>
      <c r="UJ40" s="12"/>
      <c r="UK40" s="12"/>
      <c r="UL40" s="12"/>
      <c r="UM40" s="12"/>
      <c r="UN40" s="12"/>
      <c r="UO40" s="12"/>
      <c r="UP40" s="12"/>
      <c r="UQ40" s="12"/>
      <c r="UR40" s="12"/>
      <c r="US40" s="12"/>
      <c r="UT40" s="12"/>
      <c r="UU40" s="12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2"/>
      <c r="VG40" s="12"/>
      <c r="VH40" s="12"/>
      <c r="VI40" s="12"/>
      <c r="VJ40" s="12"/>
      <c r="VK40" s="12"/>
      <c r="VL40" s="12"/>
      <c r="VM40" s="12"/>
      <c r="VN40" s="12"/>
      <c r="VO40" s="12"/>
      <c r="VP40" s="12"/>
      <c r="VQ40" s="12"/>
      <c r="VR40" s="12"/>
      <c r="VS40" s="12"/>
      <c r="VT40" s="12"/>
      <c r="VU40" s="12"/>
      <c r="VV40" s="12"/>
      <c r="VW40" s="12"/>
      <c r="VX40" s="12"/>
      <c r="VY40" s="12"/>
      <c r="VZ40" s="12"/>
      <c r="WA40" s="12"/>
      <c r="WB40" s="12"/>
      <c r="WC40" s="12"/>
      <c r="WD40" s="12"/>
      <c r="WE40" s="12"/>
      <c r="WF40" s="12"/>
      <c r="WG40" s="12"/>
      <c r="WH40" s="12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2"/>
      <c r="WT40" s="12"/>
      <c r="WU40" s="12"/>
      <c r="WV40" s="12"/>
      <c r="WW40" s="12"/>
      <c r="WX40" s="12"/>
      <c r="WY40" s="12"/>
      <c r="WZ40" s="12"/>
      <c r="XA40" s="12"/>
      <c r="XB40" s="12"/>
      <c r="XC40" s="12"/>
      <c r="XD40" s="12"/>
      <c r="XE40" s="12"/>
      <c r="XF40" s="12"/>
      <c r="XG40" s="12"/>
      <c r="XH40" s="12"/>
      <c r="XI40" s="12"/>
      <c r="XJ40" s="12"/>
      <c r="XK40" s="12"/>
      <c r="XL40" s="12"/>
      <c r="XM40" s="12"/>
      <c r="XN40" s="12"/>
      <c r="XO40" s="12"/>
      <c r="XP40" s="12"/>
      <c r="XQ40" s="12"/>
      <c r="XR40" s="12"/>
      <c r="XS40" s="12"/>
      <c r="XT40" s="12"/>
      <c r="XU40" s="12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2"/>
      <c r="YG40" s="12"/>
      <c r="YH40" s="12"/>
      <c r="YI40" s="12"/>
      <c r="YJ40" s="12"/>
      <c r="YK40" s="12"/>
      <c r="YL40" s="12"/>
      <c r="YM40" s="12"/>
      <c r="YN40" s="12"/>
      <c r="YO40" s="12"/>
      <c r="YP40" s="12"/>
      <c r="YQ40" s="12"/>
      <c r="YR40" s="12"/>
      <c r="YS40" s="12"/>
      <c r="YT40" s="12"/>
      <c r="YU40" s="12"/>
      <c r="YV40" s="12"/>
      <c r="YW40" s="12"/>
      <c r="YX40" s="12"/>
      <c r="YY40" s="12"/>
      <c r="YZ40" s="12"/>
      <c r="ZA40" s="12"/>
      <c r="ZB40" s="12"/>
      <c r="ZC40" s="12"/>
      <c r="ZD40" s="12"/>
      <c r="ZE40" s="12"/>
      <c r="ZF40" s="12"/>
      <c r="ZG40" s="12"/>
      <c r="ZH40" s="12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2"/>
      <c r="ZT40" s="12"/>
      <c r="ZU40" s="12"/>
      <c r="ZV40" s="12"/>
      <c r="ZW40" s="12"/>
      <c r="ZX40" s="12"/>
      <c r="ZY40" s="12"/>
      <c r="ZZ40" s="12"/>
      <c r="AAA40" s="12"/>
      <c r="AAB40" s="12"/>
      <c r="AAC40" s="12"/>
      <c r="AAD40" s="12"/>
      <c r="AAE40" s="12"/>
      <c r="AAF40" s="12"/>
      <c r="AAG40" s="12"/>
      <c r="AAH40" s="12"/>
      <c r="AAI40" s="12"/>
      <c r="AAJ40" s="12"/>
      <c r="AAK40" s="12"/>
      <c r="AAL40" s="12"/>
      <c r="AAM40" s="12"/>
      <c r="AAN40" s="12"/>
      <c r="AAO40" s="12"/>
      <c r="AAP40" s="12"/>
      <c r="AAQ40" s="12"/>
      <c r="AAR40" s="12"/>
      <c r="AAS40" s="12"/>
      <c r="AAT40" s="12"/>
      <c r="AAU40" s="12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2"/>
      <c r="ABG40" s="12"/>
      <c r="ABH40" s="12"/>
      <c r="ABI40" s="12"/>
      <c r="ABJ40" s="12"/>
      <c r="ABK40" s="12"/>
      <c r="ABL40" s="12"/>
      <c r="ABM40" s="12"/>
      <c r="ABN40" s="12"/>
      <c r="ABO40" s="12"/>
      <c r="ABP40" s="12"/>
      <c r="ABQ40" s="12"/>
      <c r="ABR40" s="12"/>
      <c r="ABS40" s="12"/>
      <c r="ABT40" s="12"/>
      <c r="ABU40" s="12"/>
      <c r="ABV40" s="12"/>
      <c r="ABW40" s="12"/>
      <c r="ABX40" s="12"/>
      <c r="ABY40" s="12"/>
      <c r="ABZ40" s="12"/>
      <c r="ACA40" s="12"/>
      <c r="ACB40" s="12"/>
      <c r="ACC40" s="12"/>
      <c r="ACD40" s="12"/>
      <c r="ACE40" s="12"/>
      <c r="ACF40" s="12"/>
      <c r="ACG40" s="12"/>
      <c r="ACH40" s="12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2"/>
      <c r="ACT40" s="12"/>
      <c r="ACU40" s="12"/>
      <c r="ACV40" s="12"/>
      <c r="ACW40" s="12"/>
      <c r="ACX40" s="12"/>
      <c r="ACY40" s="12"/>
      <c r="ACZ40" s="12"/>
      <c r="ADA40" s="12"/>
      <c r="ADB40" s="12"/>
      <c r="ADC40" s="12"/>
      <c r="ADD40" s="12"/>
      <c r="ADE40" s="12"/>
      <c r="ADF40" s="12"/>
      <c r="ADG40" s="12"/>
      <c r="ADH40" s="12"/>
      <c r="ADI40" s="12"/>
      <c r="ADJ40" s="12"/>
      <c r="ADK40" s="12"/>
      <c r="ADL40" s="12"/>
      <c r="ADM40" s="12"/>
      <c r="ADN40" s="12"/>
      <c r="ADO40" s="12"/>
      <c r="ADP40" s="12"/>
      <c r="ADQ40" s="12"/>
      <c r="ADR40" s="12"/>
      <c r="ADS40" s="12"/>
      <c r="ADT40" s="12"/>
      <c r="ADU40" s="12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2"/>
      <c r="AEG40" s="12"/>
      <c r="AEH40" s="12"/>
      <c r="AEI40" s="12"/>
      <c r="AEJ40" s="12"/>
      <c r="AEK40" s="12"/>
      <c r="AEL40" s="12"/>
      <c r="AEM40" s="12"/>
      <c r="AEN40" s="12"/>
      <c r="AEO40" s="12"/>
      <c r="AEP40" s="12"/>
      <c r="AEQ40" s="12"/>
      <c r="AER40" s="12"/>
      <c r="AES40" s="12"/>
      <c r="AET40" s="12"/>
      <c r="AEU40" s="12"/>
      <c r="AEV40" s="12"/>
    </row>
    <row r="41" spans="1:828" s="27" customFormat="1" ht="18" x14ac:dyDescent="0.2">
      <c r="A41" s="28"/>
      <c r="D41" s="29"/>
      <c r="E41" s="23"/>
      <c r="F41" s="23" t="s">
        <v>40</v>
      </c>
      <c r="G41" s="29">
        <v>7</v>
      </c>
      <c r="H41" s="30"/>
      <c r="I41" s="23"/>
      <c r="J41" s="29"/>
      <c r="K41" s="30"/>
      <c r="L41" s="23" t="s">
        <v>41</v>
      </c>
      <c r="M41" s="29">
        <v>490</v>
      </c>
      <c r="N41" s="47"/>
      <c r="O41" s="12"/>
      <c r="P41" s="48"/>
      <c r="Q41"/>
      <c r="R41"/>
      <c r="S41"/>
      <c r="T41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2"/>
      <c r="JG41" s="12"/>
      <c r="JH41" s="12"/>
      <c r="JI41" s="12"/>
      <c r="JJ41" s="12"/>
      <c r="JK41" s="12"/>
      <c r="JL41" s="12"/>
      <c r="JM41" s="12"/>
      <c r="JN41" s="12"/>
      <c r="JO41" s="12"/>
      <c r="JP41" s="12"/>
      <c r="JQ41" s="12"/>
      <c r="JR41" s="12"/>
      <c r="JS41" s="12"/>
      <c r="JT41" s="12"/>
      <c r="JU41" s="12"/>
      <c r="JV41" s="12"/>
      <c r="JW41" s="12"/>
      <c r="JX41" s="12"/>
      <c r="JY41" s="12"/>
      <c r="JZ41" s="12"/>
      <c r="KA41" s="12"/>
      <c r="KB41" s="12"/>
      <c r="KC41" s="12"/>
      <c r="KD41" s="12"/>
      <c r="KE41" s="12"/>
      <c r="KF41" s="12"/>
      <c r="KG41" s="12"/>
      <c r="KH41" s="12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2"/>
      <c r="KT41" s="12"/>
      <c r="KU41" s="12"/>
      <c r="KV41" s="12"/>
      <c r="KW41" s="12"/>
      <c r="KX41" s="12"/>
      <c r="KY41" s="12"/>
      <c r="KZ41" s="12"/>
      <c r="LA41" s="12"/>
      <c r="LB41" s="12"/>
      <c r="LC41" s="12"/>
      <c r="LD41" s="12"/>
      <c r="LE41" s="12"/>
      <c r="LF41" s="12"/>
      <c r="LG41" s="12"/>
      <c r="LH41" s="12"/>
      <c r="LI41" s="12"/>
      <c r="LJ41" s="12"/>
      <c r="LK41" s="12"/>
      <c r="LL41" s="12"/>
      <c r="LM41" s="12"/>
      <c r="LN41" s="12"/>
      <c r="LO41" s="12"/>
      <c r="LP41" s="12"/>
      <c r="LQ41" s="12"/>
      <c r="LR41" s="12"/>
      <c r="LS41" s="12"/>
      <c r="LT41" s="12"/>
      <c r="LU41" s="12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2"/>
      <c r="MG41" s="12"/>
      <c r="MH41" s="12"/>
      <c r="MI41" s="12"/>
      <c r="MJ41" s="12"/>
      <c r="MK41" s="12"/>
      <c r="ML41" s="12"/>
      <c r="MM41" s="12"/>
      <c r="MN41" s="12"/>
      <c r="MO41" s="12"/>
      <c r="MP41" s="12"/>
      <c r="MQ41" s="12"/>
      <c r="MR41" s="12"/>
      <c r="MS41" s="12"/>
      <c r="MT41" s="12"/>
      <c r="MU41" s="12"/>
      <c r="MV41" s="12"/>
      <c r="MW41" s="12"/>
      <c r="MX41" s="12"/>
      <c r="MY41" s="12"/>
      <c r="MZ41" s="12"/>
      <c r="NA41" s="12"/>
      <c r="NB41" s="12"/>
      <c r="NC41" s="12"/>
      <c r="ND41" s="12"/>
      <c r="NE41" s="12"/>
      <c r="NF41" s="12"/>
      <c r="NG41" s="12"/>
      <c r="NH41" s="12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2"/>
      <c r="NT41" s="12"/>
      <c r="NU41" s="12"/>
      <c r="NV41" s="12"/>
      <c r="NW41" s="12"/>
      <c r="NX41" s="12"/>
      <c r="NY41" s="12"/>
      <c r="NZ41" s="12"/>
      <c r="OA41" s="12"/>
      <c r="OB41" s="12"/>
      <c r="OC41" s="12"/>
      <c r="OD41" s="12"/>
      <c r="OE41" s="12"/>
      <c r="OF41" s="12"/>
      <c r="OG41" s="12"/>
      <c r="OH41" s="12"/>
      <c r="OI41" s="12"/>
      <c r="OJ41" s="12"/>
      <c r="OK41" s="12"/>
      <c r="OL41" s="12"/>
      <c r="OM41" s="12"/>
      <c r="ON41" s="12"/>
      <c r="OO41" s="12"/>
      <c r="OP41" s="12"/>
      <c r="OQ41" s="12"/>
      <c r="OR41" s="12"/>
      <c r="OS41" s="12"/>
      <c r="OT41" s="12"/>
      <c r="OU41" s="12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2"/>
      <c r="PG41" s="12"/>
      <c r="PH41" s="12"/>
      <c r="PI41" s="12"/>
      <c r="PJ41" s="12"/>
      <c r="PK41" s="12"/>
      <c r="PL41" s="12"/>
      <c r="PM41" s="12"/>
      <c r="PN41" s="12"/>
      <c r="PO41" s="12"/>
      <c r="PP41" s="12"/>
      <c r="PQ41" s="12"/>
      <c r="PR41" s="12"/>
      <c r="PS41" s="12"/>
      <c r="PT41" s="12"/>
      <c r="PU41" s="12"/>
      <c r="PV41" s="12"/>
      <c r="PW41" s="12"/>
      <c r="PX41" s="12"/>
      <c r="PY41" s="12"/>
      <c r="PZ41" s="12"/>
      <c r="QA41" s="12"/>
      <c r="QB41" s="12"/>
      <c r="QC41" s="12"/>
      <c r="QD41" s="12"/>
      <c r="QE41" s="12"/>
      <c r="QF41" s="12"/>
      <c r="QG41" s="12"/>
      <c r="QH41" s="12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2"/>
      <c r="QT41" s="12"/>
      <c r="QU41" s="12"/>
      <c r="QV41" s="12"/>
      <c r="QW41" s="12"/>
      <c r="QX41" s="12"/>
      <c r="QY41" s="12"/>
      <c r="QZ41" s="12"/>
      <c r="RA41" s="12"/>
      <c r="RB41" s="12"/>
      <c r="RC41" s="12"/>
      <c r="RD41" s="12"/>
      <c r="RE41" s="12"/>
      <c r="RF41" s="12"/>
      <c r="RG41" s="12"/>
      <c r="RH41" s="12"/>
      <c r="RI41" s="12"/>
      <c r="RJ41" s="12"/>
      <c r="RK41" s="12"/>
      <c r="RL41" s="12"/>
      <c r="RM41" s="12"/>
      <c r="RN41" s="12"/>
      <c r="RO41" s="12"/>
      <c r="RP41" s="12"/>
      <c r="RQ41" s="12"/>
      <c r="RR41" s="12"/>
      <c r="RS41" s="12"/>
      <c r="RT41" s="12"/>
      <c r="RU41" s="12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2"/>
      <c r="SG41" s="12"/>
      <c r="SH41" s="12"/>
      <c r="SI41" s="12"/>
      <c r="SJ41" s="12"/>
      <c r="SK41" s="12"/>
      <c r="SL41" s="12"/>
      <c r="SM41" s="12"/>
      <c r="SN41" s="12"/>
      <c r="SO41" s="12"/>
      <c r="SP41" s="12"/>
      <c r="SQ41" s="12"/>
      <c r="SR41" s="12"/>
      <c r="SS41" s="12"/>
      <c r="ST41" s="12"/>
      <c r="SU41" s="12"/>
      <c r="SV41" s="12"/>
      <c r="SW41" s="12"/>
      <c r="SX41" s="12"/>
      <c r="SY41" s="12"/>
      <c r="SZ41" s="12"/>
      <c r="TA41" s="12"/>
      <c r="TB41" s="12"/>
      <c r="TC41" s="12"/>
      <c r="TD41" s="12"/>
      <c r="TE41" s="12"/>
      <c r="TF41" s="12"/>
      <c r="TG41" s="12"/>
      <c r="TH41" s="12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2"/>
      <c r="TT41" s="12"/>
      <c r="TU41" s="12"/>
      <c r="TV41" s="12"/>
      <c r="TW41" s="12"/>
      <c r="TX41" s="12"/>
      <c r="TY41" s="12"/>
      <c r="TZ41" s="12"/>
      <c r="UA41" s="12"/>
      <c r="UB41" s="12"/>
      <c r="UC41" s="12"/>
      <c r="UD41" s="12"/>
      <c r="UE41" s="12"/>
      <c r="UF41" s="12"/>
      <c r="UG41" s="12"/>
      <c r="UH41" s="12"/>
      <c r="UI41" s="12"/>
      <c r="UJ41" s="12"/>
      <c r="UK41" s="12"/>
      <c r="UL41" s="12"/>
      <c r="UM41" s="12"/>
      <c r="UN41" s="12"/>
      <c r="UO41" s="12"/>
      <c r="UP41" s="12"/>
      <c r="UQ41" s="12"/>
      <c r="UR41" s="12"/>
      <c r="US41" s="12"/>
      <c r="UT41" s="12"/>
      <c r="UU41" s="12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2"/>
      <c r="VG41" s="12"/>
      <c r="VH41" s="12"/>
      <c r="VI41" s="12"/>
      <c r="VJ41" s="12"/>
      <c r="VK41" s="12"/>
      <c r="VL41" s="12"/>
      <c r="VM41" s="12"/>
      <c r="VN41" s="12"/>
      <c r="VO41" s="12"/>
      <c r="VP41" s="12"/>
      <c r="VQ41" s="12"/>
      <c r="VR41" s="12"/>
      <c r="VS41" s="12"/>
      <c r="VT41" s="12"/>
      <c r="VU41" s="12"/>
      <c r="VV41" s="12"/>
      <c r="VW41" s="12"/>
      <c r="VX41" s="12"/>
      <c r="VY41" s="12"/>
      <c r="VZ41" s="12"/>
      <c r="WA41" s="12"/>
      <c r="WB41" s="12"/>
      <c r="WC41" s="12"/>
      <c r="WD41" s="12"/>
      <c r="WE41" s="12"/>
      <c r="WF41" s="12"/>
      <c r="WG41" s="12"/>
      <c r="WH41" s="12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2"/>
      <c r="WT41" s="12"/>
      <c r="WU41" s="12"/>
      <c r="WV41" s="12"/>
      <c r="WW41" s="12"/>
      <c r="WX41" s="12"/>
      <c r="WY41" s="12"/>
      <c r="WZ41" s="12"/>
      <c r="XA41" s="12"/>
      <c r="XB41" s="12"/>
      <c r="XC41" s="12"/>
      <c r="XD41" s="12"/>
      <c r="XE41" s="12"/>
      <c r="XF41" s="12"/>
      <c r="XG41" s="12"/>
      <c r="XH41" s="12"/>
      <c r="XI41" s="12"/>
      <c r="XJ41" s="12"/>
      <c r="XK41" s="12"/>
      <c r="XL41" s="12"/>
      <c r="XM41" s="12"/>
      <c r="XN41" s="12"/>
      <c r="XO41" s="12"/>
      <c r="XP41" s="12"/>
      <c r="XQ41" s="12"/>
      <c r="XR41" s="12"/>
      <c r="XS41" s="12"/>
      <c r="XT41" s="12"/>
      <c r="XU41" s="12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2"/>
      <c r="YG41" s="12"/>
      <c r="YH41" s="12"/>
      <c r="YI41" s="12"/>
      <c r="YJ41" s="12"/>
      <c r="YK41" s="12"/>
      <c r="YL41" s="12"/>
      <c r="YM41" s="12"/>
      <c r="YN41" s="12"/>
      <c r="YO41" s="12"/>
      <c r="YP41" s="12"/>
      <c r="YQ41" s="12"/>
      <c r="YR41" s="12"/>
      <c r="YS41" s="12"/>
      <c r="YT41" s="12"/>
      <c r="YU41" s="12"/>
      <c r="YV41" s="12"/>
      <c r="YW41" s="12"/>
      <c r="YX41" s="12"/>
      <c r="YY41" s="12"/>
      <c r="YZ41" s="12"/>
      <c r="ZA41" s="12"/>
      <c r="ZB41" s="12"/>
      <c r="ZC41" s="12"/>
      <c r="ZD41" s="12"/>
      <c r="ZE41" s="12"/>
      <c r="ZF41" s="12"/>
      <c r="ZG41" s="12"/>
      <c r="ZH41" s="12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2"/>
      <c r="ZT41" s="12"/>
      <c r="ZU41" s="12"/>
      <c r="ZV41" s="12"/>
      <c r="ZW41" s="12"/>
      <c r="ZX41" s="12"/>
      <c r="ZY41" s="12"/>
      <c r="ZZ41" s="12"/>
      <c r="AAA41" s="12"/>
      <c r="AAB41" s="12"/>
      <c r="AAC41" s="12"/>
      <c r="AAD41" s="12"/>
      <c r="AAE41" s="12"/>
      <c r="AAF41" s="12"/>
      <c r="AAG41" s="12"/>
      <c r="AAH41" s="12"/>
      <c r="AAI41" s="12"/>
      <c r="AAJ41" s="12"/>
      <c r="AAK41" s="12"/>
      <c r="AAL41" s="12"/>
      <c r="AAM41" s="12"/>
      <c r="AAN41" s="12"/>
      <c r="AAO41" s="12"/>
      <c r="AAP41" s="12"/>
      <c r="AAQ41" s="12"/>
      <c r="AAR41" s="12"/>
      <c r="AAS41" s="12"/>
      <c r="AAT41" s="12"/>
      <c r="AAU41" s="12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2"/>
      <c r="ABG41" s="12"/>
      <c r="ABH41" s="12"/>
      <c r="ABI41" s="12"/>
      <c r="ABJ41" s="12"/>
      <c r="ABK41" s="12"/>
      <c r="ABL41" s="12"/>
      <c r="ABM41" s="12"/>
      <c r="ABN41" s="12"/>
      <c r="ABO41" s="12"/>
      <c r="ABP41" s="12"/>
      <c r="ABQ41" s="12"/>
      <c r="ABR41" s="12"/>
      <c r="ABS41" s="12"/>
      <c r="ABT41" s="12"/>
      <c r="ABU41" s="12"/>
      <c r="ABV41" s="12"/>
      <c r="ABW41" s="12"/>
      <c r="ABX41" s="12"/>
      <c r="ABY41" s="12"/>
      <c r="ABZ41" s="12"/>
      <c r="ACA41" s="12"/>
      <c r="ACB41" s="12"/>
      <c r="ACC41" s="12"/>
      <c r="ACD41" s="12"/>
      <c r="ACE41" s="12"/>
      <c r="ACF41" s="12"/>
      <c r="ACG41" s="12"/>
      <c r="ACH41" s="12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2"/>
      <c r="ACT41" s="12"/>
      <c r="ACU41" s="12"/>
      <c r="ACV41" s="12"/>
      <c r="ACW41" s="12"/>
      <c r="ACX41" s="12"/>
      <c r="ACY41" s="12"/>
      <c r="ACZ41" s="12"/>
      <c r="ADA41" s="12"/>
      <c r="ADB41" s="12"/>
      <c r="ADC41" s="12"/>
      <c r="ADD41" s="12"/>
      <c r="ADE41" s="12"/>
      <c r="ADF41" s="12"/>
      <c r="ADG41" s="12"/>
      <c r="ADH41" s="12"/>
      <c r="ADI41" s="12"/>
      <c r="ADJ41" s="12"/>
      <c r="ADK41" s="12"/>
      <c r="ADL41" s="12"/>
      <c r="ADM41" s="12"/>
      <c r="ADN41" s="12"/>
      <c r="ADO41" s="12"/>
      <c r="ADP41" s="12"/>
      <c r="ADQ41" s="12"/>
      <c r="ADR41" s="12"/>
      <c r="ADS41" s="12"/>
      <c r="ADT41" s="12"/>
      <c r="ADU41" s="12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2"/>
      <c r="AEG41" s="12"/>
      <c r="AEH41" s="12"/>
      <c r="AEI41" s="12"/>
      <c r="AEJ41" s="12"/>
      <c r="AEK41" s="12"/>
      <c r="AEL41" s="12"/>
      <c r="AEM41" s="12"/>
      <c r="AEN41" s="12"/>
      <c r="AEO41" s="12"/>
      <c r="AEP41" s="12"/>
      <c r="AEQ41" s="12"/>
      <c r="AER41" s="12"/>
      <c r="AES41" s="12"/>
      <c r="AET41" s="12"/>
      <c r="AEU41" s="12"/>
      <c r="AEV41" s="12"/>
    </row>
    <row r="42" spans="1:828" s="27" customFormat="1" ht="18" x14ac:dyDescent="0.2">
      <c r="A42" s="28"/>
      <c r="D42" s="29"/>
      <c r="E42" s="23"/>
      <c r="F42" s="23"/>
      <c r="G42" s="23"/>
      <c r="H42" s="30"/>
      <c r="I42" s="23"/>
      <c r="J42" s="29"/>
      <c r="K42" s="30"/>
      <c r="L42" s="23" t="s">
        <v>42</v>
      </c>
      <c r="M42" s="29">
        <v>22</v>
      </c>
      <c r="N42" s="47"/>
      <c r="O42" s="12"/>
      <c r="P42" s="48"/>
      <c r="Q42"/>
      <c r="R42"/>
      <c r="S42"/>
      <c r="T4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2"/>
      <c r="FJ42" s="12"/>
      <c r="FK42" s="12"/>
      <c r="FL42" s="12"/>
      <c r="FM42" s="12"/>
      <c r="FN42" s="12"/>
      <c r="FO42" s="12"/>
      <c r="FP42" s="12"/>
      <c r="FQ42" s="12"/>
      <c r="FR42" s="12"/>
      <c r="FS42" s="12"/>
      <c r="FT42" s="12"/>
      <c r="FU42" s="12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2"/>
      <c r="GG42" s="12"/>
      <c r="GH42" s="12"/>
      <c r="GI42" s="12"/>
      <c r="GJ42" s="12"/>
      <c r="GK42" s="12"/>
      <c r="GL42" s="12"/>
      <c r="GM42" s="12"/>
      <c r="GN42" s="12"/>
      <c r="GO42" s="12"/>
      <c r="GP42" s="12"/>
      <c r="GQ42" s="12"/>
      <c r="GR42" s="12"/>
      <c r="GS42" s="12"/>
      <c r="GT42" s="12"/>
      <c r="GU42" s="12"/>
      <c r="GV42" s="12"/>
      <c r="GW42" s="12"/>
      <c r="GX42" s="12"/>
      <c r="GY42" s="12"/>
      <c r="GZ42" s="12"/>
      <c r="HA42" s="12"/>
      <c r="HB42" s="12"/>
      <c r="HC42" s="12"/>
      <c r="HD42" s="12"/>
      <c r="HE42" s="12"/>
      <c r="HF42" s="12"/>
      <c r="HG42" s="12"/>
      <c r="HH42" s="12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2"/>
      <c r="HT42" s="12"/>
      <c r="HU42" s="12"/>
      <c r="HV42" s="12"/>
      <c r="HW42" s="12"/>
      <c r="HX42" s="12"/>
      <c r="HY42" s="12"/>
      <c r="HZ42" s="12"/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  <c r="IL42" s="12"/>
      <c r="IM42" s="12"/>
      <c r="IN42" s="12"/>
      <c r="IO42" s="12"/>
      <c r="IP42" s="12"/>
      <c r="IQ42" s="12"/>
      <c r="IR42" s="12"/>
      <c r="IS42" s="12"/>
      <c r="IT42" s="12"/>
      <c r="IU42" s="12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2"/>
      <c r="JG42" s="12"/>
      <c r="JH42" s="12"/>
      <c r="JI42" s="12"/>
      <c r="JJ42" s="12"/>
      <c r="JK42" s="12"/>
      <c r="JL42" s="12"/>
      <c r="JM42" s="12"/>
      <c r="JN42" s="12"/>
      <c r="JO42" s="12"/>
      <c r="JP42" s="12"/>
      <c r="JQ42" s="12"/>
      <c r="JR42" s="12"/>
      <c r="JS42" s="12"/>
      <c r="JT42" s="12"/>
      <c r="JU42" s="12"/>
      <c r="JV42" s="12"/>
      <c r="JW42" s="12"/>
      <c r="JX42" s="12"/>
      <c r="JY42" s="12"/>
      <c r="JZ42" s="12"/>
      <c r="KA42" s="12"/>
      <c r="KB42" s="12"/>
      <c r="KC42" s="12"/>
      <c r="KD42" s="12"/>
      <c r="KE42" s="12"/>
      <c r="KF42" s="12"/>
      <c r="KG42" s="12"/>
      <c r="KH42" s="12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2"/>
      <c r="KT42" s="12"/>
      <c r="KU42" s="12"/>
      <c r="KV42" s="12"/>
      <c r="KW42" s="12"/>
      <c r="KX42" s="12"/>
      <c r="KY42" s="12"/>
      <c r="KZ42" s="12"/>
      <c r="LA42" s="12"/>
      <c r="LB42" s="12"/>
      <c r="LC42" s="12"/>
      <c r="LD42" s="12"/>
      <c r="LE42" s="12"/>
      <c r="LF42" s="12"/>
      <c r="LG42" s="12"/>
      <c r="LH42" s="12"/>
      <c r="LI42" s="12"/>
      <c r="LJ42" s="12"/>
      <c r="LK42" s="12"/>
      <c r="LL42" s="12"/>
      <c r="LM42" s="12"/>
      <c r="LN42" s="12"/>
      <c r="LO42" s="12"/>
      <c r="LP42" s="12"/>
      <c r="LQ42" s="12"/>
      <c r="LR42" s="12"/>
      <c r="LS42" s="12"/>
      <c r="LT42" s="12"/>
      <c r="LU42" s="12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2"/>
      <c r="MG42" s="12"/>
      <c r="MH42" s="12"/>
      <c r="MI42" s="12"/>
      <c r="MJ42" s="12"/>
      <c r="MK42" s="12"/>
      <c r="ML42" s="12"/>
      <c r="MM42" s="12"/>
      <c r="MN42" s="12"/>
      <c r="MO42" s="12"/>
      <c r="MP42" s="12"/>
      <c r="MQ42" s="12"/>
      <c r="MR42" s="12"/>
      <c r="MS42" s="12"/>
      <c r="MT42" s="12"/>
      <c r="MU42" s="12"/>
      <c r="MV42" s="12"/>
      <c r="MW42" s="12"/>
      <c r="MX42" s="12"/>
      <c r="MY42" s="12"/>
      <c r="MZ42" s="12"/>
      <c r="NA42" s="12"/>
      <c r="NB42" s="12"/>
      <c r="NC42" s="12"/>
      <c r="ND42" s="12"/>
      <c r="NE42" s="12"/>
      <c r="NF42" s="12"/>
      <c r="NG42" s="12"/>
      <c r="NH42" s="12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2"/>
      <c r="NT42" s="12"/>
      <c r="NU42" s="12"/>
      <c r="NV42" s="12"/>
      <c r="NW42" s="12"/>
      <c r="NX42" s="12"/>
      <c r="NY42" s="12"/>
      <c r="NZ42" s="12"/>
      <c r="OA42" s="12"/>
      <c r="OB42" s="12"/>
      <c r="OC42" s="12"/>
      <c r="OD42" s="12"/>
      <c r="OE42" s="12"/>
      <c r="OF42" s="12"/>
      <c r="OG42" s="12"/>
      <c r="OH42" s="12"/>
      <c r="OI42" s="12"/>
      <c r="OJ42" s="12"/>
      <c r="OK42" s="12"/>
      <c r="OL42" s="12"/>
      <c r="OM42" s="12"/>
      <c r="ON42" s="12"/>
      <c r="OO42" s="12"/>
      <c r="OP42" s="12"/>
      <c r="OQ42" s="12"/>
      <c r="OR42" s="12"/>
      <c r="OS42" s="12"/>
      <c r="OT42" s="12"/>
      <c r="OU42" s="12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2"/>
      <c r="PG42" s="12"/>
      <c r="PH42" s="12"/>
      <c r="PI42" s="12"/>
      <c r="PJ42" s="12"/>
      <c r="PK42" s="12"/>
      <c r="PL42" s="12"/>
      <c r="PM42" s="12"/>
      <c r="PN42" s="12"/>
      <c r="PO42" s="12"/>
      <c r="PP42" s="12"/>
      <c r="PQ42" s="12"/>
      <c r="PR42" s="12"/>
      <c r="PS42" s="12"/>
      <c r="PT42" s="12"/>
      <c r="PU42" s="12"/>
      <c r="PV42" s="12"/>
      <c r="PW42" s="12"/>
      <c r="PX42" s="12"/>
      <c r="PY42" s="12"/>
      <c r="PZ42" s="12"/>
      <c r="QA42" s="12"/>
      <c r="QB42" s="12"/>
      <c r="QC42" s="12"/>
      <c r="QD42" s="12"/>
      <c r="QE42" s="12"/>
      <c r="QF42" s="12"/>
      <c r="QG42" s="12"/>
      <c r="QH42" s="12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2"/>
      <c r="QT42" s="12"/>
      <c r="QU42" s="12"/>
      <c r="QV42" s="12"/>
      <c r="QW42" s="12"/>
      <c r="QX42" s="12"/>
      <c r="QY42" s="12"/>
      <c r="QZ42" s="12"/>
      <c r="RA42" s="12"/>
      <c r="RB42" s="12"/>
      <c r="RC42" s="12"/>
      <c r="RD42" s="12"/>
      <c r="RE42" s="12"/>
      <c r="RF42" s="12"/>
      <c r="RG42" s="12"/>
      <c r="RH42" s="12"/>
      <c r="RI42" s="12"/>
      <c r="RJ42" s="12"/>
      <c r="RK42" s="12"/>
      <c r="RL42" s="12"/>
      <c r="RM42" s="12"/>
      <c r="RN42" s="12"/>
      <c r="RO42" s="12"/>
      <c r="RP42" s="12"/>
      <c r="RQ42" s="12"/>
      <c r="RR42" s="12"/>
      <c r="RS42" s="12"/>
      <c r="RT42" s="12"/>
      <c r="RU42" s="12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2"/>
      <c r="SG42" s="12"/>
      <c r="SH42" s="12"/>
      <c r="SI42" s="12"/>
      <c r="SJ42" s="12"/>
      <c r="SK42" s="12"/>
      <c r="SL42" s="12"/>
      <c r="SM42" s="12"/>
      <c r="SN42" s="12"/>
      <c r="SO42" s="12"/>
      <c r="SP42" s="12"/>
      <c r="SQ42" s="12"/>
      <c r="SR42" s="12"/>
      <c r="SS42" s="12"/>
      <c r="ST42" s="12"/>
      <c r="SU42" s="12"/>
      <c r="SV42" s="12"/>
      <c r="SW42" s="12"/>
      <c r="SX42" s="12"/>
      <c r="SY42" s="12"/>
      <c r="SZ42" s="12"/>
      <c r="TA42" s="12"/>
      <c r="TB42" s="12"/>
      <c r="TC42" s="12"/>
      <c r="TD42" s="12"/>
      <c r="TE42" s="12"/>
      <c r="TF42" s="12"/>
      <c r="TG42" s="12"/>
      <c r="TH42" s="12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2"/>
      <c r="TT42" s="12"/>
      <c r="TU42" s="12"/>
      <c r="TV42" s="12"/>
      <c r="TW42" s="12"/>
      <c r="TX42" s="12"/>
      <c r="TY42" s="12"/>
      <c r="TZ42" s="12"/>
      <c r="UA42" s="12"/>
      <c r="UB42" s="12"/>
      <c r="UC42" s="12"/>
      <c r="UD42" s="12"/>
      <c r="UE42" s="12"/>
      <c r="UF42" s="12"/>
      <c r="UG42" s="12"/>
      <c r="UH42" s="12"/>
      <c r="UI42" s="12"/>
      <c r="UJ42" s="12"/>
      <c r="UK42" s="12"/>
      <c r="UL42" s="12"/>
      <c r="UM42" s="12"/>
      <c r="UN42" s="12"/>
      <c r="UO42" s="12"/>
      <c r="UP42" s="12"/>
      <c r="UQ42" s="12"/>
      <c r="UR42" s="12"/>
      <c r="US42" s="12"/>
      <c r="UT42" s="12"/>
      <c r="UU42" s="12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2"/>
      <c r="VG42" s="12"/>
      <c r="VH42" s="12"/>
      <c r="VI42" s="12"/>
      <c r="VJ42" s="12"/>
      <c r="VK42" s="12"/>
      <c r="VL42" s="12"/>
      <c r="VM42" s="12"/>
      <c r="VN42" s="12"/>
      <c r="VO42" s="12"/>
      <c r="VP42" s="12"/>
      <c r="VQ42" s="12"/>
      <c r="VR42" s="12"/>
      <c r="VS42" s="12"/>
      <c r="VT42" s="12"/>
      <c r="VU42" s="12"/>
      <c r="VV42" s="12"/>
      <c r="VW42" s="12"/>
      <c r="VX42" s="12"/>
      <c r="VY42" s="12"/>
      <c r="VZ42" s="12"/>
      <c r="WA42" s="12"/>
      <c r="WB42" s="12"/>
      <c r="WC42" s="12"/>
      <c r="WD42" s="12"/>
      <c r="WE42" s="12"/>
      <c r="WF42" s="12"/>
      <c r="WG42" s="12"/>
      <c r="WH42" s="12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2"/>
      <c r="WT42" s="12"/>
      <c r="WU42" s="12"/>
      <c r="WV42" s="12"/>
      <c r="WW42" s="12"/>
      <c r="WX42" s="12"/>
      <c r="WY42" s="12"/>
      <c r="WZ42" s="12"/>
      <c r="XA42" s="12"/>
      <c r="XB42" s="12"/>
      <c r="XC42" s="12"/>
      <c r="XD42" s="12"/>
      <c r="XE42" s="12"/>
      <c r="XF42" s="12"/>
      <c r="XG42" s="12"/>
      <c r="XH42" s="12"/>
      <c r="XI42" s="12"/>
      <c r="XJ42" s="12"/>
      <c r="XK42" s="12"/>
      <c r="XL42" s="12"/>
      <c r="XM42" s="12"/>
      <c r="XN42" s="12"/>
      <c r="XO42" s="12"/>
      <c r="XP42" s="12"/>
      <c r="XQ42" s="12"/>
      <c r="XR42" s="12"/>
      <c r="XS42" s="12"/>
      <c r="XT42" s="12"/>
      <c r="XU42" s="12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2"/>
      <c r="YG42" s="12"/>
      <c r="YH42" s="12"/>
      <c r="YI42" s="12"/>
      <c r="YJ42" s="12"/>
      <c r="YK42" s="12"/>
      <c r="YL42" s="12"/>
      <c r="YM42" s="12"/>
      <c r="YN42" s="12"/>
      <c r="YO42" s="12"/>
      <c r="YP42" s="12"/>
      <c r="YQ42" s="12"/>
      <c r="YR42" s="12"/>
      <c r="YS42" s="12"/>
      <c r="YT42" s="12"/>
      <c r="YU42" s="12"/>
      <c r="YV42" s="12"/>
      <c r="YW42" s="12"/>
      <c r="YX42" s="12"/>
      <c r="YY42" s="12"/>
      <c r="YZ42" s="12"/>
      <c r="ZA42" s="12"/>
      <c r="ZB42" s="12"/>
      <c r="ZC42" s="12"/>
      <c r="ZD42" s="12"/>
      <c r="ZE42" s="12"/>
      <c r="ZF42" s="12"/>
      <c r="ZG42" s="12"/>
      <c r="ZH42" s="12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2"/>
      <c r="ZT42" s="12"/>
      <c r="ZU42" s="12"/>
      <c r="ZV42" s="12"/>
      <c r="ZW42" s="12"/>
      <c r="ZX42" s="12"/>
      <c r="ZY42" s="12"/>
      <c r="ZZ42" s="12"/>
      <c r="AAA42" s="12"/>
      <c r="AAB42" s="12"/>
      <c r="AAC42" s="12"/>
      <c r="AAD42" s="12"/>
      <c r="AAE42" s="12"/>
      <c r="AAF42" s="12"/>
      <c r="AAG42" s="12"/>
      <c r="AAH42" s="12"/>
      <c r="AAI42" s="12"/>
      <c r="AAJ42" s="12"/>
      <c r="AAK42" s="12"/>
      <c r="AAL42" s="12"/>
      <c r="AAM42" s="12"/>
      <c r="AAN42" s="12"/>
      <c r="AAO42" s="12"/>
      <c r="AAP42" s="12"/>
      <c r="AAQ42" s="12"/>
      <c r="AAR42" s="12"/>
      <c r="AAS42" s="12"/>
      <c r="AAT42" s="12"/>
      <c r="AAU42" s="12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2"/>
      <c r="ABG42" s="12"/>
      <c r="ABH42" s="12"/>
      <c r="ABI42" s="12"/>
      <c r="ABJ42" s="12"/>
      <c r="ABK42" s="12"/>
      <c r="ABL42" s="12"/>
      <c r="ABM42" s="12"/>
      <c r="ABN42" s="12"/>
      <c r="ABO42" s="12"/>
      <c r="ABP42" s="12"/>
      <c r="ABQ42" s="12"/>
      <c r="ABR42" s="12"/>
      <c r="ABS42" s="12"/>
      <c r="ABT42" s="12"/>
      <c r="ABU42" s="12"/>
      <c r="ABV42" s="12"/>
      <c r="ABW42" s="12"/>
      <c r="ABX42" s="12"/>
      <c r="ABY42" s="12"/>
      <c r="ABZ42" s="12"/>
      <c r="ACA42" s="12"/>
      <c r="ACB42" s="12"/>
      <c r="ACC42" s="12"/>
      <c r="ACD42" s="12"/>
      <c r="ACE42" s="12"/>
      <c r="ACF42" s="12"/>
      <c r="ACG42" s="12"/>
      <c r="ACH42" s="12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2"/>
      <c r="ACT42" s="12"/>
      <c r="ACU42" s="12"/>
      <c r="ACV42" s="12"/>
      <c r="ACW42" s="12"/>
      <c r="ACX42" s="12"/>
      <c r="ACY42" s="12"/>
      <c r="ACZ42" s="12"/>
      <c r="ADA42" s="12"/>
      <c r="ADB42" s="12"/>
      <c r="ADC42" s="12"/>
      <c r="ADD42" s="12"/>
      <c r="ADE42" s="12"/>
      <c r="ADF42" s="12"/>
      <c r="ADG42" s="12"/>
      <c r="ADH42" s="12"/>
      <c r="ADI42" s="12"/>
      <c r="ADJ42" s="12"/>
      <c r="ADK42" s="12"/>
      <c r="ADL42" s="12"/>
      <c r="ADM42" s="12"/>
      <c r="ADN42" s="12"/>
      <c r="ADO42" s="12"/>
      <c r="ADP42" s="12"/>
      <c r="ADQ42" s="12"/>
      <c r="ADR42" s="12"/>
      <c r="ADS42" s="12"/>
      <c r="ADT42" s="12"/>
      <c r="ADU42" s="12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2"/>
      <c r="AEG42" s="12"/>
      <c r="AEH42" s="12"/>
      <c r="AEI42" s="12"/>
      <c r="AEJ42" s="12"/>
      <c r="AEK42" s="12"/>
      <c r="AEL42" s="12"/>
      <c r="AEM42" s="12"/>
      <c r="AEN42" s="12"/>
      <c r="AEO42" s="12"/>
      <c r="AEP42" s="12"/>
      <c r="AEQ42" s="12"/>
      <c r="AER42" s="12"/>
      <c r="AES42" s="12"/>
      <c r="AET42" s="12"/>
      <c r="AEU42" s="12"/>
      <c r="AEV42" s="12"/>
    </row>
    <row r="43" spans="1:828" s="27" customFormat="1" ht="18" x14ac:dyDescent="0.2">
      <c r="A43" s="28"/>
      <c r="C43" s="23"/>
      <c r="D43" s="29"/>
      <c r="E43" s="23"/>
      <c r="F43" s="23"/>
      <c r="G43" s="23"/>
      <c r="H43" s="30"/>
      <c r="I43" s="23"/>
      <c r="J43" s="29"/>
      <c r="K43" s="30"/>
      <c r="L43" s="23"/>
      <c r="M43" s="29"/>
      <c r="N43" s="47"/>
      <c r="O43" s="12"/>
      <c r="P43" s="48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2"/>
      <c r="JG43" s="12"/>
      <c r="JH43" s="12"/>
      <c r="JI43" s="12"/>
      <c r="JJ43" s="12"/>
      <c r="JK43" s="12"/>
      <c r="JL43" s="12"/>
      <c r="JM43" s="12"/>
      <c r="JN43" s="12"/>
      <c r="JO43" s="12"/>
      <c r="JP43" s="12"/>
      <c r="JQ43" s="12"/>
      <c r="JR43" s="12"/>
      <c r="JS43" s="12"/>
      <c r="JT43" s="12"/>
      <c r="JU43" s="12"/>
      <c r="JV43" s="12"/>
      <c r="JW43" s="12"/>
      <c r="JX43" s="12"/>
      <c r="JY43" s="12"/>
      <c r="JZ43" s="12"/>
      <c r="KA43" s="12"/>
      <c r="KB43" s="12"/>
      <c r="KC43" s="12"/>
      <c r="KD43" s="12"/>
      <c r="KE43" s="12"/>
      <c r="KF43" s="12"/>
      <c r="KG43" s="12"/>
      <c r="KH43" s="12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2"/>
      <c r="KT43" s="12"/>
      <c r="KU43" s="12"/>
      <c r="KV43" s="12"/>
      <c r="KW43" s="12"/>
      <c r="KX43" s="12"/>
      <c r="KY43" s="12"/>
      <c r="KZ43" s="12"/>
      <c r="LA43" s="12"/>
      <c r="LB43" s="12"/>
      <c r="LC43" s="12"/>
      <c r="LD43" s="12"/>
      <c r="LE43" s="12"/>
      <c r="LF43" s="12"/>
      <c r="LG43" s="12"/>
      <c r="LH43" s="12"/>
      <c r="LI43" s="12"/>
      <c r="LJ43" s="12"/>
      <c r="LK43" s="12"/>
      <c r="LL43" s="12"/>
      <c r="LM43" s="12"/>
      <c r="LN43" s="12"/>
      <c r="LO43" s="12"/>
      <c r="LP43" s="12"/>
      <c r="LQ43" s="12"/>
      <c r="LR43" s="12"/>
      <c r="LS43" s="12"/>
      <c r="LT43" s="12"/>
      <c r="LU43" s="12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2"/>
      <c r="MG43" s="12"/>
      <c r="MH43" s="12"/>
      <c r="MI43" s="12"/>
      <c r="MJ43" s="12"/>
      <c r="MK43" s="12"/>
      <c r="ML43" s="12"/>
      <c r="MM43" s="12"/>
      <c r="MN43" s="12"/>
      <c r="MO43" s="12"/>
      <c r="MP43" s="12"/>
      <c r="MQ43" s="12"/>
      <c r="MR43" s="12"/>
      <c r="MS43" s="12"/>
      <c r="MT43" s="12"/>
      <c r="MU43" s="12"/>
      <c r="MV43" s="12"/>
      <c r="MW43" s="12"/>
      <c r="MX43" s="12"/>
      <c r="MY43" s="12"/>
      <c r="MZ43" s="12"/>
      <c r="NA43" s="12"/>
      <c r="NB43" s="12"/>
      <c r="NC43" s="12"/>
      <c r="ND43" s="12"/>
      <c r="NE43" s="12"/>
      <c r="NF43" s="12"/>
      <c r="NG43" s="12"/>
      <c r="NH43" s="12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2"/>
      <c r="NT43" s="12"/>
      <c r="NU43" s="12"/>
      <c r="NV43" s="12"/>
      <c r="NW43" s="12"/>
      <c r="NX43" s="12"/>
      <c r="NY43" s="12"/>
      <c r="NZ43" s="12"/>
      <c r="OA43" s="12"/>
      <c r="OB43" s="12"/>
      <c r="OC43" s="12"/>
      <c r="OD43" s="12"/>
      <c r="OE43" s="12"/>
      <c r="OF43" s="12"/>
      <c r="OG43" s="12"/>
      <c r="OH43" s="12"/>
      <c r="OI43" s="12"/>
      <c r="OJ43" s="12"/>
      <c r="OK43" s="12"/>
      <c r="OL43" s="12"/>
      <c r="OM43" s="12"/>
      <c r="ON43" s="12"/>
      <c r="OO43" s="12"/>
      <c r="OP43" s="12"/>
      <c r="OQ43" s="12"/>
      <c r="OR43" s="12"/>
      <c r="OS43" s="12"/>
      <c r="OT43" s="12"/>
      <c r="OU43" s="12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2"/>
      <c r="PG43" s="12"/>
      <c r="PH43" s="12"/>
      <c r="PI43" s="12"/>
      <c r="PJ43" s="12"/>
      <c r="PK43" s="12"/>
      <c r="PL43" s="12"/>
      <c r="PM43" s="12"/>
      <c r="PN43" s="12"/>
      <c r="PO43" s="12"/>
      <c r="PP43" s="12"/>
      <c r="PQ43" s="12"/>
      <c r="PR43" s="12"/>
      <c r="PS43" s="12"/>
      <c r="PT43" s="12"/>
      <c r="PU43" s="12"/>
      <c r="PV43" s="12"/>
      <c r="PW43" s="12"/>
      <c r="PX43" s="12"/>
      <c r="PY43" s="12"/>
      <c r="PZ43" s="12"/>
      <c r="QA43" s="12"/>
      <c r="QB43" s="12"/>
      <c r="QC43" s="12"/>
      <c r="QD43" s="12"/>
      <c r="QE43" s="12"/>
      <c r="QF43" s="12"/>
      <c r="QG43" s="12"/>
      <c r="QH43" s="12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2"/>
      <c r="QT43" s="12"/>
      <c r="QU43" s="12"/>
      <c r="QV43" s="12"/>
      <c r="QW43" s="12"/>
      <c r="QX43" s="12"/>
      <c r="QY43" s="12"/>
      <c r="QZ43" s="12"/>
      <c r="RA43" s="12"/>
      <c r="RB43" s="12"/>
      <c r="RC43" s="12"/>
      <c r="RD43" s="12"/>
      <c r="RE43" s="12"/>
      <c r="RF43" s="12"/>
      <c r="RG43" s="12"/>
      <c r="RH43" s="12"/>
      <c r="RI43" s="12"/>
      <c r="RJ43" s="12"/>
      <c r="RK43" s="12"/>
      <c r="RL43" s="12"/>
      <c r="RM43" s="12"/>
      <c r="RN43" s="12"/>
      <c r="RO43" s="12"/>
      <c r="RP43" s="12"/>
      <c r="RQ43" s="12"/>
      <c r="RR43" s="12"/>
      <c r="RS43" s="12"/>
      <c r="RT43" s="12"/>
      <c r="RU43" s="12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2"/>
      <c r="SG43" s="12"/>
      <c r="SH43" s="12"/>
      <c r="SI43" s="12"/>
      <c r="SJ43" s="12"/>
      <c r="SK43" s="12"/>
      <c r="SL43" s="12"/>
      <c r="SM43" s="12"/>
      <c r="SN43" s="12"/>
      <c r="SO43" s="12"/>
      <c r="SP43" s="12"/>
      <c r="SQ43" s="12"/>
      <c r="SR43" s="12"/>
      <c r="SS43" s="12"/>
      <c r="ST43" s="12"/>
      <c r="SU43" s="12"/>
      <c r="SV43" s="12"/>
      <c r="SW43" s="12"/>
      <c r="SX43" s="12"/>
      <c r="SY43" s="12"/>
      <c r="SZ43" s="12"/>
      <c r="TA43" s="12"/>
      <c r="TB43" s="12"/>
      <c r="TC43" s="12"/>
      <c r="TD43" s="12"/>
      <c r="TE43" s="12"/>
      <c r="TF43" s="12"/>
      <c r="TG43" s="12"/>
      <c r="TH43" s="12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2"/>
      <c r="TT43" s="12"/>
      <c r="TU43" s="12"/>
      <c r="TV43" s="12"/>
      <c r="TW43" s="12"/>
      <c r="TX43" s="12"/>
      <c r="TY43" s="12"/>
      <c r="TZ43" s="12"/>
      <c r="UA43" s="12"/>
      <c r="UB43" s="12"/>
      <c r="UC43" s="12"/>
      <c r="UD43" s="12"/>
      <c r="UE43" s="12"/>
      <c r="UF43" s="12"/>
      <c r="UG43" s="12"/>
      <c r="UH43" s="12"/>
      <c r="UI43" s="12"/>
      <c r="UJ43" s="12"/>
      <c r="UK43" s="12"/>
      <c r="UL43" s="12"/>
      <c r="UM43" s="12"/>
      <c r="UN43" s="12"/>
      <c r="UO43" s="12"/>
      <c r="UP43" s="12"/>
      <c r="UQ43" s="12"/>
      <c r="UR43" s="12"/>
      <c r="US43" s="12"/>
      <c r="UT43" s="12"/>
      <c r="UU43" s="12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2"/>
      <c r="VG43" s="12"/>
      <c r="VH43" s="12"/>
      <c r="VI43" s="12"/>
      <c r="VJ43" s="12"/>
      <c r="VK43" s="12"/>
      <c r="VL43" s="12"/>
      <c r="VM43" s="12"/>
      <c r="VN43" s="12"/>
      <c r="VO43" s="12"/>
      <c r="VP43" s="12"/>
      <c r="VQ43" s="12"/>
      <c r="VR43" s="12"/>
      <c r="VS43" s="12"/>
      <c r="VT43" s="12"/>
      <c r="VU43" s="12"/>
      <c r="VV43" s="12"/>
      <c r="VW43" s="12"/>
      <c r="VX43" s="12"/>
      <c r="VY43" s="12"/>
      <c r="VZ43" s="12"/>
      <c r="WA43" s="12"/>
      <c r="WB43" s="12"/>
      <c r="WC43" s="12"/>
      <c r="WD43" s="12"/>
      <c r="WE43" s="12"/>
      <c r="WF43" s="12"/>
      <c r="WG43" s="12"/>
      <c r="WH43" s="12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2"/>
      <c r="WT43" s="12"/>
      <c r="WU43" s="12"/>
      <c r="WV43" s="12"/>
      <c r="WW43" s="12"/>
      <c r="WX43" s="12"/>
      <c r="WY43" s="12"/>
      <c r="WZ43" s="12"/>
      <c r="XA43" s="12"/>
      <c r="XB43" s="12"/>
      <c r="XC43" s="12"/>
      <c r="XD43" s="12"/>
      <c r="XE43" s="12"/>
      <c r="XF43" s="12"/>
      <c r="XG43" s="12"/>
      <c r="XH43" s="12"/>
      <c r="XI43" s="12"/>
      <c r="XJ43" s="12"/>
      <c r="XK43" s="12"/>
      <c r="XL43" s="12"/>
      <c r="XM43" s="12"/>
      <c r="XN43" s="12"/>
      <c r="XO43" s="12"/>
      <c r="XP43" s="12"/>
      <c r="XQ43" s="12"/>
      <c r="XR43" s="12"/>
      <c r="XS43" s="12"/>
      <c r="XT43" s="12"/>
      <c r="XU43" s="12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2"/>
      <c r="YG43" s="12"/>
      <c r="YH43" s="12"/>
      <c r="YI43" s="12"/>
      <c r="YJ43" s="12"/>
      <c r="YK43" s="12"/>
      <c r="YL43" s="12"/>
      <c r="YM43" s="12"/>
      <c r="YN43" s="12"/>
      <c r="YO43" s="12"/>
      <c r="YP43" s="12"/>
      <c r="YQ43" s="12"/>
      <c r="YR43" s="12"/>
      <c r="YS43" s="12"/>
      <c r="YT43" s="12"/>
      <c r="YU43" s="12"/>
      <c r="YV43" s="12"/>
      <c r="YW43" s="12"/>
      <c r="YX43" s="12"/>
      <c r="YY43" s="12"/>
      <c r="YZ43" s="12"/>
      <c r="ZA43" s="12"/>
      <c r="ZB43" s="12"/>
      <c r="ZC43" s="12"/>
      <c r="ZD43" s="12"/>
      <c r="ZE43" s="12"/>
      <c r="ZF43" s="12"/>
      <c r="ZG43" s="12"/>
      <c r="ZH43" s="12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2"/>
      <c r="ZT43" s="12"/>
      <c r="ZU43" s="12"/>
      <c r="ZV43" s="12"/>
      <c r="ZW43" s="12"/>
      <c r="ZX43" s="12"/>
      <c r="ZY43" s="12"/>
      <c r="ZZ43" s="12"/>
      <c r="AAA43" s="12"/>
      <c r="AAB43" s="12"/>
      <c r="AAC43" s="12"/>
      <c r="AAD43" s="12"/>
      <c r="AAE43" s="12"/>
      <c r="AAF43" s="12"/>
      <c r="AAG43" s="12"/>
      <c r="AAH43" s="12"/>
      <c r="AAI43" s="12"/>
      <c r="AAJ43" s="12"/>
      <c r="AAK43" s="12"/>
      <c r="AAL43" s="12"/>
      <c r="AAM43" s="12"/>
      <c r="AAN43" s="12"/>
      <c r="AAO43" s="12"/>
      <c r="AAP43" s="12"/>
      <c r="AAQ43" s="12"/>
      <c r="AAR43" s="12"/>
      <c r="AAS43" s="12"/>
      <c r="AAT43" s="12"/>
      <c r="AAU43" s="12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2"/>
      <c r="ABG43" s="12"/>
      <c r="ABH43" s="12"/>
      <c r="ABI43" s="12"/>
      <c r="ABJ43" s="12"/>
      <c r="ABK43" s="12"/>
      <c r="ABL43" s="12"/>
      <c r="ABM43" s="12"/>
      <c r="ABN43" s="12"/>
      <c r="ABO43" s="12"/>
      <c r="ABP43" s="12"/>
      <c r="ABQ43" s="12"/>
      <c r="ABR43" s="12"/>
      <c r="ABS43" s="12"/>
      <c r="ABT43" s="12"/>
      <c r="ABU43" s="12"/>
      <c r="ABV43" s="12"/>
      <c r="ABW43" s="12"/>
      <c r="ABX43" s="12"/>
      <c r="ABY43" s="12"/>
      <c r="ABZ43" s="12"/>
      <c r="ACA43" s="12"/>
      <c r="ACB43" s="12"/>
      <c r="ACC43" s="12"/>
      <c r="ACD43" s="12"/>
      <c r="ACE43" s="12"/>
      <c r="ACF43" s="12"/>
      <c r="ACG43" s="12"/>
      <c r="ACH43" s="12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2"/>
      <c r="ACT43" s="12"/>
      <c r="ACU43" s="12"/>
      <c r="ACV43" s="12"/>
      <c r="ACW43" s="12"/>
      <c r="ACX43" s="12"/>
      <c r="ACY43" s="12"/>
      <c r="ACZ43" s="12"/>
      <c r="ADA43" s="12"/>
      <c r="ADB43" s="12"/>
      <c r="ADC43" s="12"/>
      <c r="ADD43" s="12"/>
      <c r="ADE43" s="12"/>
      <c r="ADF43" s="12"/>
      <c r="ADG43" s="12"/>
      <c r="ADH43" s="12"/>
      <c r="ADI43" s="12"/>
      <c r="ADJ43" s="12"/>
      <c r="ADK43" s="12"/>
      <c r="ADL43" s="12"/>
      <c r="ADM43" s="12"/>
      <c r="ADN43" s="12"/>
      <c r="ADO43" s="12"/>
      <c r="ADP43" s="12"/>
      <c r="ADQ43" s="12"/>
      <c r="ADR43" s="12"/>
      <c r="ADS43" s="12"/>
      <c r="ADT43" s="12"/>
      <c r="ADU43" s="12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2"/>
      <c r="AEG43" s="12"/>
      <c r="AEH43" s="12"/>
      <c r="AEI43" s="12"/>
      <c r="AEJ43" s="12"/>
      <c r="AEK43" s="12"/>
      <c r="AEL43" s="12"/>
      <c r="AEM43" s="12"/>
      <c r="AEN43" s="12"/>
      <c r="AEO43" s="12"/>
      <c r="AEP43" s="12"/>
      <c r="AEQ43" s="12"/>
      <c r="AER43" s="12"/>
      <c r="AES43" s="12"/>
      <c r="AET43" s="12"/>
      <c r="AEU43" s="12"/>
      <c r="AEV43" s="12"/>
    </row>
    <row r="44" spans="1:828" s="27" customFormat="1" ht="18" x14ac:dyDescent="0.2">
      <c r="A44" s="28"/>
      <c r="C44" s="23"/>
      <c r="D44" s="29"/>
      <c r="E44" s="23"/>
      <c r="F44" s="23"/>
      <c r="G44" s="23"/>
      <c r="H44" s="30"/>
      <c r="I44" s="23"/>
      <c r="J44" s="29"/>
      <c r="K44" s="30"/>
      <c r="L44" s="23"/>
      <c r="M44" s="29"/>
      <c r="N44" s="47"/>
      <c r="O44" s="12"/>
      <c r="P44" s="48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2"/>
      <c r="JG44" s="12"/>
      <c r="JH44" s="12"/>
      <c r="JI44" s="12"/>
      <c r="JJ44" s="12"/>
      <c r="JK44" s="12"/>
      <c r="JL44" s="12"/>
      <c r="JM44" s="12"/>
      <c r="JN44" s="12"/>
      <c r="JO44" s="12"/>
      <c r="JP44" s="12"/>
      <c r="JQ44" s="12"/>
      <c r="JR44" s="12"/>
      <c r="JS44" s="12"/>
      <c r="JT44" s="12"/>
      <c r="JU44" s="12"/>
      <c r="JV44" s="12"/>
      <c r="JW44" s="12"/>
      <c r="JX44" s="12"/>
      <c r="JY44" s="12"/>
      <c r="JZ44" s="12"/>
      <c r="KA44" s="12"/>
      <c r="KB44" s="12"/>
      <c r="KC44" s="12"/>
      <c r="KD44" s="12"/>
      <c r="KE44" s="12"/>
      <c r="KF44" s="12"/>
      <c r="KG44" s="12"/>
      <c r="KH44" s="12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2"/>
      <c r="KT44" s="12"/>
      <c r="KU44" s="12"/>
      <c r="KV44" s="12"/>
      <c r="KW44" s="12"/>
      <c r="KX44" s="12"/>
      <c r="KY44" s="12"/>
      <c r="KZ44" s="12"/>
      <c r="LA44" s="12"/>
      <c r="LB44" s="12"/>
      <c r="LC44" s="12"/>
      <c r="LD44" s="12"/>
      <c r="LE44" s="12"/>
      <c r="LF44" s="12"/>
      <c r="LG44" s="12"/>
      <c r="LH44" s="12"/>
      <c r="LI44" s="12"/>
      <c r="LJ44" s="12"/>
      <c r="LK44" s="12"/>
      <c r="LL44" s="12"/>
      <c r="LM44" s="12"/>
      <c r="LN44" s="12"/>
      <c r="LO44" s="12"/>
      <c r="LP44" s="12"/>
      <c r="LQ44" s="12"/>
      <c r="LR44" s="12"/>
      <c r="LS44" s="12"/>
      <c r="LT44" s="12"/>
      <c r="LU44" s="12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2"/>
      <c r="MG44" s="12"/>
      <c r="MH44" s="12"/>
      <c r="MI44" s="12"/>
      <c r="MJ44" s="12"/>
      <c r="MK44" s="12"/>
      <c r="ML44" s="12"/>
      <c r="MM44" s="12"/>
      <c r="MN44" s="12"/>
      <c r="MO44" s="12"/>
      <c r="MP44" s="12"/>
      <c r="MQ44" s="12"/>
      <c r="MR44" s="12"/>
      <c r="MS44" s="12"/>
      <c r="MT44" s="12"/>
      <c r="MU44" s="12"/>
      <c r="MV44" s="12"/>
      <c r="MW44" s="12"/>
      <c r="MX44" s="12"/>
      <c r="MY44" s="12"/>
      <c r="MZ44" s="12"/>
      <c r="NA44" s="12"/>
      <c r="NB44" s="12"/>
      <c r="NC44" s="12"/>
      <c r="ND44" s="12"/>
      <c r="NE44" s="12"/>
      <c r="NF44" s="12"/>
      <c r="NG44" s="12"/>
      <c r="NH44" s="12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2"/>
      <c r="NT44" s="12"/>
      <c r="NU44" s="12"/>
      <c r="NV44" s="12"/>
      <c r="NW44" s="12"/>
      <c r="NX44" s="12"/>
      <c r="NY44" s="12"/>
      <c r="NZ44" s="12"/>
      <c r="OA44" s="12"/>
      <c r="OB44" s="12"/>
      <c r="OC44" s="12"/>
      <c r="OD44" s="12"/>
      <c r="OE44" s="12"/>
      <c r="OF44" s="12"/>
      <c r="OG44" s="12"/>
      <c r="OH44" s="12"/>
      <c r="OI44" s="12"/>
      <c r="OJ44" s="12"/>
      <c r="OK44" s="12"/>
      <c r="OL44" s="12"/>
      <c r="OM44" s="12"/>
      <c r="ON44" s="12"/>
      <c r="OO44" s="12"/>
      <c r="OP44" s="12"/>
      <c r="OQ44" s="12"/>
      <c r="OR44" s="12"/>
      <c r="OS44" s="12"/>
      <c r="OT44" s="12"/>
      <c r="OU44" s="12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2"/>
      <c r="PG44" s="12"/>
      <c r="PH44" s="12"/>
      <c r="PI44" s="12"/>
      <c r="PJ44" s="12"/>
      <c r="PK44" s="12"/>
      <c r="PL44" s="12"/>
      <c r="PM44" s="12"/>
      <c r="PN44" s="12"/>
      <c r="PO44" s="12"/>
      <c r="PP44" s="12"/>
      <c r="PQ44" s="12"/>
      <c r="PR44" s="12"/>
      <c r="PS44" s="12"/>
      <c r="PT44" s="12"/>
      <c r="PU44" s="12"/>
      <c r="PV44" s="12"/>
      <c r="PW44" s="12"/>
      <c r="PX44" s="12"/>
      <c r="PY44" s="12"/>
      <c r="PZ44" s="12"/>
      <c r="QA44" s="12"/>
      <c r="QB44" s="12"/>
      <c r="QC44" s="12"/>
      <c r="QD44" s="12"/>
      <c r="QE44" s="12"/>
      <c r="QF44" s="12"/>
      <c r="QG44" s="12"/>
      <c r="QH44" s="12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2"/>
      <c r="QT44" s="12"/>
      <c r="QU44" s="12"/>
      <c r="QV44" s="12"/>
      <c r="QW44" s="12"/>
      <c r="QX44" s="12"/>
      <c r="QY44" s="12"/>
      <c r="QZ44" s="12"/>
      <c r="RA44" s="12"/>
      <c r="RB44" s="12"/>
      <c r="RC44" s="12"/>
      <c r="RD44" s="12"/>
      <c r="RE44" s="12"/>
      <c r="RF44" s="12"/>
      <c r="RG44" s="12"/>
      <c r="RH44" s="12"/>
      <c r="RI44" s="12"/>
      <c r="RJ44" s="12"/>
      <c r="RK44" s="12"/>
      <c r="RL44" s="12"/>
      <c r="RM44" s="12"/>
      <c r="RN44" s="12"/>
      <c r="RO44" s="12"/>
      <c r="RP44" s="12"/>
      <c r="RQ44" s="12"/>
      <c r="RR44" s="12"/>
      <c r="RS44" s="12"/>
      <c r="RT44" s="12"/>
      <c r="RU44" s="12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2"/>
      <c r="SG44" s="12"/>
      <c r="SH44" s="12"/>
      <c r="SI44" s="12"/>
      <c r="SJ44" s="12"/>
      <c r="SK44" s="12"/>
      <c r="SL44" s="12"/>
      <c r="SM44" s="12"/>
      <c r="SN44" s="12"/>
      <c r="SO44" s="12"/>
      <c r="SP44" s="12"/>
      <c r="SQ44" s="12"/>
      <c r="SR44" s="12"/>
      <c r="SS44" s="12"/>
      <c r="ST44" s="12"/>
      <c r="SU44" s="12"/>
      <c r="SV44" s="12"/>
      <c r="SW44" s="12"/>
      <c r="SX44" s="12"/>
      <c r="SY44" s="12"/>
      <c r="SZ44" s="12"/>
      <c r="TA44" s="12"/>
      <c r="TB44" s="12"/>
      <c r="TC44" s="12"/>
      <c r="TD44" s="12"/>
      <c r="TE44" s="12"/>
      <c r="TF44" s="12"/>
      <c r="TG44" s="12"/>
      <c r="TH44" s="12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2"/>
      <c r="TT44" s="12"/>
      <c r="TU44" s="12"/>
      <c r="TV44" s="12"/>
      <c r="TW44" s="12"/>
      <c r="TX44" s="12"/>
      <c r="TY44" s="12"/>
      <c r="TZ44" s="12"/>
      <c r="UA44" s="12"/>
      <c r="UB44" s="12"/>
      <c r="UC44" s="12"/>
      <c r="UD44" s="12"/>
      <c r="UE44" s="12"/>
      <c r="UF44" s="12"/>
      <c r="UG44" s="12"/>
      <c r="UH44" s="12"/>
      <c r="UI44" s="12"/>
      <c r="UJ44" s="12"/>
      <c r="UK44" s="12"/>
      <c r="UL44" s="12"/>
      <c r="UM44" s="12"/>
      <c r="UN44" s="12"/>
      <c r="UO44" s="12"/>
      <c r="UP44" s="12"/>
      <c r="UQ44" s="12"/>
      <c r="UR44" s="12"/>
      <c r="US44" s="12"/>
      <c r="UT44" s="12"/>
      <c r="UU44" s="12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2"/>
      <c r="VG44" s="12"/>
      <c r="VH44" s="12"/>
      <c r="VI44" s="12"/>
      <c r="VJ44" s="12"/>
      <c r="VK44" s="12"/>
      <c r="VL44" s="12"/>
      <c r="VM44" s="12"/>
      <c r="VN44" s="12"/>
      <c r="VO44" s="12"/>
      <c r="VP44" s="12"/>
      <c r="VQ44" s="12"/>
      <c r="VR44" s="12"/>
      <c r="VS44" s="12"/>
      <c r="VT44" s="12"/>
      <c r="VU44" s="12"/>
      <c r="VV44" s="12"/>
      <c r="VW44" s="12"/>
      <c r="VX44" s="12"/>
      <c r="VY44" s="12"/>
      <c r="VZ44" s="12"/>
      <c r="WA44" s="12"/>
      <c r="WB44" s="12"/>
      <c r="WC44" s="12"/>
      <c r="WD44" s="12"/>
      <c r="WE44" s="12"/>
      <c r="WF44" s="12"/>
      <c r="WG44" s="12"/>
      <c r="WH44" s="12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2"/>
      <c r="WT44" s="12"/>
      <c r="WU44" s="12"/>
      <c r="WV44" s="12"/>
      <c r="WW44" s="12"/>
      <c r="WX44" s="12"/>
      <c r="WY44" s="12"/>
      <c r="WZ44" s="12"/>
      <c r="XA44" s="12"/>
      <c r="XB44" s="12"/>
      <c r="XC44" s="12"/>
      <c r="XD44" s="12"/>
      <c r="XE44" s="12"/>
      <c r="XF44" s="12"/>
      <c r="XG44" s="12"/>
      <c r="XH44" s="12"/>
      <c r="XI44" s="12"/>
      <c r="XJ44" s="12"/>
      <c r="XK44" s="12"/>
      <c r="XL44" s="12"/>
      <c r="XM44" s="12"/>
      <c r="XN44" s="12"/>
      <c r="XO44" s="12"/>
      <c r="XP44" s="12"/>
      <c r="XQ44" s="12"/>
      <c r="XR44" s="12"/>
      <c r="XS44" s="12"/>
      <c r="XT44" s="12"/>
      <c r="XU44" s="12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2"/>
      <c r="YG44" s="12"/>
      <c r="YH44" s="12"/>
      <c r="YI44" s="12"/>
      <c r="YJ44" s="12"/>
      <c r="YK44" s="12"/>
      <c r="YL44" s="12"/>
      <c r="YM44" s="12"/>
      <c r="YN44" s="12"/>
      <c r="YO44" s="12"/>
      <c r="YP44" s="12"/>
      <c r="YQ44" s="12"/>
      <c r="YR44" s="12"/>
      <c r="YS44" s="12"/>
      <c r="YT44" s="12"/>
      <c r="YU44" s="12"/>
      <c r="YV44" s="12"/>
      <c r="YW44" s="12"/>
      <c r="YX44" s="12"/>
      <c r="YY44" s="12"/>
      <c r="YZ44" s="12"/>
      <c r="ZA44" s="12"/>
      <c r="ZB44" s="12"/>
      <c r="ZC44" s="12"/>
      <c r="ZD44" s="12"/>
      <c r="ZE44" s="12"/>
      <c r="ZF44" s="12"/>
      <c r="ZG44" s="12"/>
      <c r="ZH44" s="12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2"/>
      <c r="ZT44" s="12"/>
      <c r="ZU44" s="12"/>
      <c r="ZV44" s="12"/>
      <c r="ZW44" s="12"/>
      <c r="ZX44" s="12"/>
      <c r="ZY44" s="12"/>
      <c r="ZZ44" s="12"/>
      <c r="AAA44" s="12"/>
      <c r="AAB44" s="12"/>
      <c r="AAC44" s="12"/>
      <c r="AAD44" s="12"/>
      <c r="AAE44" s="12"/>
      <c r="AAF44" s="12"/>
      <c r="AAG44" s="12"/>
      <c r="AAH44" s="12"/>
      <c r="AAI44" s="12"/>
      <c r="AAJ44" s="12"/>
      <c r="AAK44" s="12"/>
      <c r="AAL44" s="12"/>
      <c r="AAM44" s="12"/>
      <c r="AAN44" s="12"/>
      <c r="AAO44" s="12"/>
      <c r="AAP44" s="12"/>
      <c r="AAQ44" s="12"/>
      <c r="AAR44" s="12"/>
      <c r="AAS44" s="12"/>
      <c r="AAT44" s="12"/>
      <c r="AAU44" s="12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2"/>
      <c r="ABG44" s="12"/>
      <c r="ABH44" s="12"/>
      <c r="ABI44" s="12"/>
      <c r="ABJ44" s="12"/>
      <c r="ABK44" s="12"/>
      <c r="ABL44" s="12"/>
      <c r="ABM44" s="12"/>
      <c r="ABN44" s="12"/>
      <c r="ABO44" s="12"/>
      <c r="ABP44" s="12"/>
      <c r="ABQ44" s="12"/>
      <c r="ABR44" s="12"/>
      <c r="ABS44" s="12"/>
      <c r="ABT44" s="12"/>
      <c r="ABU44" s="12"/>
      <c r="ABV44" s="12"/>
      <c r="ABW44" s="12"/>
      <c r="ABX44" s="12"/>
      <c r="ABY44" s="12"/>
      <c r="ABZ44" s="12"/>
      <c r="ACA44" s="12"/>
      <c r="ACB44" s="12"/>
      <c r="ACC44" s="12"/>
      <c r="ACD44" s="12"/>
      <c r="ACE44" s="12"/>
      <c r="ACF44" s="12"/>
      <c r="ACG44" s="12"/>
      <c r="ACH44" s="12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2"/>
      <c r="ACT44" s="12"/>
      <c r="ACU44" s="12"/>
      <c r="ACV44" s="12"/>
      <c r="ACW44" s="12"/>
      <c r="ACX44" s="12"/>
      <c r="ACY44" s="12"/>
      <c r="ACZ44" s="12"/>
      <c r="ADA44" s="12"/>
      <c r="ADB44" s="12"/>
      <c r="ADC44" s="12"/>
      <c r="ADD44" s="12"/>
      <c r="ADE44" s="12"/>
      <c r="ADF44" s="12"/>
      <c r="ADG44" s="12"/>
      <c r="ADH44" s="12"/>
      <c r="ADI44" s="12"/>
      <c r="ADJ44" s="12"/>
      <c r="ADK44" s="12"/>
      <c r="ADL44" s="12"/>
      <c r="ADM44" s="12"/>
      <c r="ADN44" s="12"/>
      <c r="ADO44" s="12"/>
      <c r="ADP44" s="12"/>
      <c r="ADQ44" s="12"/>
      <c r="ADR44" s="12"/>
      <c r="ADS44" s="12"/>
      <c r="ADT44" s="12"/>
      <c r="ADU44" s="12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2"/>
      <c r="AEG44" s="12"/>
      <c r="AEH44" s="12"/>
      <c r="AEI44" s="12"/>
      <c r="AEJ44" s="12"/>
      <c r="AEK44" s="12"/>
      <c r="AEL44" s="12"/>
      <c r="AEM44" s="12"/>
      <c r="AEN44" s="12"/>
      <c r="AEO44" s="12"/>
      <c r="AEP44" s="12"/>
      <c r="AEQ44" s="12"/>
      <c r="AER44" s="12"/>
      <c r="AES44" s="12"/>
      <c r="AET44" s="12"/>
      <c r="AEU44" s="12"/>
      <c r="AEV44" s="12"/>
    </row>
    <row r="45" spans="1:828" s="27" customFormat="1" ht="18" x14ac:dyDescent="0.2">
      <c r="A45" s="28"/>
      <c r="C45" s="23"/>
      <c r="D45" s="29"/>
      <c r="E45" s="23"/>
      <c r="F45" s="23"/>
      <c r="G45" s="23"/>
      <c r="H45" s="30"/>
      <c r="I45" s="23"/>
      <c r="J45" s="29"/>
      <c r="K45" s="30"/>
      <c r="L45" s="23"/>
      <c r="M45" s="29"/>
      <c r="N45" s="47"/>
      <c r="O45" s="12"/>
      <c r="P45" s="48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2"/>
      <c r="JG45" s="12"/>
      <c r="JH45" s="12"/>
      <c r="JI45" s="12"/>
      <c r="JJ45" s="12"/>
      <c r="JK45" s="12"/>
      <c r="JL45" s="12"/>
      <c r="JM45" s="12"/>
      <c r="JN45" s="12"/>
      <c r="JO45" s="12"/>
      <c r="JP45" s="12"/>
      <c r="JQ45" s="12"/>
      <c r="JR45" s="12"/>
      <c r="JS45" s="12"/>
      <c r="JT45" s="12"/>
      <c r="JU45" s="12"/>
      <c r="JV45" s="12"/>
      <c r="JW45" s="12"/>
      <c r="JX45" s="12"/>
      <c r="JY45" s="12"/>
      <c r="JZ45" s="12"/>
      <c r="KA45" s="12"/>
      <c r="KB45" s="12"/>
      <c r="KC45" s="12"/>
      <c r="KD45" s="12"/>
      <c r="KE45" s="12"/>
      <c r="KF45" s="12"/>
      <c r="KG45" s="12"/>
      <c r="KH45" s="12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2"/>
      <c r="KT45" s="12"/>
      <c r="KU45" s="12"/>
      <c r="KV45" s="12"/>
      <c r="KW45" s="12"/>
      <c r="KX45" s="12"/>
      <c r="KY45" s="12"/>
      <c r="KZ45" s="12"/>
      <c r="LA45" s="12"/>
      <c r="LB45" s="12"/>
      <c r="LC45" s="12"/>
      <c r="LD45" s="12"/>
      <c r="LE45" s="12"/>
      <c r="LF45" s="12"/>
      <c r="LG45" s="12"/>
      <c r="LH45" s="12"/>
      <c r="LI45" s="12"/>
      <c r="LJ45" s="12"/>
      <c r="LK45" s="12"/>
      <c r="LL45" s="12"/>
      <c r="LM45" s="12"/>
      <c r="LN45" s="12"/>
      <c r="LO45" s="12"/>
      <c r="LP45" s="12"/>
      <c r="LQ45" s="12"/>
      <c r="LR45" s="12"/>
      <c r="LS45" s="12"/>
      <c r="LT45" s="12"/>
      <c r="LU45" s="12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2"/>
      <c r="MG45" s="12"/>
      <c r="MH45" s="12"/>
      <c r="MI45" s="12"/>
      <c r="MJ45" s="12"/>
      <c r="MK45" s="12"/>
      <c r="ML45" s="12"/>
      <c r="MM45" s="12"/>
      <c r="MN45" s="12"/>
      <c r="MO45" s="12"/>
      <c r="MP45" s="12"/>
      <c r="MQ45" s="12"/>
      <c r="MR45" s="12"/>
      <c r="MS45" s="12"/>
      <c r="MT45" s="12"/>
      <c r="MU45" s="12"/>
      <c r="MV45" s="12"/>
      <c r="MW45" s="12"/>
      <c r="MX45" s="12"/>
      <c r="MY45" s="12"/>
      <c r="MZ45" s="12"/>
      <c r="NA45" s="12"/>
      <c r="NB45" s="12"/>
      <c r="NC45" s="12"/>
      <c r="ND45" s="12"/>
      <c r="NE45" s="12"/>
      <c r="NF45" s="12"/>
      <c r="NG45" s="12"/>
      <c r="NH45" s="12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2"/>
      <c r="NT45" s="12"/>
      <c r="NU45" s="12"/>
      <c r="NV45" s="12"/>
      <c r="NW45" s="12"/>
      <c r="NX45" s="12"/>
      <c r="NY45" s="12"/>
      <c r="NZ45" s="12"/>
      <c r="OA45" s="12"/>
      <c r="OB45" s="12"/>
      <c r="OC45" s="12"/>
      <c r="OD45" s="12"/>
      <c r="OE45" s="12"/>
      <c r="OF45" s="12"/>
      <c r="OG45" s="12"/>
      <c r="OH45" s="12"/>
      <c r="OI45" s="12"/>
      <c r="OJ45" s="12"/>
      <c r="OK45" s="12"/>
      <c r="OL45" s="12"/>
      <c r="OM45" s="12"/>
      <c r="ON45" s="12"/>
      <c r="OO45" s="12"/>
      <c r="OP45" s="12"/>
      <c r="OQ45" s="12"/>
      <c r="OR45" s="12"/>
      <c r="OS45" s="12"/>
      <c r="OT45" s="12"/>
      <c r="OU45" s="12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2"/>
      <c r="PG45" s="12"/>
      <c r="PH45" s="12"/>
      <c r="PI45" s="12"/>
      <c r="PJ45" s="12"/>
      <c r="PK45" s="12"/>
      <c r="PL45" s="12"/>
      <c r="PM45" s="12"/>
      <c r="PN45" s="12"/>
      <c r="PO45" s="12"/>
      <c r="PP45" s="12"/>
      <c r="PQ45" s="12"/>
      <c r="PR45" s="12"/>
      <c r="PS45" s="12"/>
      <c r="PT45" s="12"/>
      <c r="PU45" s="12"/>
      <c r="PV45" s="12"/>
      <c r="PW45" s="12"/>
      <c r="PX45" s="12"/>
      <c r="PY45" s="12"/>
      <c r="PZ45" s="12"/>
      <c r="QA45" s="12"/>
      <c r="QB45" s="12"/>
      <c r="QC45" s="12"/>
      <c r="QD45" s="12"/>
      <c r="QE45" s="12"/>
      <c r="QF45" s="12"/>
      <c r="QG45" s="12"/>
      <c r="QH45" s="12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2"/>
      <c r="QT45" s="12"/>
      <c r="QU45" s="12"/>
      <c r="QV45" s="12"/>
      <c r="QW45" s="12"/>
      <c r="QX45" s="12"/>
      <c r="QY45" s="12"/>
      <c r="QZ45" s="12"/>
      <c r="RA45" s="12"/>
      <c r="RB45" s="12"/>
      <c r="RC45" s="12"/>
      <c r="RD45" s="12"/>
      <c r="RE45" s="12"/>
      <c r="RF45" s="12"/>
      <c r="RG45" s="12"/>
      <c r="RH45" s="12"/>
      <c r="RI45" s="12"/>
      <c r="RJ45" s="12"/>
      <c r="RK45" s="12"/>
      <c r="RL45" s="12"/>
      <c r="RM45" s="12"/>
      <c r="RN45" s="12"/>
      <c r="RO45" s="12"/>
      <c r="RP45" s="12"/>
      <c r="RQ45" s="12"/>
      <c r="RR45" s="12"/>
      <c r="RS45" s="12"/>
      <c r="RT45" s="12"/>
      <c r="RU45" s="12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2"/>
      <c r="SG45" s="12"/>
      <c r="SH45" s="12"/>
      <c r="SI45" s="12"/>
      <c r="SJ45" s="12"/>
      <c r="SK45" s="12"/>
      <c r="SL45" s="12"/>
      <c r="SM45" s="12"/>
      <c r="SN45" s="12"/>
      <c r="SO45" s="12"/>
      <c r="SP45" s="12"/>
      <c r="SQ45" s="12"/>
      <c r="SR45" s="12"/>
      <c r="SS45" s="12"/>
      <c r="ST45" s="12"/>
      <c r="SU45" s="12"/>
      <c r="SV45" s="12"/>
      <c r="SW45" s="12"/>
      <c r="SX45" s="12"/>
      <c r="SY45" s="12"/>
      <c r="SZ45" s="12"/>
      <c r="TA45" s="12"/>
      <c r="TB45" s="12"/>
      <c r="TC45" s="12"/>
      <c r="TD45" s="12"/>
      <c r="TE45" s="12"/>
      <c r="TF45" s="12"/>
      <c r="TG45" s="12"/>
      <c r="TH45" s="12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2"/>
      <c r="TT45" s="12"/>
      <c r="TU45" s="12"/>
      <c r="TV45" s="12"/>
      <c r="TW45" s="12"/>
      <c r="TX45" s="12"/>
      <c r="TY45" s="12"/>
      <c r="TZ45" s="12"/>
      <c r="UA45" s="12"/>
      <c r="UB45" s="12"/>
      <c r="UC45" s="12"/>
      <c r="UD45" s="12"/>
      <c r="UE45" s="12"/>
      <c r="UF45" s="12"/>
      <c r="UG45" s="12"/>
      <c r="UH45" s="12"/>
      <c r="UI45" s="12"/>
      <c r="UJ45" s="12"/>
      <c r="UK45" s="12"/>
      <c r="UL45" s="12"/>
      <c r="UM45" s="12"/>
      <c r="UN45" s="12"/>
      <c r="UO45" s="12"/>
      <c r="UP45" s="12"/>
      <c r="UQ45" s="12"/>
      <c r="UR45" s="12"/>
      <c r="US45" s="12"/>
      <c r="UT45" s="12"/>
      <c r="UU45" s="12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2"/>
      <c r="VG45" s="12"/>
      <c r="VH45" s="12"/>
      <c r="VI45" s="12"/>
      <c r="VJ45" s="12"/>
      <c r="VK45" s="12"/>
      <c r="VL45" s="12"/>
      <c r="VM45" s="12"/>
      <c r="VN45" s="12"/>
      <c r="VO45" s="12"/>
      <c r="VP45" s="12"/>
      <c r="VQ45" s="12"/>
      <c r="VR45" s="12"/>
      <c r="VS45" s="12"/>
      <c r="VT45" s="12"/>
      <c r="VU45" s="12"/>
      <c r="VV45" s="12"/>
      <c r="VW45" s="12"/>
      <c r="VX45" s="12"/>
      <c r="VY45" s="12"/>
      <c r="VZ45" s="12"/>
      <c r="WA45" s="12"/>
      <c r="WB45" s="12"/>
      <c r="WC45" s="12"/>
      <c r="WD45" s="12"/>
      <c r="WE45" s="12"/>
      <c r="WF45" s="12"/>
      <c r="WG45" s="12"/>
      <c r="WH45" s="12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2"/>
      <c r="WT45" s="12"/>
      <c r="WU45" s="12"/>
      <c r="WV45" s="12"/>
      <c r="WW45" s="12"/>
      <c r="WX45" s="12"/>
      <c r="WY45" s="12"/>
      <c r="WZ45" s="12"/>
      <c r="XA45" s="12"/>
      <c r="XB45" s="12"/>
      <c r="XC45" s="12"/>
      <c r="XD45" s="12"/>
      <c r="XE45" s="12"/>
      <c r="XF45" s="12"/>
      <c r="XG45" s="12"/>
      <c r="XH45" s="12"/>
      <c r="XI45" s="12"/>
      <c r="XJ45" s="12"/>
      <c r="XK45" s="12"/>
      <c r="XL45" s="12"/>
      <c r="XM45" s="12"/>
      <c r="XN45" s="12"/>
      <c r="XO45" s="12"/>
      <c r="XP45" s="12"/>
      <c r="XQ45" s="12"/>
      <c r="XR45" s="12"/>
      <c r="XS45" s="12"/>
      <c r="XT45" s="12"/>
      <c r="XU45" s="12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2"/>
      <c r="YG45" s="12"/>
      <c r="YH45" s="12"/>
      <c r="YI45" s="12"/>
      <c r="YJ45" s="12"/>
      <c r="YK45" s="12"/>
      <c r="YL45" s="12"/>
      <c r="YM45" s="12"/>
      <c r="YN45" s="12"/>
      <c r="YO45" s="12"/>
      <c r="YP45" s="12"/>
      <c r="YQ45" s="12"/>
      <c r="YR45" s="12"/>
      <c r="YS45" s="12"/>
      <c r="YT45" s="12"/>
      <c r="YU45" s="12"/>
      <c r="YV45" s="12"/>
      <c r="YW45" s="12"/>
      <c r="YX45" s="12"/>
      <c r="YY45" s="12"/>
      <c r="YZ45" s="12"/>
      <c r="ZA45" s="12"/>
      <c r="ZB45" s="12"/>
      <c r="ZC45" s="12"/>
      <c r="ZD45" s="12"/>
      <c r="ZE45" s="12"/>
      <c r="ZF45" s="12"/>
      <c r="ZG45" s="12"/>
      <c r="ZH45" s="12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2"/>
      <c r="ZT45" s="12"/>
      <c r="ZU45" s="12"/>
      <c r="ZV45" s="12"/>
      <c r="ZW45" s="12"/>
      <c r="ZX45" s="12"/>
      <c r="ZY45" s="12"/>
      <c r="ZZ45" s="12"/>
      <c r="AAA45" s="12"/>
      <c r="AAB45" s="12"/>
      <c r="AAC45" s="12"/>
      <c r="AAD45" s="12"/>
      <c r="AAE45" s="12"/>
      <c r="AAF45" s="12"/>
      <c r="AAG45" s="12"/>
      <c r="AAH45" s="12"/>
      <c r="AAI45" s="12"/>
      <c r="AAJ45" s="12"/>
      <c r="AAK45" s="12"/>
      <c r="AAL45" s="12"/>
      <c r="AAM45" s="12"/>
      <c r="AAN45" s="12"/>
      <c r="AAO45" s="12"/>
      <c r="AAP45" s="12"/>
      <c r="AAQ45" s="12"/>
      <c r="AAR45" s="12"/>
      <c r="AAS45" s="12"/>
      <c r="AAT45" s="12"/>
      <c r="AAU45" s="12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2"/>
      <c r="ABG45" s="12"/>
      <c r="ABH45" s="12"/>
      <c r="ABI45" s="12"/>
      <c r="ABJ45" s="12"/>
      <c r="ABK45" s="12"/>
      <c r="ABL45" s="12"/>
      <c r="ABM45" s="12"/>
      <c r="ABN45" s="12"/>
      <c r="ABO45" s="12"/>
      <c r="ABP45" s="12"/>
      <c r="ABQ45" s="12"/>
      <c r="ABR45" s="12"/>
      <c r="ABS45" s="12"/>
      <c r="ABT45" s="12"/>
      <c r="ABU45" s="12"/>
      <c r="ABV45" s="12"/>
      <c r="ABW45" s="12"/>
      <c r="ABX45" s="12"/>
      <c r="ABY45" s="12"/>
      <c r="ABZ45" s="12"/>
      <c r="ACA45" s="12"/>
      <c r="ACB45" s="12"/>
      <c r="ACC45" s="12"/>
      <c r="ACD45" s="12"/>
      <c r="ACE45" s="12"/>
      <c r="ACF45" s="12"/>
      <c r="ACG45" s="12"/>
      <c r="ACH45" s="12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2"/>
      <c r="ACT45" s="12"/>
      <c r="ACU45" s="12"/>
      <c r="ACV45" s="12"/>
      <c r="ACW45" s="12"/>
      <c r="ACX45" s="12"/>
      <c r="ACY45" s="12"/>
      <c r="ACZ45" s="12"/>
      <c r="ADA45" s="12"/>
      <c r="ADB45" s="12"/>
      <c r="ADC45" s="12"/>
      <c r="ADD45" s="12"/>
      <c r="ADE45" s="12"/>
      <c r="ADF45" s="12"/>
      <c r="ADG45" s="12"/>
      <c r="ADH45" s="12"/>
      <c r="ADI45" s="12"/>
      <c r="ADJ45" s="12"/>
      <c r="ADK45" s="12"/>
      <c r="ADL45" s="12"/>
      <c r="ADM45" s="12"/>
      <c r="ADN45" s="12"/>
      <c r="ADO45" s="12"/>
      <c r="ADP45" s="12"/>
      <c r="ADQ45" s="12"/>
      <c r="ADR45" s="12"/>
      <c r="ADS45" s="12"/>
      <c r="ADT45" s="12"/>
      <c r="ADU45" s="12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2"/>
      <c r="AEG45" s="12"/>
      <c r="AEH45" s="12"/>
      <c r="AEI45" s="12"/>
      <c r="AEJ45" s="12"/>
      <c r="AEK45" s="12"/>
      <c r="AEL45" s="12"/>
      <c r="AEM45" s="12"/>
      <c r="AEN45" s="12"/>
      <c r="AEO45" s="12"/>
      <c r="AEP45" s="12"/>
      <c r="AEQ45" s="12"/>
      <c r="AER45" s="12"/>
      <c r="AES45" s="12"/>
      <c r="AET45" s="12"/>
      <c r="AEU45" s="12"/>
      <c r="AEV45" s="12"/>
    </row>
    <row r="46" spans="1:828" s="27" customFormat="1" ht="18" x14ac:dyDescent="0.2">
      <c r="A46" s="28"/>
      <c r="C46" s="23"/>
      <c r="D46" s="29"/>
      <c r="E46" s="23"/>
      <c r="F46" s="23"/>
      <c r="G46" s="23"/>
      <c r="H46" s="30"/>
      <c r="I46" s="23"/>
      <c r="J46" s="29"/>
      <c r="K46" s="30"/>
      <c r="L46" s="23"/>
      <c r="M46" s="29"/>
      <c r="N46" s="47"/>
      <c r="O46" s="12"/>
      <c r="P46" s="48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2"/>
      <c r="JG46" s="12"/>
      <c r="JH46" s="12"/>
      <c r="JI46" s="12"/>
      <c r="JJ46" s="12"/>
      <c r="JK46" s="12"/>
      <c r="JL46" s="12"/>
      <c r="JM46" s="12"/>
      <c r="JN46" s="12"/>
      <c r="JO46" s="12"/>
      <c r="JP46" s="12"/>
      <c r="JQ46" s="12"/>
      <c r="JR46" s="12"/>
      <c r="JS46" s="12"/>
      <c r="JT46" s="12"/>
      <c r="JU46" s="12"/>
      <c r="JV46" s="12"/>
      <c r="JW46" s="12"/>
      <c r="JX46" s="12"/>
      <c r="JY46" s="12"/>
      <c r="JZ46" s="12"/>
      <c r="KA46" s="12"/>
      <c r="KB46" s="12"/>
      <c r="KC46" s="12"/>
      <c r="KD46" s="12"/>
      <c r="KE46" s="12"/>
      <c r="KF46" s="12"/>
      <c r="KG46" s="12"/>
      <c r="KH46" s="12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2"/>
      <c r="KT46" s="12"/>
      <c r="KU46" s="12"/>
      <c r="KV46" s="12"/>
      <c r="KW46" s="12"/>
      <c r="KX46" s="12"/>
      <c r="KY46" s="12"/>
      <c r="KZ46" s="12"/>
      <c r="LA46" s="12"/>
      <c r="LB46" s="12"/>
      <c r="LC46" s="12"/>
      <c r="LD46" s="12"/>
      <c r="LE46" s="12"/>
      <c r="LF46" s="12"/>
      <c r="LG46" s="12"/>
      <c r="LH46" s="12"/>
      <c r="LI46" s="12"/>
      <c r="LJ46" s="12"/>
      <c r="LK46" s="12"/>
      <c r="LL46" s="12"/>
      <c r="LM46" s="12"/>
      <c r="LN46" s="12"/>
      <c r="LO46" s="12"/>
      <c r="LP46" s="12"/>
      <c r="LQ46" s="12"/>
      <c r="LR46" s="12"/>
      <c r="LS46" s="12"/>
      <c r="LT46" s="12"/>
      <c r="LU46" s="12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2"/>
      <c r="MG46" s="12"/>
      <c r="MH46" s="12"/>
      <c r="MI46" s="12"/>
      <c r="MJ46" s="12"/>
      <c r="MK46" s="12"/>
      <c r="ML46" s="12"/>
      <c r="MM46" s="12"/>
      <c r="MN46" s="12"/>
      <c r="MO46" s="12"/>
      <c r="MP46" s="12"/>
      <c r="MQ46" s="12"/>
      <c r="MR46" s="12"/>
      <c r="MS46" s="12"/>
      <c r="MT46" s="12"/>
      <c r="MU46" s="12"/>
      <c r="MV46" s="12"/>
      <c r="MW46" s="12"/>
      <c r="MX46" s="12"/>
      <c r="MY46" s="12"/>
      <c r="MZ46" s="12"/>
      <c r="NA46" s="12"/>
      <c r="NB46" s="12"/>
      <c r="NC46" s="12"/>
      <c r="ND46" s="12"/>
      <c r="NE46" s="12"/>
      <c r="NF46" s="12"/>
      <c r="NG46" s="12"/>
      <c r="NH46" s="12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2"/>
      <c r="NT46" s="12"/>
      <c r="NU46" s="12"/>
      <c r="NV46" s="12"/>
      <c r="NW46" s="12"/>
      <c r="NX46" s="12"/>
      <c r="NY46" s="12"/>
      <c r="NZ46" s="12"/>
      <c r="OA46" s="12"/>
      <c r="OB46" s="12"/>
      <c r="OC46" s="12"/>
      <c r="OD46" s="12"/>
      <c r="OE46" s="12"/>
      <c r="OF46" s="12"/>
      <c r="OG46" s="12"/>
      <c r="OH46" s="12"/>
      <c r="OI46" s="12"/>
      <c r="OJ46" s="12"/>
      <c r="OK46" s="12"/>
      <c r="OL46" s="12"/>
      <c r="OM46" s="12"/>
      <c r="ON46" s="12"/>
      <c r="OO46" s="12"/>
      <c r="OP46" s="12"/>
      <c r="OQ46" s="12"/>
      <c r="OR46" s="12"/>
      <c r="OS46" s="12"/>
      <c r="OT46" s="12"/>
      <c r="OU46" s="12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2"/>
      <c r="PG46" s="12"/>
      <c r="PH46" s="12"/>
      <c r="PI46" s="12"/>
      <c r="PJ46" s="12"/>
      <c r="PK46" s="12"/>
      <c r="PL46" s="12"/>
      <c r="PM46" s="12"/>
      <c r="PN46" s="12"/>
      <c r="PO46" s="12"/>
      <c r="PP46" s="12"/>
      <c r="PQ46" s="12"/>
      <c r="PR46" s="12"/>
      <c r="PS46" s="12"/>
      <c r="PT46" s="12"/>
      <c r="PU46" s="12"/>
      <c r="PV46" s="12"/>
      <c r="PW46" s="12"/>
      <c r="PX46" s="12"/>
      <c r="PY46" s="12"/>
      <c r="PZ46" s="12"/>
      <c r="QA46" s="12"/>
      <c r="QB46" s="12"/>
      <c r="QC46" s="12"/>
      <c r="QD46" s="12"/>
      <c r="QE46" s="12"/>
      <c r="QF46" s="12"/>
      <c r="QG46" s="12"/>
      <c r="QH46" s="12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2"/>
      <c r="QT46" s="12"/>
      <c r="QU46" s="12"/>
      <c r="QV46" s="12"/>
      <c r="QW46" s="12"/>
      <c r="QX46" s="12"/>
      <c r="QY46" s="12"/>
      <c r="QZ46" s="12"/>
      <c r="RA46" s="12"/>
      <c r="RB46" s="12"/>
      <c r="RC46" s="12"/>
      <c r="RD46" s="12"/>
      <c r="RE46" s="12"/>
      <c r="RF46" s="12"/>
      <c r="RG46" s="12"/>
      <c r="RH46" s="12"/>
      <c r="RI46" s="12"/>
      <c r="RJ46" s="12"/>
      <c r="RK46" s="12"/>
      <c r="RL46" s="12"/>
      <c r="RM46" s="12"/>
      <c r="RN46" s="12"/>
      <c r="RO46" s="12"/>
      <c r="RP46" s="12"/>
      <c r="RQ46" s="12"/>
      <c r="RR46" s="12"/>
      <c r="RS46" s="12"/>
      <c r="RT46" s="12"/>
      <c r="RU46" s="12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2"/>
      <c r="SG46" s="12"/>
      <c r="SH46" s="12"/>
      <c r="SI46" s="12"/>
      <c r="SJ46" s="12"/>
      <c r="SK46" s="12"/>
      <c r="SL46" s="12"/>
      <c r="SM46" s="12"/>
      <c r="SN46" s="12"/>
      <c r="SO46" s="12"/>
      <c r="SP46" s="12"/>
      <c r="SQ46" s="12"/>
      <c r="SR46" s="12"/>
      <c r="SS46" s="12"/>
      <c r="ST46" s="12"/>
      <c r="SU46" s="12"/>
      <c r="SV46" s="12"/>
      <c r="SW46" s="12"/>
      <c r="SX46" s="12"/>
      <c r="SY46" s="12"/>
      <c r="SZ46" s="12"/>
      <c r="TA46" s="12"/>
      <c r="TB46" s="12"/>
      <c r="TC46" s="12"/>
      <c r="TD46" s="12"/>
      <c r="TE46" s="12"/>
      <c r="TF46" s="12"/>
      <c r="TG46" s="12"/>
      <c r="TH46" s="12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2"/>
      <c r="TT46" s="12"/>
      <c r="TU46" s="12"/>
      <c r="TV46" s="12"/>
      <c r="TW46" s="12"/>
      <c r="TX46" s="12"/>
      <c r="TY46" s="12"/>
      <c r="TZ46" s="12"/>
      <c r="UA46" s="12"/>
      <c r="UB46" s="12"/>
      <c r="UC46" s="12"/>
      <c r="UD46" s="12"/>
      <c r="UE46" s="12"/>
      <c r="UF46" s="12"/>
      <c r="UG46" s="12"/>
      <c r="UH46" s="12"/>
      <c r="UI46" s="12"/>
      <c r="UJ46" s="12"/>
      <c r="UK46" s="12"/>
      <c r="UL46" s="12"/>
      <c r="UM46" s="12"/>
      <c r="UN46" s="12"/>
      <c r="UO46" s="12"/>
      <c r="UP46" s="12"/>
      <c r="UQ46" s="12"/>
      <c r="UR46" s="12"/>
      <c r="US46" s="12"/>
      <c r="UT46" s="12"/>
      <c r="UU46" s="12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2"/>
      <c r="VG46" s="12"/>
      <c r="VH46" s="12"/>
      <c r="VI46" s="12"/>
      <c r="VJ46" s="12"/>
      <c r="VK46" s="12"/>
      <c r="VL46" s="12"/>
      <c r="VM46" s="12"/>
      <c r="VN46" s="12"/>
      <c r="VO46" s="12"/>
      <c r="VP46" s="12"/>
      <c r="VQ46" s="12"/>
      <c r="VR46" s="12"/>
      <c r="VS46" s="12"/>
      <c r="VT46" s="12"/>
      <c r="VU46" s="12"/>
      <c r="VV46" s="12"/>
      <c r="VW46" s="12"/>
      <c r="VX46" s="12"/>
      <c r="VY46" s="12"/>
      <c r="VZ46" s="12"/>
      <c r="WA46" s="12"/>
      <c r="WB46" s="12"/>
      <c r="WC46" s="12"/>
      <c r="WD46" s="12"/>
      <c r="WE46" s="12"/>
      <c r="WF46" s="12"/>
      <c r="WG46" s="12"/>
      <c r="WH46" s="12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2"/>
      <c r="WT46" s="12"/>
      <c r="WU46" s="12"/>
      <c r="WV46" s="12"/>
      <c r="WW46" s="12"/>
      <c r="WX46" s="12"/>
      <c r="WY46" s="12"/>
      <c r="WZ46" s="12"/>
      <c r="XA46" s="12"/>
      <c r="XB46" s="12"/>
      <c r="XC46" s="12"/>
      <c r="XD46" s="12"/>
      <c r="XE46" s="12"/>
      <c r="XF46" s="12"/>
      <c r="XG46" s="12"/>
      <c r="XH46" s="12"/>
      <c r="XI46" s="12"/>
      <c r="XJ46" s="12"/>
      <c r="XK46" s="12"/>
      <c r="XL46" s="12"/>
      <c r="XM46" s="12"/>
      <c r="XN46" s="12"/>
      <c r="XO46" s="12"/>
      <c r="XP46" s="12"/>
      <c r="XQ46" s="12"/>
      <c r="XR46" s="12"/>
      <c r="XS46" s="12"/>
      <c r="XT46" s="12"/>
      <c r="XU46" s="12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2"/>
      <c r="YG46" s="12"/>
      <c r="YH46" s="12"/>
      <c r="YI46" s="12"/>
      <c r="YJ46" s="12"/>
      <c r="YK46" s="12"/>
      <c r="YL46" s="12"/>
      <c r="YM46" s="12"/>
      <c r="YN46" s="12"/>
      <c r="YO46" s="12"/>
      <c r="YP46" s="12"/>
      <c r="YQ46" s="12"/>
      <c r="YR46" s="12"/>
      <c r="YS46" s="12"/>
      <c r="YT46" s="12"/>
      <c r="YU46" s="12"/>
      <c r="YV46" s="12"/>
      <c r="YW46" s="12"/>
      <c r="YX46" s="12"/>
      <c r="YY46" s="12"/>
      <c r="YZ46" s="12"/>
      <c r="ZA46" s="12"/>
      <c r="ZB46" s="12"/>
      <c r="ZC46" s="12"/>
      <c r="ZD46" s="12"/>
      <c r="ZE46" s="12"/>
      <c r="ZF46" s="12"/>
      <c r="ZG46" s="12"/>
      <c r="ZH46" s="12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2"/>
      <c r="ZT46" s="12"/>
      <c r="ZU46" s="12"/>
      <c r="ZV46" s="12"/>
      <c r="ZW46" s="12"/>
      <c r="ZX46" s="12"/>
      <c r="ZY46" s="12"/>
      <c r="ZZ46" s="12"/>
      <c r="AAA46" s="12"/>
      <c r="AAB46" s="12"/>
      <c r="AAC46" s="12"/>
      <c r="AAD46" s="12"/>
      <c r="AAE46" s="12"/>
      <c r="AAF46" s="12"/>
      <c r="AAG46" s="12"/>
      <c r="AAH46" s="12"/>
      <c r="AAI46" s="12"/>
      <c r="AAJ46" s="12"/>
      <c r="AAK46" s="12"/>
      <c r="AAL46" s="12"/>
      <c r="AAM46" s="12"/>
      <c r="AAN46" s="12"/>
      <c r="AAO46" s="12"/>
      <c r="AAP46" s="12"/>
      <c r="AAQ46" s="12"/>
      <c r="AAR46" s="12"/>
      <c r="AAS46" s="12"/>
      <c r="AAT46" s="12"/>
      <c r="AAU46" s="12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2"/>
      <c r="ABG46" s="12"/>
      <c r="ABH46" s="12"/>
      <c r="ABI46" s="12"/>
      <c r="ABJ46" s="12"/>
      <c r="ABK46" s="12"/>
      <c r="ABL46" s="12"/>
      <c r="ABM46" s="12"/>
      <c r="ABN46" s="12"/>
      <c r="ABO46" s="12"/>
      <c r="ABP46" s="12"/>
      <c r="ABQ46" s="12"/>
      <c r="ABR46" s="12"/>
      <c r="ABS46" s="12"/>
      <c r="ABT46" s="12"/>
      <c r="ABU46" s="12"/>
      <c r="ABV46" s="12"/>
      <c r="ABW46" s="12"/>
      <c r="ABX46" s="12"/>
      <c r="ABY46" s="12"/>
      <c r="ABZ46" s="12"/>
      <c r="ACA46" s="12"/>
      <c r="ACB46" s="12"/>
      <c r="ACC46" s="12"/>
      <c r="ACD46" s="12"/>
      <c r="ACE46" s="12"/>
      <c r="ACF46" s="12"/>
      <c r="ACG46" s="12"/>
      <c r="ACH46" s="12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2"/>
      <c r="ACT46" s="12"/>
      <c r="ACU46" s="12"/>
      <c r="ACV46" s="12"/>
      <c r="ACW46" s="12"/>
      <c r="ACX46" s="12"/>
      <c r="ACY46" s="12"/>
      <c r="ACZ46" s="12"/>
      <c r="ADA46" s="12"/>
      <c r="ADB46" s="12"/>
      <c r="ADC46" s="12"/>
      <c r="ADD46" s="12"/>
      <c r="ADE46" s="12"/>
      <c r="ADF46" s="12"/>
      <c r="ADG46" s="12"/>
      <c r="ADH46" s="12"/>
      <c r="ADI46" s="12"/>
      <c r="ADJ46" s="12"/>
      <c r="ADK46" s="12"/>
      <c r="ADL46" s="12"/>
      <c r="ADM46" s="12"/>
      <c r="ADN46" s="12"/>
      <c r="ADO46" s="12"/>
      <c r="ADP46" s="12"/>
      <c r="ADQ46" s="12"/>
      <c r="ADR46" s="12"/>
      <c r="ADS46" s="12"/>
      <c r="ADT46" s="12"/>
      <c r="ADU46" s="12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2"/>
      <c r="AEG46" s="12"/>
      <c r="AEH46" s="12"/>
      <c r="AEI46" s="12"/>
      <c r="AEJ46" s="12"/>
      <c r="AEK46" s="12"/>
      <c r="AEL46" s="12"/>
      <c r="AEM46" s="12"/>
      <c r="AEN46" s="12"/>
      <c r="AEO46" s="12"/>
      <c r="AEP46" s="12"/>
      <c r="AEQ46" s="12"/>
      <c r="AER46" s="12"/>
      <c r="AES46" s="12"/>
      <c r="AET46" s="12"/>
      <c r="AEU46" s="12"/>
      <c r="AEV46" s="12"/>
    </row>
    <row r="47" spans="1:828" s="61" customFormat="1" ht="19" x14ac:dyDescent="0.2">
      <c r="A47" s="53" t="s">
        <v>43</v>
      </c>
      <c r="B47" s="54">
        <f t="shared" si="0"/>
        <v>2.3627081267894039E-3</v>
      </c>
      <c r="C47" s="55" t="s">
        <v>44</v>
      </c>
      <c r="D47" s="56">
        <v>255</v>
      </c>
      <c r="E47" s="57">
        <f>SUM(G47:G49)/D74</f>
        <v>5.2072234010025293E-3</v>
      </c>
      <c r="F47" s="58" t="s">
        <v>73</v>
      </c>
      <c r="G47" s="58">
        <v>510</v>
      </c>
      <c r="H47" s="59">
        <f>J47/J74</f>
        <v>2.2907874225314626E-2</v>
      </c>
      <c r="I47" s="55" t="s">
        <v>45</v>
      </c>
      <c r="J47" s="56">
        <v>2410</v>
      </c>
      <c r="K47" s="59">
        <f>SUM(M47:M49)/J74</f>
        <v>2.2166457549142617E-2</v>
      </c>
      <c r="L47" s="55" t="s">
        <v>46</v>
      </c>
      <c r="M47" s="56">
        <v>2128</v>
      </c>
      <c r="N47" s="47"/>
      <c r="O47" s="12"/>
      <c r="P47" s="48"/>
      <c r="Q47" s="12"/>
      <c r="R47" s="12"/>
      <c r="S47" s="12"/>
      <c r="T47" s="12"/>
      <c r="U47" s="12"/>
      <c r="V47" s="12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  <c r="DN47" s="60"/>
      <c r="DO47" s="60"/>
      <c r="DP47" s="60"/>
      <c r="DQ47" s="60"/>
      <c r="DR47" s="60"/>
      <c r="DS47" s="60"/>
      <c r="DT47" s="60"/>
      <c r="DU47" s="60"/>
      <c r="DV47" s="60"/>
      <c r="DW47" s="60"/>
      <c r="DX47" s="60"/>
      <c r="DY47" s="60"/>
      <c r="DZ47" s="60"/>
      <c r="EA47" s="60"/>
      <c r="EB47" s="60"/>
      <c r="EC47" s="60"/>
      <c r="ED47" s="60"/>
      <c r="EE47" s="60"/>
      <c r="EF47" s="60"/>
      <c r="EG47" s="60"/>
      <c r="EH47" s="60"/>
      <c r="EI47" s="60"/>
      <c r="EJ47" s="60"/>
      <c r="EK47" s="60"/>
      <c r="EL47" s="60"/>
      <c r="EM47" s="60"/>
      <c r="EN47" s="60"/>
      <c r="EO47" s="60"/>
      <c r="EP47" s="60"/>
      <c r="EQ47" s="60"/>
      <c r="ER47" s="60"/>
      <c r="ES47" s="60"/>
      <c r="ET47" s="60"/>
      <c r="EU47" s="60"/>
      <c r="EV47" s="60"/>
      <c r="EW47" s="60"/>
      <c r="EX47" s="60"/>
      <c r="EY47" s="60"/>
      <c r="EZ47" s="60"/>
      <c r="FA47" s="60"/>
      <c r="FB47" s="60"/>
      <c r="FC47" s="60"/>
      <c r="FD47" s="60"/>
      <c r="FE47" s="60"/>
      <c r="FF47" s="60"/>
      <c r="FG47" s="60"/>
      <c r="FH47" s="60"/>
      <c r="FI47" s="60"/>
      <c r="FJ47" s="60"/>
      <c r="FK47" s="60"/>
      <c r="FL47" s="60"/>
      <c r="FM47" s="60"/>
      <c r="FN47" s="60"/>
      <c r="FO47" s="60"/>
      <c r="FP47" s="60"/>
      <c r="FQ47" s="60"/>
      <c r="FR47" s="60"/>
      <c r="FS47" s="60"/>
      <c r="FT47" s="60"/>
      <c r="FU47" s="60"/>
      <c r="FV47" s="60"/>
      <c r="FW47" s="60"/>
      <c r="FX47" s="60"/>
      <c r="FY47" s="60"/>
      <c r="FZ47" s="60"/>
      <c r="GA47" s="60"/>
      <c r="GB47" s="60"/>
      <c r="GC47" s="60"/>
      <c r="GD47" s="60"/>
      <c r="GE47" s="60"/>
      <c r="GF47" s="60"/>
      <c r="GG47" s="60"/>
      <c r="GH47" s="60"/>
      <c r="GI47" s="60"/>
      <c r="GJ47" s="60"/>
      <c r="GK47" s="60"/>
      <c r="GL47" s="60"/>
      <c r="GM47" s="60"/>
      <c r="GN47" s="60"/>
      <c r="GO47" s="60"/>
      <c r="GP47" s="60"/>
      <c r="GQ47" s="60"/>
      <c r="GR47" s="60"/>
      <c r="GS47" s="60"/>
      <c r="GT47" s="60"/>
      <c r="GU47" s="60"/>
      <c r="GV47" s="60"/>
      <c r="GW47" s="60"/>
      <c r="GX47" s="60"/>
      <c r="GY47" s="60"/>
      <c r="GZ47" s="60"/>
      <c r="HA47" s="60"/>
      <c r="HB47" s="60"/>
      <c r="HC47" s="60"/>
      <c r="HD47" s="60"/>
      <c r="HE47" s="60"/>
      <c r="HF47" s="60"/>
      <c r="HG47" s="60"/>
      <c r="HH47" s="60"/>
      <c r="HI47" s="60"/>
      <c r="HJ47" s="60"/>
      <c r="HK47" s="60"/>
      <c r="HL47" s="60"/>
      <c r="HM47" s="60"/>
      <c r="HN47" s="60"/>
      <c r="HO47" s="60"/>
      <c r="HP47" s="60"/>
      <c r="HQ47" s="60"/>
      <c r="HR47" s="60"/>
      <c r="HS47" s="60"/>
      <c r="HT47" s="60"/>
      <c r="HU47" s="60"/>
      <c r="HV47" s="60"/>
      <c r="HW47" s="60"/>
      <c r="HX47" s="60"/>
      <c r="HY47" s="60"/>
      <c r="HZ47" s="60"/>
      <c r="IA47" s="60"/>
      <c r="IB47" s="60"/>
      <c r="IC47" s="60"/>
      <c r="ID47" s="60"/>
      <c r="IE47" s="60"/>
      <c r="IF47" s="60"/>
      <c r="IG47" s="60"/>
      <c r="IH47" s="60"/>
      <c r="II47" s="60"/>
      <c r="IJ47" s="60"/>
      <c r="IK47" s="60"/>
      <c r="IL47" s="60"/>
      <c r="IM47" s="60"/>
      <c r="IN47" s="60"/>
      <c r="IO47" s="60"/>
      <c r="IP47" s="60"/>
      <c r="IQ47" s="60"/>
      <c r="IR47" s="60"/>
      <c r="IS47" s="60"/>
      <c r="IT47" s="60"/>
      <c r="IU47" s="60"/>
      <c r="IV47" s="60"/>
      <c r="IW47" s="60"/>
      <c r="IX47" s="60"/>
      <c r="IY47" s="60"/>
      <c r="IZ47" s="60"/>
      <c r="JA47" s="60"/>
      <c r="JB47" s="60"/>
      <c r="JC47" s="60"/>
      <c r="JD47" s="60"/>
      <c r="JE47" s="60"/>
      <c r="JF47" s="60"/>
      <c r="JG47" s="60"/>
      <c r="JH47" s="60"/>
      <c r="JI47" s="60"/>
      <c r="JJ47" s="60"/>
      <c r="JK47" s="60"/>
      <c r="JL47" s="60"/>
      <c r="JM47" s="60"/>
      <c r="JN47" s="60"/>
      <c r="JO47" s="60"/>
      <c r="JP47" s="60"/>
      <c r="JQ47" s="60"/>
      <c r="JR47" s="60"/>
      <c r="JS47" s="60"/>
      <c r="JT47" s="60"/>
      <c r="JU47" s="60"/>
      <c r="JV47" s="60"/>
      <c r="JW47" s="60"/>
      <c r="JX47" s="60"/>
      <c r="JY47" s="60"/>
      <c r="JZ47" s="60"/>
      <c r="KA47" s="60"/>
      <c r="KB47" s="60"/>
      <c r="KC47" s="60"/>
      <c r="KD47" s="60"/>
      <c r="KE47" s="60"/>
      <c r="KF47" s="60"/>
      <c r="KG47" s="60"/>
      <c r="KH47" s="60"/>
      <c r="KI47" s="60"/>
      <c r="KJ47" s="60"/>
      <c r="KK47" s="60"/>
      <c r="KL47" s="60"/>
      <c r="KM47" s="60"/>
      <c r="KN47" s="60"/>
      <c r="KO47" s="60"/>
      <c r="KP47" s="60"/>
      <c r="KQ47" s="60"/>
      <c r="KR47" s="60"/>
      <c r="KS47" s="60"/>
      <c r="KT47" s="60"/>
      <c r="KU47" s="60"/>
      <c r="KV47" s="60"/>
      <c r="KW47" s="60"/>
      <c r="KX47" s="60"/>
      <c r="KY47" s="60"/>
      <c r="KZ47" s="60"/>
      <c r="LA47" s="60"/>
      <c r="LB47" s="60"/>
      <c r="LC47" s="60"/>
      <c r="LD47" s="60"/>
      <c r="LE47" s="60"/>
      <c r="LF47" s="60"/>
      <c r="LG47" s="60"/>
      <c r="LH47" s="60"/>
      <c r="LI47" s="60"/>
      <c r="LJ47" s="60"/>
      <c r="LK47" s="60"/>
      <c r="LL47" s="60"/>
      <c r="LM47" s="60"/>
      <c r="LN47" s="60"/>
      <c r="LO47" s="60"/>
      <c r="LP47" s="60"/>
      <c r="LQ47" s="60"/>
      <c r="LR47" s="60"/>
      <c r="LS47" s="60"/>
      <c r="LT47" s="60"/>
      <c r="LU47" s="60"/>
      <c r="LV47" s="60"/>
      <c r="LW47" s="60"/>
      <c r="LX47" s="60"/>
      <c r="LY47" s="60"/>
      <c r="LZ47" s="60"/>
      <c r="MA47" s="60"/>
      <c r="MB47" s="60"/>
      <c r="MC47" s="60"/>
      <c r="MD47" s="60"/>
      <c r="ME47" s="60"/>
      <c r="MF47" s="60"/>
      <c r="MG47" s="60"/>
      <c r="MH47" s="60"/>
      <c r="MI47" s="60"/>
      <c r="MJ47" s="60"/>
      <c r="MK47" s="60"/>
      <c r="ML47" s="60"/>
      <c r="MM47" s="60"/>
      <c r="MN47" s="60"/>
      <c r="MO47" s="60"/>
      <c r="MP47" s="60"/>
      <c r="MQ47" s="60"/>
      <c r="MR47" s="60"/>
      <c r="MS47" s="60"/>
      <c r="MT47" s="60"/>
      <c r="MU47" s="60"/>
      <c r="MV47" s="60"/>
      <c r="MW47" s="60"/>
      <c r="MX47" s="60"/>
      <c r="MY47" s="60"/>
      <c r="MZ47" s="60"/>
      <c r="NA47" s="60"/>
      <c r="NB47" s="60"/>
      <c r="NC47" s="60"/>
      <c r="ND47" s="60"/>
      <c r="NE47" s="60"/>
      <c r="NF47" s="60"/>
      <c r="NG47" s="60"/>
      <c r="NH47" s="60"/>
      <c r="NI47" s="60"/>
      <c r="NJ47" s="60"/>
      <c r="NK47" s="60"/>
      <c r="NL47" s="60"/>
      <c r="NM47" s="60"/>
      <c r="NN47" s="60"/>
      <c r="NO47" s="60"/>
      <c r="NP47" s="60"/>
      <c r="NQ47" s="60"/>
      <c r="NR47" s="60"/>
      <c r="NS47" s="60"/>
      <c r="NT47" s="60"/>
      <c r="NU47" s="60"/>
      <c r="NV47" s="60"/>
      <c r="NW47" s="60"/>
      <c r="NX47" s="60"/>
      <c r="NY47" s="60"/>
      <c r="NZ47" s="60"/>
      <c r="OA47" s="60"/>
      <c r="OB47" s="60"/>
      <c r="OC47" s="60"/>
      <c r="OD47" s="60"/>
      <c r="OE47" s="60"/>
      <c r="OF47" s="60"/>
      <c r="OG47" s="60"/>
      <c r="OH47" s="60"/>
      <c r="OI47" s="60"/>
      <c r="OJ47" s="60"/>
      <c r="OK47" s="60"/>
      <c r="OL47" s="60"/>
      <c r="OM47" s="60"/>
      <c r="ON47" s="60"/>
      <c r="OO47" s="60"/>
      <c r="OP47" s="60"/>
      <c r="OQ47" s="60"/>
      <c r="OR47" s="60"/>
      <c r="OS47" s="60"/>
      <c r="OT47" s="60"/>
      <c r="OU47" s="60"/>
      <c r="OV47" s="60"/>
      <c r="OW47" s="60"/>
      <c r="OX47" s="60"/>
      <c r="OY47" s="60"/>
      <c r="OZ47" s="60"/>
      <c r="PA47" s="60"/>
      <c r="PB47" s="60"/>
      <c r="PC47" s="60"/>
      <c r="PD47" s="60"/>
      <c r="PE47" s="60"/>
      <c r="PF47" s="60"/>
      <c r="PG47" s="60"/>
      <c r="PH47" s="60"/>
      <c r="PI47" s="60"/>
      <c r="PJ47" s="60"/>
      <c r="PK47" s="60"/>
      <c r="PL47" s="60"/>
      <c r="PM47" s="60"/>
      <c r="PN47" s="60"/>
      <c r="PO47" s="60"/>
      <c r="PP47" s="60"/>
      <c r="PQ47" s="60"/>
      <c r="PR47" s="60"/>
      <c r="PS47" s="60"/>
      <c r="PT47" s="60"/>
      <c r="PU47" s="60"/>
      <c r="PV47" s="60"/>
      <c r="PW47" s="60"/>
      <c r="PX47" s="60"/>
      <c r="PY47" s="60"/>
      <c r="PZ47" s="60"/>
      <c r="QA47" s="60"/>
      <c r="QB47" s="60"/>
      <c r="QC47" s="60"/>
      <c r="QD47" s="60"/>
      <c r="QE47" s="60"/>
      <c r="QF47" s="60"/>
      <c r="QG47" s="60"/>
      <c r="QH47" s="60"/>
      <c r="QI47" s="60"/>
      <c r="QJ47" s="60"/>
      <c r="QK47" s="60"/>
      <c r="QL47" s="60"/>
      <c r="QM47" s="60"/>
      <c r="QN47" s="60"/>
      <c r="QO47" s="60"/>
      <c r="QP47" s="60"/>
      <c r="QQ47" s="60"/>
      <c r="QR47" s="60"/>
      <c r="QS47" s="60"/>
      <c r="QT47" s="60"/>
      <c r="QU47" s="60"/>
      <c r="QV47" s="60"/>
      <c r="QW47" s="60"/>
      <c r="QX47" s="60"/>
      <c r="QY47" s="60"/>
      <c r="QZ47" s="60"/>
      <c r="RA47" s="60"/>
      <c r="RB47" s="60"/>
      <c r="RC47" s="60"/>
      <c r="RD47" s="60"/>
      <c r="RE47" s="60"/>
      <c r="RF47" s="60"/>
      <c r="RG47" s="60"/>
      <c r="RH47" s="60"/>
      <c r="RI47" s="60"/>
      <c r="RJ47" s="60"/>
      <c r="RK47" s="60"/>
      <c r="RL47" s="60"/>
      <c r="RM47" s="60"/>
      <c r="RN47" s="60"/>
      <c r="RO47" s="60"/>
      <c r="RP47" s="60"/>
      <c r="RQ47" s="60"/>
      <c r="RR47" s="60"/>
      <c r="RS47" s="60"/>
      <c r="RT47" s="60"/>
      <c r="RU47" s="60"/>
      <c r="RV47" s="60"/>
      <c r="RW47" s="60"/>
      <c r="RX47" s="60"/>
      <c r="RY47" s="60"/>
      <c r="RZ47" s="60"/>
      <c r="SA47" s="60"/>
      <c r="SB47" s="60"/>
      <c r="SC47" s="60"/>
      <c r="SD47" s="60"/>
      <c r="SE47" s="60"/>
      <c r="SF47" s="60"/>
      <c r="SG47" s="60"/>
      <c r="SH47" s="60"/>
      <c r="SI47" s="60"/>
      <c r="SJ47" s="60"/>
      <c r="SK47" s="60"/>
      <c r="SL47" s="60"/>
      <c r="SM47" s="60"/>
      <c r="SN47" s="60"/>
      <c r="SO47" s="60"/>
      <c r="SP47" s="60"/>
      <c r="SQ47" s="60"/>
      <c r="SR47" s="60"/>
      <c r="SS47" s="60"/>
      <c r="ST47" s="60"/>
      <c r="SU47" s="60"/>
      <c r="SV47" s="60"/>
      <c r="SW47" s="60"/>
      <c r="SX47" s="60"/>
      <c r="SY47" s="60"/>
      <c r="SZ47" s="60"/>
      <c r="TA47" s="60"/>
      <c r="TB47" s="60"/>
      <c r="TC47" s="60"/>
      <c r="TD47" s="60"/>
      <c r="TE47" s="60"/>
      <c r="TF47" s="60"/>
      <c r="TG47" s="60"/>
      <c r="TH47" s="60"/>
      <c r="TI47" s="60"/>
      <c r="TJ47" s="60"/>
      <c r="TK47" s="60"/>
      <c r="TL47" s="60"/>
      <c r="TM47" s="60"/>
      <c r="TN47" s="60"/>
      <c r="TO47" s="60"/>
      <c r="TP47" s="60"/>
      <c r="TQ47" s="60"/>
      <c r="TR47" s="60"/>
      <c r="TS47" s="60"/>
      <c r="TT47" s="60"/>
      <c r="TU47" s="60"/>
      <c r="TV47" s="60"/>
      <c r="TW47" s="60"/>
      <c r="TX47" s="60"/>
      <c r="TY47" s="60"/>
      <c r="TZ47" s="60"/>
      <c r="UA47" s="60"/>
      <c r="UB47" s="60"/>
      <c r="UC47" s="60"/>
      <c r="UD47" s="60"/>
      <c r="UE47" s="60"/>
      <c r="UF47" s="60"/>
      <c r="UG47" s="60"/>
      <c r="UH47" s="60"/>
      <c r="UI47" s="60"/>
      <c r="UJ47" s="60"/>
      <c r="UK47" s="60"/>
      <c r="UL47" s="60"/>
      <c r="UM47" s="60"/>
      <c r="UN47" s="60"/>
      <c r="UO47" s="60"/>
      <c r="UP47" s="60"/>
      <c r="UQ47" s="60"/>
      <c r="UR47" s="60"/>
      <c r="US47" s="60"/>
      <c r="UT47" s="60"/>
      <c r="UU47" s="60"/>
      <c r="UV47" s="60"/>
      <c r="UW47" s="60"/>
      <c r="UX47" s="60"/>
      <c r="UY47" s="60"/>
      <c r="UZ47" s="60"/>
      <c r="VA47" s="60"/>
      <c r="VB47" s="60"/>
      <c r="VC47" s="60"/>
      <c r="VD47" s="60"/>
      <c r="VE47" s="60"/>
      <c r="VF47" s="60"/>
      <c r="VG47" s="60"/>
      <c r="VH47" s="60"/>
      <c r="VI47" s="60"/>
      <c r="VJ47" s="60"/>
      <c r="VK47" s="60"/>
      <c r="VL47" s="60"/>
      <c r="VM47" s="60"/>
      <c r="VN47" s="60"/>
      <c r="VO47" s="60"/>
      <c r="VP47" s="60"/>
      <c r="VQ47" s="60"/>
      <c r="VR47" s="60"/>
      <c r="VS47" s="60"/>
      <c r="VT47" s="60"/>
      <c r="VU47" s="60"/>
      <c r="VV47" s="60"/>
      <c r="VW47" s="60"/>
      <c r="VX47" s="60"/>
      <c r="VY47" s="60"/>
      <c r="VZ47" s="60"/>
      <c r="WA47" s="60"/>
      <c r="WB47" s="60"/>
      <c r="WC47" s="60"/>
      <c r="WD47" s="60"/>
      <c r="WE47" s="60"/>
      <c r="WF47" s="60"/>
      <c r="WG47" s="60"/>
      <c r="WH47" s="60"/>
      <c r="WI47" s="60"/>
      <c r="WJ47" s="60"/>
      <c r="WK47" s="60"/>
      <c r="WL47" s="60"/>
      <c r="WM47" s="60"/>
      <c r="WN47" s="60"/>
      <c r="WO47" s="60"/>
      <c r="WP47" s="60"/>
      <c r="WQ47" s="60"/>
      <c r="WR47" s="60"/>
      <c r="WS47" s="60"/>
      <c r="WT47" s="60"/>
      <c r="WU47" s="60"/>
      <c r="WV47" s="60"/>
      <c r="WW47" s="60"/>
      <c r="WX47" s="60"/>
      <c r="WY47" s="60"/>
      <c r="WZ47" s="60"/>
      <c r="XA47" s="60"/>
      <c r="XB47" s="60"/>
      <c r="XC47" s="60"/>
      <c r="XD47" s="60"/>
      <c r="XE47" s="60"/>
      <c r="XF47" s="60"/>
      <c r="XG47" s="60"/>
      <c r="XH47" s="60"/>
      <c r="XI47" s="60"/>
      <c r="XJ47" s="60"/>
      <c r="XK47" s="60"/>
      <c r="XL47" s="60"/>
      <c r="XM47" s="60"/>
      <c r="XN47" s="60"/>
      <c r="XO47" s="60"/>
      <c r="XP47" s="60"/>
      <c r="XQ47" s="60"/>
      <c r="XR47" s="60"/>
      <c r="XS47" s="60"/>
      <c r="XT47" s="60"/>
      <c r="XU47" s="60"/>
      <c r="XV47" s="60"/>
      <c r="XW47" s="60"/>
      <c r="XX47" s="60"/>
      <c r="XY47" s="60"/>
      <c r="XZ47" s="60"/>
      <c r="YA47" s="60"/>
      <c r="YB47" s="60"/>
      <c r="YC47" s="60"/>
      <c r="YD47" s="60"/>
      <c r="YE47" s="60"/>
      <c r="YF47" s="60"/>
      <c r="YG47" s="60"/>
      <c r="YH47" s="60"/>
      <c r="YI47" s="60"/>
      <c r="YJ47" s="60"/>
      <c r="YK47" s="60"/>
      <c r="YL47" s="60"/>
      <c r="YM47" s="60"/>
      <c r="YN47" s="60"/>
      <c r="YO47" s="60"/>
      <c r="YP47" s="60"/>
      <c r="YQ47" s="60"/>
      <c r="YR47" s="60"/>
      <c r="YS47" s="60"/>
      <c r="YT47" s="60"/>
      <c r="YU47" s="60"/>
      <c r="YV47" s="60"/>
      <c r="YW47" s="60"/>
      <c r="YX47" s="60"/>
      <c r="YY47" s="60"/>
      <c r="YZ47" s="60"/>
      <c r="ZA47" s="60"/>
      <c r="ZB47" s="60"/>
      <c r="ZC47" s="60"/>
      <c r="ZD47" s="60"/>
      <c r="ZE47" s="60"/>
      <c r="ZF47" s="60"/>
      <c r="ZG47" s="60"/>
      <c r="ZH47" s="60"/>
      <c r="ZI47" s="60"/>
      <c r="ZJ47" s="60"/>
      <c r="ZK47" s="60"/>
      <c r="ZL47" s="60"/>
      <c r="ZM47" s="60"/>
      <c r="ZN47" s="60"/>
      <c r="ZO47" s="60"/>
      <c r="ZP47" s="60"/>
      <c r="ZQ47" s="60"/>
      <c r="ZR47" s="60"/>
      <c r="ZS47" s="60"/>
      <c r="ZT47" s="60"/>
      <c r="ZU47" s="60"/>
      <c r="ZV47" s="60"/>
      <c r="ZW47" s="60"/>
      <c r="ZX47" s="60"/>
      <c r="ZY47" s="60"/>
      <c r="ZZ47" s="60"/>
      <c r="AAA47" s="60"/>
      <c r="AAB47" s="60"/>
      <c r="AAC47" s="60"/>
      <c r="AAD47" s="60"/>
      <c r="AAE47" s="60"/>
      <c r="AAF47" s="60"/>
      <c r="AAG47" s="60"/>
      <c r="AAH47" s="60"/>
      <c r="AAI47" s="60"/>
      <c r="AAJ47" s="60"/>
      <c r="AAK47" s="60"/>
      <c r="AAL47" s="60"/>
      <c r="AAM47" s="60"/>
      <c r="AAN47" s="60"/>
      <c r="AAO47" s="60"/>
      <c r="AAP47" s="60"/>
      <c r="AAQ47" s="60"/>
      <c r="AAR47" s="60"/>
      <c r="AAS47" s="60"/>
      <c r="AAT47" s="60"/>
      <c r="AAU47" s="60"/>
      <c r="AAV47" s="60"/>
      <c r="AAW47" s="60"/>
      <c r="AAX47" s="60"/>
      <c r="AAY47" s="60"/>
      <c r="AAZ47" s="60"/>
      <c r="ABA47" s="60"/>
      <c r="ABB47" s="60"/>
      <c r="ABC47" s="60"/>
      <c r="ABD47" s="60"/>
      <c r="ABE47" s="60"/>
      <c r="ABF47" s="60"/>
      <c r="ABG47" s="60"/>
      <c r="ABH47" s="60"/>
      <c r="ABI47" s="60"/>
      <c r="ABJ47" s="60"/>
      <c r="ABK47" s="60"/>
      <c r="ABL47" s="60"/>
      <c r="ABM47" s="60"/>
      <c r="ABN47" s="60"/>
      <c r="ABO47" s="60"/>
      <c r="ABP47" s="60"/>
      <c r="ABQ47" s="60"/>
      <c r="ABR47" s="60"/>
      <c r="ABS47" s="60"/>
      <c r="ABT47" s="60"/>
      <c r="ABU47" s="60"/>
      <c r="ABV47" s="60"/>
      <c r="ABW47" s="60"/>
      <c r="ABX47" s="60"/>
      <c r="ABY47" s="60"/>
      <c r="ABZ47" s="60"/>
      <c r="ACA47" s="60"/>
      <c r="ACB47" s="60"/>
      <c r="ACC47" s="60"/>
      <c r="ACD47" s="60"/>
      <c r="ACE47" s="60"/>
      <c r="ACF47" s="60"/>
      <c r="ACG47" s="60"/>
      <c r="ACH47" s="60"/>
      <c r="ACI47" s="60"/>
      <c r="ACJ47" s="60"/>
      <c r="ACK47" s="60"/>
      <c r="ACL47" s="60"/>
      <c r="ACM47" s="60"/>
      <c r="ACN47" s="60"/>
      <c r="ACO47" s="60"/>
      <c r="ACP47" s="60"/>
      <c r="ACQ47" s="60"/>
      <c r="ACR47" s="60"/>
      <c r="ACS47" s="60"/>
      <c r="ACT47" s="60"/>
      <c r="ACU47" s="60"/>
      <c r="ACV47" s="60"/>
      <c r="ACW47" s="60"/>
      <c r="ACX47" s="60"/>
      <c r="ACY47" s="60"/>
      <c r="ACZ47" s="60"/>
      <c r="ADA47" s="60"/>
      <c r="ADB47" s="60"/>
      <c r="ADC47" s="60"/>
      <c r="ADD47" s="60"/>
      <c r="ADE47" s="60"/>
      <c r="ADF47" s="60"/>
      <c r="ADG47" s="60"/>
      <c r="ADH47" s="60"/>
      <c r="ADI47" s="60"/>
      <c r="ADJ47" s="60"/>
      <c r="ADK47" s="60"/>
      <c r="ADL47" s="60"/>
      <c r="ADM47" s="60"/>
      <c r="ADN47" s="60"/>
      <c r="ADO47" s="60"/>
      <c r="ADP47" s="60"/>
      <c r="ADQ47" s="60"/>
      <c r="ADR47" s="60"/>
      <c r="ADS47" s="60"/>
      <c r="ADT47" s="60"/>
      <c r="ADU47" s="60"/>
      <c r="ADV47" s="60"/>
      <c r="ADW47" s="60"/>
      <c r="ADX47" s="60"/>
      <c r="ADY47" s="60"/>
      <c r="ADZ47" s="60"/>
      <c r="AEA47" s="60"/>
      <c r="AEB47" s="60"/>
      <c r="AEC47" s="60"/>
      <c r="AED47" s="60"/>
      <c r="AEE47" s="60"/>
      <c r="AEF47" s="60"/>
      <c r="AEG47" s="60"/>
      <c r="AEH47" s="60"/>
      <c r="AEI47" s="60"/>
      <c r="AEJ47" s="60"/>
      <c r="AEK47" s="60"/>
      <c r="AEL47" s="60"/>
      <c r="AEM47" s="60"/>
      <c r="AEN47" s="60"/>
      <c r="AEO47" s="60"/>
      <c r="AEP47" s="60"/>
      <c r="AEQ47" s="60"/>
      <c r="AER47" s="60"/>
      <c r="AES47" s="60"/>
      <c r="AET47" s="60"/>
      <c r="AEU47" s="60"/>
      <c r="AEV47" s="60"/>
    </row>
    <row r="48" spans="1:828" s="27" customFormat="1" ht="18" x14ac:dyDescent="0.2">
      <c r="A48" s="62"/>
      <c r="D48" s="29"/>
      <c r="E48" s="23"/>
      <c r="F48" s="27" t="s">
        <v>47</v>
      </c>
      <c r="G48" s="29">
        <v>36</v>
      </c>
      <c r="H48" s="30"/>
      <c r="K48" s="30"/>
      <c r="L48" s="23" t="s">
        <v>47</v>
      </c>
      <c r="M48" s="29">
        <v>134</v>
      </c>
      <c r="N48" s="47"/>
      <c r="O48" s="12"/>
      <c r="P48" s="48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2"/>
      <c r="JG48" s="12"/>
      <c r="JH48" s="12"/>
      <c r="JI48" s="12"/>
      <c r="JJ48" s="12"/>
      <c r="JK48" s="12"/>
      <c r="JL48" s="12"/>
      <c r="JM48" s="12"/>
      <c r="JN48" s="12"/>
      <c r="JO48" s="12"/>
      <c r="JP48" s="12"/>
      <c r="JQ48" s="12"/>
      <c r="JR48" s="12"/>
      <c r="JS48" s="12"/>
      <c r="JT48" s="12"/>
      <c r="JU48" s="12"/>
      <c r="JV48" s="12"/>
      <c r="JW48" s="12"/>
      <c r="JX48" s="12"/>
      <c r="JY48" s="12"/>
      <c r="JZ48" s="12"/>
      <c r="KA48" s="12"/>
      <c r="KB48" s="12"/>
      <c r="KC48" s="12"/>
      <c r="KD48" s="12"/>
      <c r="KE48" s="12"/>
      <c r="KF48" s="12"/>
      <c r="KG48" s="12"/>
      <c r="KH48" s="12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2"/>
      <c r="KT48" s="12"/>
      <c r="KU48" s="12"/>
      <c r="KV48" s="12"/>
      <c r="KW48" s="12"/>
      <c r="KX48" s="12"/>
      <c r="KY48" s="12"/>
      <c r="KZ48" s="12"/>
      <c r="LA48" s="12"/>
      <c r="LB48" s="12"/>
      <c r="LC48" s="12"/>
      <c r="LD48" s="12"/>
      <c r="LE48" s="12"/>
      <c r="LF48" s="12"/>
      <c r="LG48" s="12"/>
      <c r="LH48" s="12"/>
      <c r="LI48" s="12"/>
      <c r="LJ48" s="12"/>
      <c r="LK48" s="12"/>
      <c r="LL48" s="12"/>
      <c r="LM48" s="12"/>
      <c r="LN48" s="12"/>
      <c r="LO48" s="12"/>
      <c r="LP48" s="12"/>
      <c r="LQ48" s="12"/>
      <c r="LR48" s="12"/>
      <c r="LS48" s="12"/>
      <c r="LT48" s="12"/>
      <c r="LU48" s="12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2"/>
      <c r="MG48" s="12"/>
      <c r="MH48" s="12"/>
      <c r="MI48" s="12"/>
      <c r="MJ48" s="12"/>
      <c r="MK48" s="12"/>
      <c r="ML48" s="12"/>
      <c r="MM48" s="12"/>
      <c r="MN48" s="12"/>
      <c r="MO48" s="12"/>
      <c r="MP48" s="12"/>
      <c r="MQ48" s="12"/>
      <c r="MR48" s="12"/>
      <c r="MS48" s="12"/>
      <c r="MT48" s="12"/>
      <c r="MU48" s="12"/>
      <c r="MV48" s="12"/>
      <c r="MW48" s="12"/>
      <c r="MX48" s="12"/>
      <c r="MY48" s="12"/>
      <c r="MZ48" s="12"/>
      <c r="NA48" s="12"/>
      <c r="NB48" s="12"/>
      <c r="NC48" s="12"/>
      <c r="ND48" s="12"/>
      <c r="NE48" s="12"/>
      <c r="NF48" s="12"/>
      <c r="NG48" s="12"/>
      <c r="NH48" s="12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2"/>
      <c r="NT48" s="12"/>
      <c r="NU48" s="12"/>
      <c r="NV48" s="12"/>
      <c r="NW48" s="12"/>
      <c r="NX48" s="12"/>
      <c r="NY48" s="12"/>
      <c r="NZ48" s="12"/>
      <c r="OA48" s="12"/>
      <c r="OB48" s="12"/>
      <c r="OC48" s="12"/>
      <c r="OD48" s="12"/>
      <c r="OE48" s="12"/>
      <c r="OF48" s="12"/>
      <c r="OG48" s="12"/>
      <c r="OH48" s="12"/>
      <c r="OI48" s="12"/>
      <c r="OJ48" s="12"/>
      <c r="OK48" s="12"/>
      <c r="OL48" s="12"/>
      <c r="OM48" s="12"/>
      <c r="ON48" s="12"/>
      <c r="OO48" s="12"/>
      <c r="OP48" s="12"/>
      <c r="OQ48" s="12"/>
      <c r="OR48" s="12"/>
      <c r="OS48" s="12"/>
      <c r="OT48" s="12"/>
      <c r="OU48" s="12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2"/>
      <c r="PG48" s="12"/>
      <c r="PH48" s="12"/>
      <c r="PI48" s="12"/>
      <c r="PJ48" s="12"/>
      <c r="PK48" s="12"/>
      <c r="PL48" s="12"/>
      <c r="PM48" s="12"/>
      <c r="PN48" s="12"/>
      <c r="PO48" s="12"/>
      <c r="PP48" s="12"/>
      <c r="PQ48" s="12"/>
      <c r="PR48" s="12"/>
      <c r="PS48" s="12"/>
      <c r="PT48" s="12"/>
      <c r="PU48" s="12"/>
      <c r="PV48" s="12"/>
      <c r="PW48" s="12"/>
      <c r="PX48" s="12"/>
      <c r="PY48" s="12"/>
      <c r="PZ48" s="12"/>
      <c r="QA48" s="12"/>
      <c r="QB48" s="12"/>
      <c r="QC48" s="12"/>
      <c r="QD48" s="12"/>
      <c r="QE48" s="12"/>
      <c r="QF48" s="12"/>
      <c r="QG48" s="12"/>
      <c r="QH48" s="12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2"/>
      <c r="QT48" s="12"/>
      <c r="QU48" s="12"/>
      <c r="QV48" s="12"/>
      <c r="QW48" s="12"/>
      <c r="QX48" s="12"/>
      <c r="QY48" s="12"/>
      <c r="QZ48" s="12"/>
      <c r="RA48" s="12"/>
      <c r="RB48" s="12"/>
      <c r="RC48" s="12"/>
      <c r="RD48" s="12"/>
      <c r="RE48" s="12"/>
      <c r="RF48" s="12"/>
      <c r="RG48" s="12"/>
      <c r="RH48" s="12"/>
      <c r="RI48" s="12"/>
      <c r="RJ48" s="12"/>
      <c r="RK48" s="12"/>
      <c r="RL48" s="12"/>
      <c r="RM48" s="12"/>
      <c r="RN48" s="12"/>
      <c r="RO48" s="12"/>
      <c r="RP48" s="12"/>
      <c r="RQ48" s="12"/>
      <c r="RR48" s="12"/>
      <c r="RS48" s="12"/>
      <c r="RT48" s="12"/>
      <c r="RU48" s="12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2"/>
      <c r="SG48" s="12"/>
      <c r="SH48" s="12"/>
      <c r="SI48" s="12"/>
      <c r="SJ48" s="12"/>
      <c r="SK48" s="12"/>
      <c r="SL48" s="12"/>
      <c r="SM48" s="12"/>
      <c r="SN48" s="12"/>
      <c r="SO48" s="12"/>
      <c r="SP48" s="12"/>
      <c r="SQ48" s="12"/>
      <c r="SR48" s="12"/>
      <c r="SS48" s="12"/>
      <c r="ST48" s="12"/>
      <c r="SU48" s="12"/>
      <c r="SV48" s="12"/>
      <c r="SW48" s="12"/>
      <c r="SX48" s="12"/>
      <c r="SY48" s="12"/>
      <c r="SZ48" s="12"/>
      <c r="TA48" s="12"/>
      <c r="TB48" s="12"/>
      <c r="TC48" s="12"/>
      <c r="TD48" s="12"/>
      <c r="TE48" s="12"/>
      <c r="TF48" s="12"/>
      <c r="TG48" s="12"/>
      <c r="TH48" s="12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2"/>
      <c r="TT48" s="12"/>
      <c r="TU48" s="12"/>
      <c r="TV48" s="12"/>
      <c r="TW48" s="12"/>
      <c r="TX48" s="12"/>
      <c r="TY48" s="12"/>
      <c r="TZ48" s="12"/>
      <c r="UA48" s="12"/>
      <c r="UB48" s="12"/>
      <c r="UC48" s="12"/>
      <c r="UD48" s="12"/>
      <c r="UE48" s="12"/>
      <c r="UF48" s="12"/>
      <c r="UG48" s="12"/>
      <c r="UH48" s="12"/>
      <c r="UI48" s="12"/>
      <c r="UJ48" s="12"/>
      <c r="UK48" s="12"/>
      <c r="UL48" s="12"/>
      <c r="UM48" s="12"/>
      <c r="UN48" s="12"/>
      <c r="UO48" s="12"/>
      <c r="UP48" s="12"/>
      <c r="UQ48" s="12"/>
      <c r="UR48" s="12"/>
      <c r="US48" s="12"/>
      <c r="UT48" s="12"/>
      <c r="UU48" s="12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2"/>
      <c r="VG48" s="12"/>
      <c r="VH48" s="12"/>
      <c r="VI48" s="12"/>
      <c r="VJ48" s="12"/>
      <c r="VK48" s="12"/>
      <c r="VL48" s="12"/>
      <c r="VM48" s="12"/>
      <c r="VN48" s="12"/>
      <c r="VO48" s="12"/>
      <c r="VP48" s="12"/>
      <c r="VQ48" s="12"/>
      <c r="VR48" s="12"/>
      <c r="VS48" s="12"/>
      <c r="VT48" s="12"/>
      <c r="VU48" s="12"/>
      <c r="VV48" s="12"/>
      <c r="VW48" s="12"/>
      <c r="VX48" s="12"/>
      <c r="VY48" s="12"/>
      <c r="VZ48" s="12"/>
      <c r="WA48" s="12"/>
      <c r="WB48" s="12"/>
      <c r="WC48" s="12"/>
      <c r="WD48" s="12"/>
      <c r="WE48" s="12"/>
      <c r="WF48" s="12"/>
      <c r="WG48" s="12"/>
      <c r="WH48" s="12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2"/>
      <c r="WT48" s="12"/>
      <c r="WU48" s="12"/>
      <c r="WV48" s="12"/>
      <c r="WW48" s="12"/>
      <c r="WX48" s="12"/>
      <c r="WY48" s="12"/>
      <c r="WZ48" s="12"/>
      <c r="XA48" s="12"/>
      <c r="XB48" s="12"/>
      <c r="XC48" s="12"/>
      <c r="XD48" s="12"/>
      <c r="XE48" s="12"/>
      <c r="XF48" s="12"/>
      <c r="XG48" s="12"/>
      <c r="XH48" s="12"/>
      <c r="XI48" s="12"/>
      <c r="XJ48" s="12"/>
      <c r="XK48" s="12"/>
      <c r="XL48" s="12"/>
      <c r="XM48" s="12"/>
      <c r="XN48" s="12"/>
      <c r="XO48" s="12"/>
      <c r="XP48" s="12"/>
      <c r="XQ48" s="12"/>
      <c r="XR48" s="12"/>
      <c r="XS48" s="12"/>
      <c r="XT48" s="12"/>
      <c r="XU48" s="12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2"/>
      <c r="YG48" s="12"/>
      <c r="YH48" s="12"/>
      <c r="YI48" s="12"/>
      <c r="YJ48" s="12"/>
      <c r="YK48" s="12"/>
      <c r="YL48" s="12"/>
      <c r="YM48" s="12"/>
      <c r="YN48" s="12"/>
      <c r="YO48" s="12"/>
      <c r="YP48" s="12"/>
      <c r="YQ48" s="12"/>
      <c r="YR48" s="12"/>
      <c r="YS48" s="12"/>
      <c r="YT48" s="12"/>
      <c r="YU48" s="12"/>
      <c r="YV48" s="12"/>
      <c r="YW48" s="12"/>
      <c r="YX48" s="12"/>
      <c r="YY48" s="12"/>
      <c r="YZ48" s="12"/>
      <c r="ZA48" s="12"/>
      <c r="ZB48" s="12"/>
      <c r="ZC48" s="12"/>
      <c r="ZD48" s="12"/>
      <c r="ZE48" s="12"/>
      <c r="ZF48" s="12"/>
      <c r="ZG48" s="12"/>
      <c r="ZH48" s="12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2"/>
      <c r="ZT48" s="12"/>
      <c r="ZU48" s="12"/>
      <c r="ZV48" s="12"/>
      <c r="ZW48" s="12"/>
      <c r="ZX48" s="12"/>
      <c r="ZY48" s="12"/>
      <c r="ZZ48" s="12"/>
      <c r="AAA48" s="12"/>
      <c r="AAB48" s="12"/>
      <c r="AAC48" s="12"/>
      <c r="AAD48" s="12"/>
      <c r="AAE48" s="12"/>
      <c r="AAF48" s="12"/>
      <c r="AAG48" s="12"/>
      <c r="AAH48" s="12"/>
      <c r="AAI48" s="12"/>
      <c r="AAJ48" s="12"/>
      <c r="AAK48" s="12"/>
      <c r="AAL48" s="12"/>
      <c r="AAM48" s="12"/>
      <c r="AAN48" s="12"/>
      <c r="AAO48" s="12"/>
      <c r="AAP48" s="12"/>
      <c r="AAQ48" s="12"/>
      <c r="AAR48" s="12"/>
      <c r="AAS48" s="12"/>
      <c r="AAT48" s="12"/>
      <c r="AAU48" s="12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2"/>
      <c r="ABG48" s="12"/>
      <c r="ABH48" s="12"/>
      <c r="ABI48" s="12"/>
      <c r="ABJ48" s="12"/>
      <c r="ABK48" s="12"/>
      <c r="ABL48" s="12"/>
      <c r="ABM48" s="12"/>
      <c r="ABN48" s="12"/>
      <c r="ABO48" s="12"/>
      <c r="ABP48" s="12"/>
      <c r="ABQ48" s="12"/>
      <c r="ABR48" s="12"/>
      <c r="ABS48" s="12"/>
      <c r="ABT48" s="12"/>
      <c r="ABU48" s="12"/>
      <c r="ABV48" s="12"/>
      <c r="ABW48" s="12"/>
      <c r="ABX48" s="12"/>
      <c r="ABY48" s="12"/>
      <c r="ABZ48" s="12"/>
      <c r="ACA48" s="12"/>
      <c r="ACB48" s="12"/>
      <c r="ACC48" s="12"/>
      <c r="ACD48" s="12"/>
      <c r="ACE48" s="12"/>
      <c r="ACF48" s="12"/>
      <c r="ACG48" s="12"/>
      <c r="ACH48" s="12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2"/>
      <c r="ACT48" s="12"/>
      <c r="ACU48" s="12"/>
      <c r="ACV48" s="12"/>
      <c r="ACW48" s="12"/>
      <c r="ACX48" s="12"/>
      <c r="ACY48" s="12"/>
      <c r="ACZ48" s="12"/>
      <c r="ADA48" s="12"/>
      <c r="ADB48" s="12"/>
      <c r="ADC48" s="12"/>
      <c r="ADD48" s="12"/>
      <c r="ADE48" s="12"/>
      <c r="ADF48" s="12"/>
      <c r="ADG48" s="12"/>
      <c r="ADH48" s="12"/>
      <c r="ADI48" s="12"/>
      <c r="ADJ48" s="12"/>
      <c r="ADK48" s="12"/>
      <c r="ADL48" s="12"/>
      <c r="ADM48" s="12"/>
      <c r="ADN48" s="12"/>
      <c r="ADO48" s="12"/>
      <c r="ADP48" s="12"/>
      <c r="ADQ48" s="12"/>
      <c r="ADR48" s="12"/>
      <c r="ADS48" s="12"/>
      <c r="ADT48" s="12"/>
      <c r="ADU48" s="12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2"/>
      <c r="AEG48" s="12"/>
      <c r="AEH48" s="12"/>
      <c r="AEI48" s="12"/>
      <c r="AEJ48" s="12"/>
      <c r="AEK48" s="12"/>
      <c r="AEL48" s="12"/>
      <c r="AEM48" s="12"/>
      <c r="AEN48" s="12"/>
      <c r="AEO48" s="12"/>
      <c r="AEP48" s="12"/>
      <c r="AEQ48" s="12"/>
      <c r="AER48" s="12"/>
      <c r="AES48" s="12"/>
      <c r="AET48" s="12"/>
      <c r="AEU48" s="12"/>
      <c r="AEV48" s="12"/>
    </row>
    <row r="49" spans="1:828" s="27" customFormat="1" ht="18" x14ac:dyDescent="0.2">
      <c r="A49" s="62"/>
      <c r="D49" s="29"/>
      <c r="E49" s="23"/>
      <c r="F49" s="27" t="s">
        <v>75</v>
      </c>
      <c r="G49" s="29">
        <v>16</v>
      </c>
      <c r="H49" s="30"/>
      <c r="K49" s="30"/>
      <c r="L49" s="23" t="s">
        <v>48</v>
      </c>
      <c r="M49" s="29">
        <v>70</v>
      </c>
      <c r="N49" s="47"/>
      <c r="O49" s="12"/>
      <c r="P49" s="48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2"/>
      <c r="JG49" s="12"/>
      <c r="JH49" s="12"/>
      <c r="JI49" s="12"/>
      <c r="JJ49" s="12"/>
      <c r="JK49" s="12"/>
      <c r="JL49" s="12"/>
      <c r="JM49" s="12"/>
      <c r="JN49" s="12"/>
      <c r="JO49" s="12"/>
      <c r="JP49" s="12"/>
      <c r="JQ49" s="12"/>
      <c r="JR49" s="12"/>
      <c r="JS49" s="12"/>
      <c r="JT49" s="12"/>
      <c r="JU49" s="12"/>
      <c r="JV49" s="12"/>
      <c r="JW49" s="12"/>
      <c r="JX49" s="12"/>
      <c r="JY49" s="12"/>
      <c r="JZ49" s="12"/>
      <c r="KA49" s="12"/>
      <c r="KB49" s="12"/>
      <c r="KC49" s="12"/>
      <c r="KD49" s="12"/>
      <c r="KE49" s="12"/>
      <c r="KF49" s="12"/>
      <c r="KG49" s="12"/>
      <c r="KH49" s="12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2"/>
      <c r="KT49" s="12"/>
      <c r="KU49" s="12"/>
      <c r="KV49" s="12"/>
      <c r="KW49" s="12"/>
      <c r="KX49" s="12"/>
      <c r="KY49" s="12"/>
      <c r="KZ49" s="12"/>
      <c r="LA49" s="12"/>
      <c r="LB49" s="12"/>
      <c r="LC49" s="12"/>
      <c r="LD49" s="12"/>
      <c r="LE49" s="12"/>
      <c r="LF49" s="12"/>
      <c r="LG49" s="12"/>
      <c r="LH49" s="12"/>
      <c r="LI49" s="12"/>
      <c r="LJ49" s="12"/>
      <c r="LK49" s="12"/>
      <c r="LL49" s="12"/>
      <c r="LM49" s="12"/>
      <c r="LN49" s="12"/>
      <c r="LO49" s="12"/>
      <c r="LP49" s="12"/>
      <c r="LQ49" s="12"/>
      <c r="LR49" s="12"/>
      <c r="LS49" s="12"/>
      <c r="LT49" s="12"/>
      <c r="LU49" s="12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2"/>
      <c r="MG49" s="12"/>
      <c r="MH49" s="12"/>
      <c r="MI49" s="12"/>
      <c r="MJ49" s="12"/>
      <c r="MK49" s="12"/>
      <c r="ML49" s="12"/>
      <c r="MM49" s="12"/>
      <c r="MN49" s="12"/>
      <c r="MO49" s="12"/>
      <c r="MP49" s="12"/>
      <c r="MQ49" s="12"/>
      <c r="MR49" s="12"/>
      <c r="MS49" s="12"/>
      <c r="MT49" s="12"/>
      <c r="MU49" s="12"/>
      <c r="MV49" s="12"/>
      <c r="MW49" s="12"/>
      <c r="MX49" s="12"/>
      <c r="MY49" s="12"/>
      <c r="MZ49" s="12"/>
      <c r="NA49" s="12"/>
      <c r="NB49" s="12"/>
      <c r="NC49" s="12"/>
      <c r="ND49" s="12"/>
      <c r="NE49" s="12"/>
      <c r="NF49" s="12"/>
      <c r="NG49" s="12"/>
      <c r="NH49" s="12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2"/>
      <c r="NT49" s="12"/>
      <c r="NU49" s="12"/>
      <c r="NV49" s="12"/>
      <c r="NW49" s="12"/>
      <c r="NX49" s="12"/>
      <c r="NY49" s="12"/>
      <c r="NZ49" s="12"/>
      <c r="OA49" s="12"/>
      <c r="OB49" s="12"/>
      <c r="OC49" s="12"/>
      <c r="OD49" s="12"/>
      <c r="OE49" s="12"/>
      <c r="OF49" s="12"/>
      <c r="OG49" s="12"/>
      <c r="OH49" s="12"/>
      <c r="OI49" s="12"/>
      <c r="OJ49" s="12"/>
      <c r="OK49" s="12"/>
      <c r="OL49" s="12"/>
      <c r="OM49" s="12"/>
      <c r="ON49" s="12"/>
      <c r="OO49" s="12"/>
      <c r="OP49" s="12"/>
      <c r="OQ49" s="12"/>
      <c r="OR49" s="12"/>
      <c r="OS49" s="12"/>
      <c r="OT49" s="12"/>
      <c r="OU49" s="12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2"/>
      <c r="PG49" s="12"/>
      <c r="PH49" s="12"/>
      <c r="PI49" s="12"/>
      <c r="PJ49" s="12"/>
      <c r="PK49" s="12"/>
      <c r="PL49" s="12"/>
      <c r="PM49" s="12"/>
      <c r="PN49" s="12"/>
      <c r="PO49" s="12"/>
      <c r="PP49" s="12"/>
      <c r="PQ49" s="12"/>
      <c r="PR49" s="12"/>
      <c r="PS49" s="12"/>
      <c r="PT49" s="12"/>
      <c r="PU49" s="12"/>
      <c r="PV49" s="12"/>
      <c r="PW49" s="12"/>
      <c r="PX49" s="12"/>
      <c r="PY49" s="12"/>
      <c r="PZ49" s="12"/>
      <c r="QA49" s="12"/>
      <c r="QB49" s="12"/>
      <c r="QC49" s="12"/>
      <c r="QD49" s="12"/>
      <c r="QE49" s="12"/>
      <c r="QF49" s="12"/>
      <c r="QG49" s="12"/>
      <c r="QH49" s="12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2"/>
      <c r="QT49" s="12"/>
      <c r="QU49" s="12"/>
      <c r="QV49" s="12"/>
      <c r="QW49" s="12"/>
      <c r="QX49" s="12"/>
      <c r="QY49" s="12"/>
      <c r="QZ49" s="12"/>
      <c r="RA49" s="12"/>
      <c r="RB49" s="12"/>
      <c r="RC49" s="12"/>
      <c r="RD49" s="12"/>
      <c r="RE49" s="12"/>
      <c r="RF49" s="12"/>
      <c r="RG49" s="12"/>
      <c r="RH49" s="12"/>
      <c r="RI49" s="12"/>
      <c r="RJ49" s="12"/>
      <c r="RK49" s="12"/>
      <c r="RL49" s="12"/>
      <c r="RM49" s="12"/>
      <c r="RN49" s="12"/>
      <c r="RO49" s="12"/>
      <c r="RP49" s="12"/>
      <c r="RQ49" s="12"/>
      <c r="RR49" s="12"/>
      <c r="RS49" s="12"/>
      <c r="RT49" s="12"/>
      <c r="RU49" s="12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2"/>
      <c r="SG49" s="12"/>
      <c r="SH49" s="12"/>
      <c r="SI49" s="12"/>
      <c r="SJ49" s="12"/>
      <c r="SK49" s="12"/>
      <c r="SL49" s="12"/>
      <c r="SM49" s="12"/>
      <c r="SN49" s="12"/>
      <c r="SO49" s="12"/>
      <c r="SP49" s="12"/>
      <c r="SQ49" s="12"/>
      <c r="SR49" s="12"/>
      <c r="SS49" s="12"/>
      <c r="ST49" s="12"/>
      <c r="SU49" s="12"/>
      <c r="SV49" s="12"/>
      <c r="SW49" s="12"/>
      <c r="SX49" s="12"/>
      <c r="SY49" s="12"/>
      <c r="SZ49" s="12"/>
      <c r="TA49" s="12"/>
      <c r="TB49" s="12"/>
      <c r="TC49" s="12"/>
      <c r="TD49" s="12"/>
      <c r="TE49" s="12"/>
      <c r="TF49" s="12"/>
      <c r="TG49" s="12"/>
      <c r="TH49" s="12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2"/>
      <c r="TT49" s="12"/>
      <c r="TU49" s="12"/>
      <c r="TV49" s="12"/>
      <c r="TW49" s="12"/>
      <c r="TX49" s="12"/>
      <c r="TY49" s="12"/>
      <c r="TZ49" s="12"/>
      <c r="UA49" s="12"/>
      <c r="UB49" s="12"/>
      <c r="UC49" s="12"/>
      <c r="UD49" s="12"/>
      <c r="UE49" s="12"/>
      <c r="UF49" s="12"/>
      <c r="UG49" s="12"/>
      <c r="UH49" s="12"/>
      <c r="UI49" s="12"/>
      <c r="UJ49" s="12"/>
      <c r="UK49" s="12"/>
      <c r="UL49" s="12"/>
      <c r="UM49" s="12"/>
      <c r="UN49" s="12"/>
      <c r="UO49" s="12"/>
      <c r="UP49" s="12"/>
      <c r="UQ49" s="12"/>
      <c r="UR49" s="12"/>
      <c r="US49" s="12"/>
      <c r="UT49" s="12"/>
      <c r="UU49" s="12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2"/>
      <c r="VG49" s="12"/>
      <c r="VH49" s="12"/>
      <c r="VI49" s="12"/>
      <c r="VJ49" s="12"/>
      <c r="VK49" s="12"/>
      <c r="VL49" s="12"/>
      <c r="VM49" s="12"/>
      <c r="VN49" s="12"/>
      <c r="VO49" s="12"/>
      <c r="VP49" s="12"/>
      <c r="VQ49" s="12"/>
      <c r="VR49" s="12"/>
      <c r="VS49" s="12"/>
      <c r="VT49" s="12"/>
      <c r="VU49" s="12"/>
      <c r="VV49" s="12"/>
      <c r="VW49" s="12"/>
      <c r="VX49" s="12"/>
      <c r="VY49" s="12"/>
      <c r="VZ49" s="12"/>
      <c r="WA49" s="12"/>
      <c r="WB49" s="12"/>
      <c r="WC49" s="12"/>
      <c r="WD49" s="12"/>
      <c r="WE49" s="12"/>
      <c r="WF49" s="12"/>
      <c r="WG49" s="12"/>
      <c r="WH49" s="12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2"/>
      <c r="WT49" s="12"/>
      <c r="WU49" s="12"/>
      <c r="WV49" s="12"/>
      <c r="WW49" s="12"/>
      <c r="WX49" s="12"/>
      <c r="WY49" s="12"/>
      <c r="WZ49" s="12"/>
      <c r="XA49" s="12"/>
      <c r="XB49" s="12"/>
      <c r="XC49" s="12"/>
      <c r="XD49" s="12"/>
      <c r="XE49" s="12"/>
      <c r="XF49" s="12"/>
      <c r="XG49" s="12"/>
      <c r="XH49" s="12"/>
      <c r="XI49" s="12"/>
      <c r="XJ49" s="12"/>
      <c r="XK49" s="12"/>
      <c r="XL49" s="12"/>
      <c r="XM49" s="12"/>
      <c r="XN49" s="12"/>
      <c r="XO49" s="12"/>
      <c r="XP49" s="12"/>
      <c r="XQ49" s="12"/>
      <c r="XR49" s="12"/>
      <c r="XS49" s="12"/>
      <c r="XT49" s="12"/>
      <c r="XU49" s="12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2"/>
      <c r="YG49" s="12"/>
      <c r="YH49" s="12"/>
      <c r="YI49" s="12"/>
      <c r="YJ49" s="12"/>
      <c r="YK49" s="12"/>
      <c r="YL49" s="12"/>
      <c r="YM49" s="12"/>
      <c r="YN49" s="12"/>
      <c r="YO49" s="12"/>
      <c r="YP49" s="12"/>
      <c r="YQ49" s="12"/>
      <c r="YR49" s="12"/>
      <c r="YS49" s="12"/>
      <c r="YT49" s="12"/>
      <c r="YU49" s="12"/>
      <c r="YV49" s="12"/>
      <c r="YW49" s="12"/>
      <c r="YX49" s="12"/>
      <c r="YY49" s="12"/>
      <c r="YZ49" s="12"/>
      <c r="ZA49" s="12"/>
      <c r="ZB49" s="12"/>
      <c r="ZC49" s="12"/>
      <c r="ZD49" s="12"/>
      <c r="ZE49" s="12"/>
      <c r="ZF49" s="12"/>
      <c r="ZG49" s="12"/>
      <c r="ZH49" s="12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2"/>
      <c r="ZT49" s="12"/>
      <c r="ZU49" s="12"/>
      <c r="ZV49" s="12"/>
      <c r="ZW49" s="12"/>
      <c r="ZX49" s="12"/>
      <c r="ZY49" s="12"/>
      <c r="ZZ49" s="12"/>
      <c r="AAA49" s="12"/>
      <c r="AAB49" s="12"/>
      <c r="AAC49" s="12"/>
      <c r="AAD49" s="12"/>
      <c r="AAE49" s="12"/>
      <c r="AAF49" s="12"/>
      <c r="AAG49" s="12"/>
      <c r="AAH49" s="12"/>
      <c r="AAI49" s="12"/>
      <c r="AAJ49" s="12"/>
      <c r="AAK49" s="12"/>
      <c r="AAL49" s="12"/>
      <c r="AAM49" s="12"/>
      <c r="AAN49" s="12"/>
      <c r="AAO49" s="12"/>
      <c r="AAP49" s="12"/>
      <c r="AAQ49" s="12"/>
      <c r="AAR49" s="12"/>
      <c r="AAS49" s="12"/>
      <c r="AAT49" s="12"/>
      <c r="AAU49" s="12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2"/>
      <c r="ABG49" s="12"/>
      <c r="ABH49" s="12"/>
      <c r="ABI49" s="12"/>
      <c r="ABJ49" s="12"/>
      <c r="ABK49" s="12"/>
      <c r="ABL49" s="12"/>
      <c r="ABM49" s="12"/>
      <c r="ABN49" s="12"/>
      <c r="ABO49" s="12"/>
      <c r="ABP49" s="12"/>
      <c r="ABQ49" s="12"/>
      <c r="ABR49" s="12"/>
      <c r="ABS49" s="12"/>
      <c r="ABT49" s="12"/>
      <c r="ABU49" s="12"/>
      <c r="ABV49" s="12"/>
      <c r="ABW49" s="12"/>
      <c r="ABX49" s="12"/>
      <c r="ABY49" s="12"/>
      <c r="ABZ49" s="12"/>
      <c r="ACA49" s="12"/>
      <c r="ACB49" s="12"/>
      <c r="ACC49" s="12"/>
      <c r="ACD49" s="12"/>
      <c r="ACE49" s="12"/>
      <c r="ACF49" s="12"/>
      <c r="ACG49" s="12"/>
      <c r="ACH49" s="12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2"/>
      <c r="ACT49" s="12"/>
      <c r="ACU49" s="12"/>
      <c r="ACV49" s="12"/>
      <c r="ACW49" s="12"/>
      <c r="ACX49" s="12"/>
      <c r="ACY49" s="12"/>
      <c r="ACZ49" s="12"/>
      <c r="ADA49" s="12"/>
      <c r="ADB49" s="12"/>
      <c r="ADC49" s="12"/>
      <c r="ADD49" s="12"/>
      <c r="ADE49" s="12"/>
      <c r="ADF49" s="12"/>
      <c r="ADG49" s="12"/>
      <c r="ADH49" s="12"/>
      <c r="ADI49" s="12"/>
      <c r="ADJ49" s="12"/>
      <c r="ADK49" s="12"/>
      <c r="ADL49" s="12"/>
      <c r="ADM49" s="12"/>
      <c r="ADN49" s="12"/>
      <c r="ADO49" s="12"/>
      <c r="ADP49" s="12"/>
      <c r="ADQ49" s="12"/>
      <c r="ADR49" s="12"/>
      <c r="ADS49" s="12"/>
      <c r="ADT49" s="12"/>
      <c r="ADU49" s="12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2"/>
      <c r="AEG49" s="12"/>
      <c r="AEH49" s="12"/>
      <c r="AEI49" s="12"/>
      <c r="AEJ49" s="12"/>
      <c r="AEK49" s="12"/>
      <c r="AEL49" s="12"/>
      <c r="AEM49" s="12"/>
      <c r="AEN49" s="12"/>
      <c r="AEO49" s="12"/>
      <c r="AEP49" s="12"/>
      <c r="AEQ49" s="12"/>
      <c r="AER49" s="12"/>
      <c r="AES49" s="12"/>
      <c r="AET49" s="12"/>
      <c r="AEU49" s="12"/>
      <c r="AEV49" s="12"/>
    </row>
    <row r="50" spans="1:828" s="27" customFormat="1" ht="18" x14ac:dyDescent="0.2">
      <c r="A50" s="62"/>
      <c r="D50" s="29"/>
      <c r="E50" s="23"/>
      <c r="F50" s="23"/>
      <c r="G50" s="23"/>
      <c r="H50" s="30"/>
      <c r="K50" s="30"/>
      <c r="L50" s="23"/>
      <c r="M50" s="29"/>
      <c r="N50" s="47"/>
      <c r="O50" s="12"/>
      <c r="P50" s="48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2"/>
      <c r="JG50" s="12"/>
      <c r="JH50" s="12"/>
      <c r="JI50" s="12"/>
      <c r="JJ50" s="12"/>
      <c r="JK50" s="12"/>
      <c r="JL50" s="12"/>
      <c r="JM50" s="12"/>
      <c r="JN50" s="12"/>
      <c r="JO50" s="12"/>
      <c r="JP50" s="12"/>
      <c r="JQ50" s="12"/>
      <c r="JR50" s="12"/>
      <c r="JS50" s="12"/>
      <c r="JT50" s="12"/>
      <c r="JU50" s="12"/>
      <c r="JV50" s="12"/>
      <c r="JW50" s="12"/>
      <c r="JX50" s="12"/>
      <c r="JY50" s="12"/>
      <c r="JZ50" s="12"/>
      <c r="KA50" s="12"/>
      <c r="KB50" s="12"/>
      <c r="KC50" s="12"/>
      <c r="KD50" s="12"/>
      <c r="KE50" s="12"/>
      <c r="KF50" s="12"/>
      <c r="KG50" s="12"/>
      <c r="KH50" s="12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2"/>
      <c r="KT50" s="12"/>
      <c r="KU50" s="12"/>
      <c r="KV50" s="12"/>
      <c r="KW50" s="12"/>
      <c r="KX50" s="12"/>
      <c r="KY50" s="12"/>
      <c r="KZ50" s="12"/>
      <c r="LA50" s="12"/>
      <c r="LB50" s="12"/>
      <c r="LC50" s="12"/>
      <c r="LD50" s="12"/>
      <c r="LE50" s="12"/>
      <c r="LF50" s="12"/>
      <c r="LG50" s="12"/>
      <c r="LH50" s="12"/>
      <c r="LI50" s="12"/>
      <c r="LJ50" s="12"/>
      <c r="LK50" s="12"/>
      <c r="LL50" s="12"/>
      <c r="LM50" s="12"/>
      <c r="LN50" s="12"/>
      <c r="LO50" s="12"/>
      <c r="LP50" s="12"/>
      <c r="LQ50" s="12"/>
      <c r="LR50" s="12"/>
      <c r="LS50" s="12"/>
      <c r="LT50" s="12"/>
      <c r="LU50" s="12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2"/>
      <c r="MG50" s="12"/>
      <c r="MH50" s="12"/>
      <c r="MI50" s="12"/>
      <c r="MJ50" s="12"/>
      <c r="MK50" s="12"/>
      <c r="ML50" s="12"/>
      <c r="MM50" s="12"/>
      <c r="MN50" s="12"/>
      <c r="MO50" s="12"/>
      <c r="MP50" s="12"/>
      <c r="MQ50" s="12"/>
      <c r="MR50" s="12"/>
      <c r="MS50" s="12"/>
      <c r="MT50" s="12"/>
      <c r="MU50" s="12"/>
      <c r="MV50" s="12"/>
      <c r="MW50" s="12"/>
      <c r="MX50" s="12"/>
      <c r="MY50" s="12"/>
      <c r="MZ50" s="12"/>
      <c r="NA50" s="12"/>
      <c r="NB50" s="12"/>
      <c r="NC50" s="12"/>
      <c r="ND50" s="12"/>
      <c r="NE50" s="12"/>
      <c r="NF50" s="12"/>
      <c r="NG50" s="12"/>
      <c r="NH50" s="12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2"/>
      <c r="NT50" s="12"/>
      <c r="NU50" s="12"/>
      <c r="NV50" s="12"/>
      <c r="NW50" s="12"/>
      <c r="NX50" s="12"/>
      <c r="NY50" s="12"/>
      <c r="NZ50" s="12"/>
      <c r="OA50" s="12"/>
      <c r="OB50" s="12"/>
      <c r="OC50" s="12"/>
      <c r="OD50" s="12"/>
      <c r="OE50" s="12"/>
      <c r="OF50" s="12"/>
      <c r="OG50" s="12"/>
      <c r="OH50" s="12"/>
      <c r="OI50" s="12"/>
      <c r="OJ50" s="12"/>
      <c r="OK50" s="12"/>
      <c r="OL50" s="12"/>
      <c r="OM50" s="12"/>
      <c r="ON50" s="12"/>
      <c r="OO50" s="12"/>
      <c r="OP50" s="12"/>
      <c r="OQ50" s="12"/>
      <c r="OR50" s="12"/>
      <c r="OS50" s="12"/>
      <c r="OT50" s="12"/>
      <c r="OU50" s="12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2"/>
      <c r="PG50" s="12"/>
      <c r="PH50" s="12"/>
      <c r="PI50" s="12"/>
      <c r="PJ50" s="12"/>
      <c r="PK50" s="12"/>
      <c r="PL50" s="12"/>
      <c r="PM50" s="12"/>
      <c r="PN50" s="12"/>
      <c r="PO50" s="12"/>
      <c r="PP50" s="12"/>
      <c r="PQ50" s="12"/>
      <c r="PR50" s="12"/>
      <c r="PS50" s="12"/>
      <c r="PT50" s="12"/>
      <c r="PU50" s="12"/>
      <c r="PV50" s="12"/>
      <c r="PW50" s="12"/>
      <c r="PX50" s="12"/>
      <c r="PY50" s="12"/>
      <c r="PZ50" s="12"/>
      <c r="QA50" s="12"/>
      <c r="QB50" s="12"/>
      <c r="QC50" s="12"/>
      <c r="QD50" s="12"/>
      <c r="QE50" s="12"/>
      <c r="QF50" s="12"/>
      <c r="QG50" s="12"/>
      <c r="QH50" s="12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2"/>
      <c r="QT50" s="12"/>
      <c r="QU50" s="12"/>
      <c r="QV50" s="12"/>
      <c r="QW50" s="12"/>
      <c r="QX50" s="12"/>
      <c r="QY50" s="12"/>
      <c r="QZ50" s="12"/>
      <c r="RA50" s="12"/>
      <c r="RB50" s="12"/>
      <c r="RC50" s="12"/>
      <c r="RD50" s="12"/>
      <c r="RE50" s="12"/>
      <c r="RF50" s="12"/>
      <c r="RG50" s="12"/>
      <c r="RH50" s="12"/>
      <c r="RI50" s="12"/>
      <c r="RJ50" s="12"/>
      <c r="RK50" s="12"/>
      <c r="RL50" s="12"/>
      <c r="RM50" s="12"/>
      <c r="RN50" s="12"/>
      <c r="RO50" s="12"/>
      <c r="RP50" s="12"/>
      <c r="RQ50" s="12"/>
      <c r="RR50" s="12"/>
      <c r="RS50" s="12"/>
      <c r="RT50" s="12"/>
      <c r="RU50" s="12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2"/>
      <c r="SG50" s="12"/>
      <c r="SH50" s="12"/>
      <c r="SI50" s="12"/>
      <c r="SJ50" s="12"/>
      <c r="SK50" s="12"/>
      <c r="SL50" s="12"/>
      <c r="SM50" s="12"/>
      <c r="SN50" s="12"/>
      <c r="SO50" s="12"/>
      <c r="SP50" s="12"/>
      <c r="SQ50" s="12"/>
      <c r="SR50" s="12"/>
      <c r="SS50" s="12"/>
      <c r="ST50" s="12"/>
      <c r="SU50" s="12"/>
      <c r="SV50" s="12"/>
      <c r="SW50" s="12"/>
      <c r="SX50" s="12"/>
      <c r="SY50" s="12"/>
      <c r="SZ50" s="12"/>
      <c r="TA50" s="12"/>
      <c r="TB50" s="12"/>
      <c r="TC50" s="12"/>
      <c r="TD50" s="12"/>
      <c r="TE50" s="12"/>
      <c r="TF50" s="12"/>
      <c r="TG50" s="12"/>
      <c r="TH50" s="12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2"/>
      <c r="TT50" s="12"/>
      <c r="TU50" s="12"/>
      <c r="TV50" s="12"/>
      <c r="TW50" s="12"/>
      <c r="TX50" s="12"/>
      <c r="TY50" s="12"/>
      <c r="TZ50" s="12"/>
      <c r="UA50" s="12"/>
      <c r="UB50" s="12"/>
      <c r="UC50" s="12"/>
      <c r="UD50" s="12"/>
      <c r="UE50" s="12"/>
      <c r="UF50" s="12"/>
      <c r="UG50" s="12"/>
      <c r="UH50" s="12"/>
      <c r="UI50" s="12"/>
      <c r="UJ50" s="12"/>
      <c r="UK50" s="12"/>
      <c r="UL50" s="12"/>
      <c r="UM50" s="12"/>
      <c r="UN50" s="12"/>
      <c r="UO50" s="12"/>
      <c r="UP50" s="12"/>
      <c r="UQ50" s="12"/>
      <c r="UR50" s="12"/>
      <c r="US50" s="12"/>
      <c r="UT50" s="12"/>
      <c r="UU50" s="12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2"/>
      <c r="VG50" s="12"/>
      <c r="VH50" s="12"/>
      <c r="VI50" s="12"/>
      <c r="VJ50" s="12"/>
      <c r="VK50" s="12"/>
      <c r="VL50" s="12"/>
      <c r="VM50" s="12"/>
      <c r="VN50" s="12"/>
      <c r="VO50" s="12"/>
      <c r="VP50" s="12"/>
      <c r="VQ50" s="12"/>
      <c r="VR50" s="12"/>
      <c r="VS50" s="12"/>
      <c r="VT50" s="12"/>
      <c r="VU50" s="12"/>
      <c r="VV50" s="12"/>
      <c r="VW50" s="12"/>
      <c r="VX50" s="12"/>
      <c r="VY50" s="12"/>
      <c r="VZ50" s="12"/>
      <c r="WA50" s="12"/>
      <c r="WB50" s="12"/>
      <c r="WC50" s="12"/>
      <c r="WD50" s="12"/>
      <c r="WE50" s="12"/>
      <c r="WF50" s="12"/>
      <c r="WG50" s="12"/>
      <c r="WH50" s="12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2"/>
      <c r="WT50" s="12"/>
      <c r="WU50" s="12"/>
      <c r="WV50" s="12"/>
      <c r="WW50" s="12"/>
      <c r="WX50" s="12"/>
      <c r="WY50" s="12"/>
      <c r="WZ50" s="12"/>
      <c r="XA50" s="12"/>
      <c r="XB50" s="12"/>
      <c r="XC50" s="12"/>
      <c r="XD50" s="12"/>
      <c r="XE50" s="12"/>
      <c r="XF50" s="12"/>
      <c r="XG50" s="12"/>
      <c r="XH50" s="12"/>
      <c r="XI50" s="12"/>
      <c r="XJ50" s="12"/>
      <c r="XK50" s="12"/>
      <c r="XL50" s="12"/>
      <c r="XM50" s="12"/>
      <c r="XN50" s="12"/>
      <c r="XO50" s="12"/>
      <c r="XP50" s="12"/>
      <c r="XQ50" s="12"/>
      <c r="XR50" s="12"/>
      <c r="XS50" s="12"/>
      <c r="XT50" s="12"/>
      <c r="XU50" s="12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2"/>
      <c r="YG50" s="12"/>
      <c r="YH50" s="12"/>
      <c r="YI50" s="12"/>
      <c r="YJ50" s="12"/>
      <c r="YK50" s="12"/>
      <c r="YL50" s="12"/>
      <c r="YM50" s="12"/>
      <c r="YN50" s="12"/>
      <c r="YO50" s="12"/>
      <c r="YP50" s="12"/>
      <c r="YQ50" s="12"/>
      <c r="YR50" s="12"/>
      <c r="YS50" s="12"/>
      <c r="YT50" s="12"/>
      <c r="YU50" s="12"/>
      <c r="YV50" s="12"/>
      <c r="YW50" s="12"/>
      <c r="YX50" s="12"/>
      <c r="YY50" s="12"/>
      <c r="YZ50" s="12"/>
      <c r="ZA50" s="12"/>
      <c r="ZB50" s="12"/>
      <c r="ZC50" s="12"/>
      <c r="ZD50" s="12"/>
      <c r="ZE50" s="12"/>
      <c r="ZF50" s="12"/>
      <c r="ZG50" s="12"/>
      <c r="ZH50" s="12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2"/>
      <c r="ZT50" s="12"/>
      <c r="ZU50" s="12"/>
      <c r="ZV50" s="12"/>
      <c r="ZW50" s="12"/>
      <c r="ZX50" s="12"/>
      <c r="ZY50" s="12"/>
      <c r="ZZ50" s="12"/>
      <c r="AAA50" s="12"/>
      <c r="AAB50" s="12"/>
      <c r="AAC50" s="12"/>
      <c r="AAD50" s="12"/>
      <c r="AAE50" s="12"/>
      <c r="AAF50" s="12"/>
      <c r="AAG50" s="12"/>
      <c r="AAH50" s="12"/>
      <c r="AAI50" s="12"/>
      <c r="AAJ50" s="12"/>
      <c r="AAK50" s="12"/>
      <c r="AAL50" s="12"/>
      <c r="AAM50" s="12"/>
      <c r="AAN50" s="12"/>
      <c r="AAO50" s="12"/>
      <c r="AAP50" s="12"/>
      <c r="AAQ50" s="12"/>
      <c r="AAR50" s="12"/>
      <c r="AAS50" s="12"/>
      <c r="AAT50" s="12"/>
      <c r="AAU50" s="12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2"/>
      <c r="ABG50" s="12"/>
      <c r="ABH50" s="12"/>
      <c r="ABI50" s="12"/>
      <c r="ABJ50" s="12"/>
      <c r="ABK50" s="12"/>
      <c r="ABL50" s="12"/>
      <c r="ABM50" s="12"/>
      <c r="ABN50" s="12"/>
      <c r="ABO50" s="12"/>
      <c r="ABP50" s="12"/>
      <c r="ABQ50" s="12"/>
      <c r="ABR50" s="12"/>
      <c r="ABS50" s="12"/>
      <c r="ABT50" s="12"/>
      <c r="ABU50" s="12"/>
      <c r="ABV50" s="12"/>
      <c r="ABW50" s="12"/>
      <c r="ABX50" s="12"/>
      <c r="ABY50" s="12"/>
      <c r="ABZ50" s="12"/>
      <c r="ACA50" s="12"/>
      <c r="ACB50" s="12"/>
      <c r="ACC50" s="12"/>
      <c r="ACD50" s="12"/>
      <c r="ACE50" s="12"/>
      <c r="ACF50" s="12"/>
      <c r="ACG50" s="12"/>
      <c r="ACH50" s="12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2"/>
      <c r="ACT50" s="12"/>
      <c r="ACU50" s="12"/>
      <c r="ACV50" s="12"/>
      <c r="ACW50" s="12"/>
      <c r="ACX50" s="12"/>
      <c r="ACY50" s="12"/>
      <c r="ACZ50" s="12"/>
      <c r="ADA50" s="12"/>
      <c r="ADB50" s="12"/>
      <c r="ADC50" s="12"/>
      <c r="ADD50" s="12"/>
      <c r="ADE50" s="12"/>
      <c r="ADF50" s="12"/>
      <c r="ADG50" s="12"/>
      <c r="ADH50" s="12"/>
      <c r="ADI50" s="12"/>
      <c r="ADJ50" s="12"/>
      <c r="ADK50" s="12"/>
      <c r="ADL50" s="12"/>
      <c r="ADM50" s="12"/>
      <c r="ADN50" s="12"/>
      <c r="ADO50" s="12"/>
      <c r="ADP50" s="12"/>
      <c r="ADQ50" s="12"/>
      <c r="ADR50" s="12"/>
      <c r="ADS50" s="12"/>
      <c r="ADT50" s="12"/>
      <c r="ADU50" s="12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2"/>
      <c r="AEG50" s="12"/>
      <c r="AEH50" s="12"/>
      <c r="AEI50" s="12"/>
      <c r="AEJ50" s="12"/>
      <c r="AEK50" s="12"/>
      <c r="AEL50" s="12"/>
      <c r="AEM50" s="12"/>
      <c r="AEN50" s="12"/>
      <c r="AEO50" s="12"/>
      <c r="AEP50" s="12"/>
      <c r="AEQ50" s="12"/>
      <c r="AER50" s="12"/>
      <c r="AES50" s="12"/>
      <c r="AET50" s="12"/>
      <c r="AEU50" s="12"/>
      <c r="AEV50" s="12"/>
    </row>
    <row r="51" spans="1:828" s="27" customFormat="1" ht="18" x14ac:dyDescent="0.2">
      <c r="A51" s="62"/>
      <c r="D51" s="29"/>
      <c r="E51" s="23"/>
      <c r="F51" s="23"/>
      <c r="G51" s="23"/>
      <c r="H51" s="30"/>
      <c r="I51" s="23"/>
      <c r="J51" s="29"/>
      <c r="K51" s="30"/>
      <c r="L51" s="23"/>
      <c r="M51" s="29"/>
      <c r="N51" s="47"/>
      <c r="O51" s="12"/>
      <c r="P51" s="48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  <c r="IY51" s="12"/>
      <c r="IZ51" s="12"/>
      <c r="JA51" s="12"/>
      <c r="JB51" s="12"/>
      <c r="JC51" s="12"/>
      <c r="JD51" s="12"/>
      <c r="JE51" s="12"/>
      <c r="JF51" s="12"/>
      <c r="JG51" s="12"/>
      <c r="JH51" s="12"/>
      <c r="JI51" s="12"/>
      <c r="JJ51" s="12"/>
      <c r="JK51" s="12"/>
      <c r="JL51" s="12"/>
      <c r="JM51" s="12"/>
      <c r="JN51" s="12"/>
      <c r="JO51" s="12"/>
      <c r="JP51" s="12"/>
      <c r="JQ51" s="12"/>
      <c r="JR51" s="12"/>
      <c r="JS51" s="12"/>
      <c r="JT51" s="12"/>
      <c r="JU51" s="12"/>
      <c r="JV51" s="12"/>
      <c r="JW51" s="12"/>
      <c r="JX51" s="12"/>
      <c r="JY51" s="12"/>
      <c r="JZ51" s="12"/>
      <c r="KA51" s="12"/>
      <c r="KB51" s="12"/>
      <c r="KC51" s="12"/>
      <c r="KD51" s="12"/>
      <c r="KE51" s="12"/>
      <c r="KF51" s="12"/>
      <c r="KG51" s="12"/>
      <c r="KH51" s="12"/>
      <c r="KI51" s="12"/>
      <c r="KJ51" s="12"/>
      <c r="KK51" s="12"/>
      <c r="KL51" s="12"/>
      <c r="KM51" s="12"/>
      <c r="KN51" s="12"/>
      <c r="KO51" s="12"/>
      <c r="KP51" s="12"/>
      <c r="KQ51" s="12"/>
      <c r="KR51" s="12"/>
      <c r="KS51" s="12"/>
      <c r="KT51" s="12"/>
      <c r="KU51" s="12"/>
      <c r="KV51" s="12"/>
      <c r="KW51" s="12"/>
      <c r="KX51" s="12"/>
      <c r="KY51" s="12"/>
      <c r="KZ51" s="12"/>
      <c r="LA51" s="12"/>
      <c r="LB51" s="12"/>
      <c r="LC51" s="12"/>
      <c r="LD51" s="12"/>
      <c r="LE51" s="12"/>
      <c r="LF51" s="12"/>
      <c r="LG51" s="12"/>
      <c r="LH51" s="12"/>
      <c r="LI51" s="12"/>
      <c r="LJ51" s="12"/>
      <c r="LK51" s="12"/>
      <c r="LL51" s="12"/>
      <c r="LM51" s="12"/>
      <c r="LN51" s="12"/>
      <c r="LO51" s="12"/>
      <c r="LP51" s="12"/>
      <c r="LQ51" s="12"/>
      <c r="LR51" s="12"/>
      <c r="LS51" s="12"/>
      <c r="LT51" s="12"/>
      <c r="LU51" s="12"/>
      <c r="LV51" s="12"/>
      <c r="LW51" s="12"/>
      <c r="LX51" s="12"/>
      <c r="LY51" s="12"/>
      <c r="LZ51" s="12"/>
      <c r="MA51" s="12"/>
      <c r="MB51" s="12"/>
      <c r="MC51" s="12"/>
      <c r="MD51" s="12"/>
      <c r="ME51" s="12"/>
      <c r="MF51" s="12"/>
      <c r="MG51" s="12"/>
      <c r="MH51" s="12"/>
      <c r="MI51" s="12"/>
      <c r="MJ51" s="12"/>
      <c r="MK51" s="12"/>
      <c r="ML51" s="12"/>
      <c r="MM51" s="12"/>
      <c r="MN51" s="12"/>
      <c r="MO51" s="12"/>
      <c r="MP51" s="12"/>
      <c r="MQ51" s="12"/>
      <c r="MR51" s="12"/>
      <c r="MS51" s="12"/>
      <c r="MT51" s="12"/>
      <c r="MU51" s="12"/>
      <c r="MV51" s="12"/>
      <c r="MW51" s="12"/>
      <c r="MX51" s="12"/>
      <c r="MY51" s="12"/>
      <c r="MZ51" s="12"/>
      <c r="NA51" s="12"/>
      <c r="NB51" s="12"/>
      <c r="NC51" s="12"/>
      <c r="ND51" s="12"/>
      <c r="NE51" s="12"/>
      <c r="NF51" s="12"/>
      <c r="NG51" s="12"/>
      <c r="NH51" s="12"/>
      <c r="NI51" s="12"/>
      <c r="NJ51" s="12"/>
      <c r="NK51" s="12"/>
      <c r="NL51" s="12"/>
      <c r="NM51" s="12"/>
      <c r="NN51" s="12"/>
      <c r="NO51" s="12"/>
      <c r="NP51" s="12"/>
      <c r="NQ51" s="12"/>
      <c r="NR51" s="12"/>
      <c r="NS51" s="12"/>
      <c r="NT51" s="12"/>
      <c r="NU51" s="12"/>
      <c r="NV51" s="12"/>
      <c r="NW51" s="12"/>
      <c r="NX51" s="12"/>
      <c r="NY51" s="12"/>
      <c r="NZ51" s="12"/>
      <c r="OA51" s="12"/>
      <c r="OB51" s="12"/>
      <c r="OC51" s="12"/>
      <c r="OD51" s="12"/>
      <c r="OE51" s="12"/>
      <c r="OF51" s="12"/>
      <c r="OG51" s="12"/>
      <c r="OH51" s="12"/>
      <c r="OI51" s="12"/>
      <c r="OJ51" s="12"/>
      <c r="OK51" s="12"/>
      <c r="OL51" s="12"/>
      <c r="OM51" s="12"/>
      <c r="ON51" s="12"/>
      <c r="OO51" s="12"/>
      <c r="OP51" s="12"/>
      <c r="OQ51" s="12"/>
      <c r="OR51" s="12"/>
      <c r="OS51" s="12"/>
      <c r="OT51" s="12"/>
      <c r="OU51" s="12"/>
      <c r="OV51" s="12"/>
      <c r="OW51" s="12"/>
      <c r="OX51" s="12"/>
      <c r="OY51" s="12"/>
      <c r="OZ51" s="12"/>
      <c r="PA51" s="12"/>
      <c r="PB51" s="12"/>
      <c r="PC51" s="12"/>
      <c r="PD51" s="12"/>
      <c r="PE51" s="12"/>
      <c r="PF51" s="12"/>
      <c r="PG51" s="12"/>
      <c r="PH51" s="12"/>
      <c r="PI51" s="12"/>
      <c r="PJ51" s="12"/>
      <c r="PK51" s="12"/>
      <c r="PL51" s="12"/>
      <c r="PM51" s="12"/>
      <c r="PN51" s="12"/>
      <c r="PO51" s="12"/>
      <c r="PP51" s="12"/>
      <c r="PQ51" s="12"/>
      <c r="PR51" s="12"/>
      <c r="PS51" s="12"/>
      <c r="PT51" s="12"/>
      <c r="PU51" s="12"/>
      <c r="PV51" s="12"/>
      <c r="PW51" s="12"/>
      <c r="PX51" s="12"/>
      <c r="PY51" s="12"/>
      <c r="PZ51" s="12"/>
      <c r="QA51" s="12"/>
      <c r="QB51" s="12"/>
      <c r="QC51" s="12"/>
      <c r="QD51" s="12"/>
      <c r="QE51" s="12"/>
      <c r="QF51" s="12"/>
      <c r="QG51" s="12"/>
      <c r="QH51" s="12"/>
      <c r="QI51" s="12"/>
      <c r="QJ51" s="12"/>
      <c r="QK51" s="12"/>
      <c r="QL51" s="12"/>
      <c r="QM51" s="12"/>
      <c r="QN51" s="12"/>
      <c r="QO51" s="12"/>
      <c r="QP51" s="12"/>
      <c r="QQ51" s="12"/>
      <c r="QR51" s="12"/>
      <c r="QS51" s="12"/>
      <c r="QT51" s="12"/>
      <c r="QU51" s="12"/>
      <c r="QV51" s="12"/>
      <c r="QW51" s="12"/>
      <c r="QX51" s="12"/>
      <c r="QY51" s="12"/>
      <c r="QZ51" s="12"/>
      <c r="RA51" s="12"/>
      <c r="RB51" s="12"/>
      <c r="RC51" s="12"/>
      <c r="RD51" s="12"/>
      <c r="RE51" s="12"/>
      <c r="RF51" s="12"/>
      <c r="RG51" s="12"/>
      <c r="RH51" s="12"/>
      <c r="RI51" s="12"/>
      <c r="RJ51" s="12"/>
      <c r="RK51" s="12"/>
      <c r="RL51" s="12"/>
      <c r="RM51" s="12"/>
      <c r="RN51" s="12"/>
      <c r="RO51" s="12"/>
      <c r="RP51" s="12"/>
      <c r="RQ51" s="12"/>
      <c r="RR51" s="12"/>
      <c r="RS51" s="12"/>
      <c r="RT51" s="12"/>
      <c r="RU51" s="12"/>
      <c r="RV51" s="12"/>
      <c r="RW51" s="12"/>
      <c r="RX51" s="12"/>
      <c r="RY51" s="12"/>
      <c r="RZ51" s="12"/>
      <c r="SA51" s="12"/>
      <c r="SB51" s="12"/>
      <c r="SC51" s="12"/>
      <c r="SD51" s="12"/>
      <c r="SE51" s="12"/>
      <c r="SF51" s="12"/>
      <c r="SG51" s="12"/>
      <c r="SH51" s="12"/>
      <c r="SI51" s="12"/>
      <c r="SJ51" s="12"/>
      <c r="SK51" s="12"/>
      <c r="SL51" s="12"/>
      <c r="SM51" s="12"/>
      <c r="SN51" s="12"/>
      <c r="SO51" s="12"/>
      <c r="SP51" s="12"/>
      <c r="SQ51" s="12"/>
      <c r="SR51" s="12"/>
      <c r="SS51" s="12"/>
      <c r="ST51" s="12"/>
      <c r="SU51" s="12"/>
      <c r="SV51" s="12"/>
      <c r="SW51" s="12"/>
      <c r="SX51" s="12"/>
      <c r="SY51" s="12"/>
      <c r="SZ51" s="12"/>
      <c r="TA51" s="12"/>
      <c r="TB51" s="12"/>
      <c r="TC51" s="12"/>
      <c r="TD51" s="12"/>
      <c r="TE51" s="12"/>
      <c r="TF51" s="12"/>
      <c r="TG51" s="12"/>
      <c r="TH51" s="12"/>
      <c r="TI51" s="12"/>
      <c r="TJ51" s="12"/>
      <c r="TK51" s="12"/>
      <c r="TL51" s="12"/>
      <c r="TM51" s="12"/>
      <c r="TN51" s="12"/>
      <c r="TO51" s="12"/>
      <c r="TP51" s="12"/>
      <c r="TQ51" s="12"/>
      <c r="TR51" s="12"/>
      <c r="TS51" s="12"/>
      <c r="TT51" s="12"/>
      <c r="TU51" s="12"/>
      <c r="TV51" s="12"/>
      <c r="TW51" s="12"/>
      <c r="TX51" s="12"/>
      <c r="TY51" s="12"/>
      <c r="TZ51" s="12"/>
      <c r="UA51" s="12"/>
      <c r="UB51" s="12"/>
      <c r="UC51" s="12"/>
      <c r="UD51" s="12"/>
      <c r="UE51" s="12"/>
      <c r="UF51" s="12"/>
      <c r="UG51" s="12"/>
      <c r="UH51" s="12"/>
      <c r="UI51" s="12"/>
      <c r="UJ51" s="12"/>
      <c r="UK51" s="12"/>
      <c r="UL51" s="12"/>
      <c r="UM51" s="12"/>
      <c r="UN51" s="12"/>
      <c r="UO51" s="12"/>
      <c r="UP51" s="12"/>
      <c r="UQ51" s="12"/>
      <c r="UR51" s="12"/>
      <c r="US51" s="12"/>
      <c r="UT51" s="12"/>
      <c r="UU51" s="12"/>
      <c r="UV51" s="12"/>
      <c r="UW51" s="12"/>
      <c r="UX51" s="12"/>
      <c r="UY51" s="12"/>
      <c r="UZ51" s="12"/>
      <c r="VA51" s="12"/>
      <c r="VB51" s="12"/>
      <c r="VC51" s="12"/>
      <c r="VD51" s="12"/>
      <c r="VE51" s="12"/>
      <c r="VF51" s="12"/>
      <c r="VG51" s="12"/>
      <c r="VH51" s="12"/>
      <c r="VI51" s="12"/>
      <c r="VJ51" s="12"/>
      <c r="VK51" s="12"/>
      <c r="VL51" s="12"/>
      <c r="VM51" s="12"/>
      <c r="VN51" s="12"/>
      <c r="VO51" s="12"/>
      <c r="VP51" s="12"/>
      <c r="VQ51" s="12"/>
      <c r="VR51" s="12"/>
      <c r="VS51" s="12"/>
      <c r="VT51" s="12"/>
      <c r="VU51" s="12"/>
      <c r="VV51" s="12"/>
      <c r="VW51" s="12"/>
      <c r="VX51" s="12"/>
      <c r="VY51" s="12"/>
      <c r="VZ51" s="12"/>
      <c r="WA51" s="12"/>
      <c r="WB51" s="12"/>
      <c r="WC51" s="12"/>
      <c r="WD51" s="12"/>
      <c r="WE51" s="12"/>
      <c r="WF51" s="12"/>
      <c r="WG51" s="12"/>
      <c r="WH51" s="12"/>
      <c r="WI51" s="12"/>
      <c r="WJ51" s="12"/>
      <c r="WK51" s="12"/>
      <c r="WL51" s="12"/>
      <c r="WM51" s="12"/>
      <c r="WN51" s="12"/>
      <c r="WO51" s="12"/>
      <c r="WP51" s="12"/>
      <c r="WQ51" s="12"/>
      <c r="WR51" s="12"/>
      <c r="WS51" s="12"/>
      <c r="WT51" s="12"/>
      <c r="WU51" s="12"/>
      <c r="WV51" s="12"/>
      <c r="WW51" s="12"/>
      <c r="WX51" s="12"/>
      <c r="WY51" s="12"/>
      <c r="WZ51" s="12"/>
      <c r="XA51" s="12"/>
      <c r="XB51" s="12"/>
      <c r="XC51" s="12"/>
      <c r="XD51" s="12"/>
      <c r="XE51" s="12"/>
      <c r="XF51" s="12"/>
      <c r="XG51" s="12"/>
      <c r="XH51" s="12"/>
      <c r="XI51" s="12"/>
      <c r="XJ51" s="12"/>
      <c r="XK51" s="12"/>
      <c r="XL51" s="12"/>
      <c r="XM51" s="12"/>
      <c r="XN51" s="12"/>
      <c r="XO51" s="12"/>
      <c r="XP51" s="12"/>
      <c r="XQ51" s="12"/>
      <c r="XR51" s="12"/>
      <c r="XS51" s="12"/>
      <c r="XT51" s="12"/>
      <c r="XU51" s="12"/>
      <c r="XV51" s="12"/>
      <c r="XW51" s="12"/>
      <c r="XX51" s="12"/>
      <c r="XY51" s="12"/>
      <c r="XZ51" s="12"/>
      <c r="YA51" s="12"/>
      <c r="YB51" s="12"/>
      <c r="YC51" s="12"/>
      <c r="YD51" s="12"/>
      <c r="YE51" s="12"/>
      <c r="YF51" s="12"/>
      <c r="YG51" s="12"/>
      <c r="YH51" s="12"/>
      <c r="YI51" s="12"/>
      <c r="YJ51" s="12"/>
      <c r="YK51" s="12"/>
      <c r="YL51" s="12"/>
      <c r="YM51" s="12"/>
      <c r="YN51" s="12"/>
      <c r="YO51" s="12"/>
      <c r="YP51" s="12"/>
      <c r="YQ51" s="12"/>
      <c r="YR51" s="12"/>
      <c r="YS51" s="12"/>
      <c r="YT51" s="12"/>
      <c r="YU51" s="12"/>
      <c r="YV51" s="12"/>
      <c r="YW51" s="12"/>
      <c r="YX51" s="12"/>
      <c r="YY51" s="12"/>
      <c r="YZ51" s="12"/>
      <c r="ZA51" s="12"/>
      <c r="ZB51" s="12"/>
      <c r="ZC51" s="12"/>
      <c r="ZD51" s="12"/>
      <c r="ZE51" s="12"/>
      <c r="ZF51" s="12"/>
      <c r="ZG51" s="12"/>
      <c r="ZH51" s="12"/>
      <c r="ZI51" s="12"/>
      <c r="ZJ51" s="12"/>
      <c r="ZK51" s="12"/>
      <c r="ZL51" s="12"/>
      <c r="ZM51" s="12"/>
      <c r="ZN51" s="12"/>
      <c r="ZO51" s="12"/>
      <c r="ZP51" s="12"/>
      <c r="ZQ51" s="12"/>
      <c r="ZR51" s="12"/>
      <c r="ZS51" s="12"/>
      <c r="ZT51" s="12"/>
      <c r="ZU51" s="12"/>
      <c r="ZV51" s="12"/>
      <c r="ZW51" s="12"/>
      <c r="ZX51" s="12"/>
      <c r="ZY51" s="12"/>
      <c r="ZZ51" s="12"/>
      <c r="AAA51" s="12"/>
      <c r="AAB51" s="12"/>
      <c r="AAC51" s="12"/>
      <c r="AAD51" s="12"/>
      <c r="AAE51" s="12"/>
      <c r="AAF51" s="12"/>
      <c r="AAG51" s="12"/>
      <c r="AAH51" s="12"/>
      <c r="AAI51" s="12"/>
      <c r="AAJ51" s="12"/>
      <c r="AAK51" s="12"/>
      <c r="AAL51" s="12"/>
      <c r="AAM51" s="12"/>
      <c r="AAN51" s="12"/>
      <c r="AAO51" s="12"/>
      <c r="AAP51" s="12"/>
      <c r="AAQ51" s="12"/>
      <c r="AAR51" s="12"/>
      <c r="AAS51" s="12"/>
      <c r="AAT51" s="12"/>
      <c r="AAU51" s="12"/>
      <c r="AAV51" s="12"/>
      <c r="AAW51" s="12"/>
      <c r="AAX51" s="12"/>
      <c r="AAY51" s="12"/>
      <c r="AAZ51" s="12"/>
      <c r="ABA51" s="12"/>
      <c r="ABB51" s="12"/>
      <c r="ABC51" s="12"/>
      <c r="ABD51" s="12"/>
      <c r="ABE51" s="12"/>
      <c r="ABF51" s="12"/>
      <c r="ABG51" s="12"/>
      <c r="ABH51" s="12"/>
      <c r="ABI51" s="12"/>
      <c r="ABJ51" s="12"/>
      <c r="ABK51" s="12"/>
      <c r="ABL51" s="12"/>
      <c r="ABM51" s="12"/>
      <c r="ABN51" s="12"/>
      <c r="ABO51" s="12"/>
      <c r="ABP51" s="12"/>
      <c r="ABQ51" s="12"/>
      <c r="ABR51" s="12"/>
      <c r="ABS51" s="12"/>
      <c r="ABT51" s="12"/>
      <c r="ABU51" s="12"/>
      <c r="ABV51" s="12"/>
      <c r="ABW51" s="12"/>
      <c r="ABX51" s="12"/>
      <c r="ABY51" s="12"/>
      <c r="ABZ51" s="12"/>
      <c r="ACA51" s="12"/>
      <c r="ACB51" s="12"/>
      <c r="ACC51" s="12"/>
      <c r="ACD51" s="12"/>
      <c r="ACE51" s="12"/>
      <c r="ACF51" s="12"/>
      <c r="ACG51" s="12"/>
      <c r="ACH51" s="12"/>
      <c r="ACI51" s="12"/>
      <c r="ACJ51" s="12"/>
      <c r="ACK51" s="12"/>
      <c r="ACL51" s="12"/>
      <c r="ACM51" s="12"/>
      <c r="ACN51" s="12"/>
      <c r="ACO51" s="12"/>
      <c r="ACP51" s="12"/>
      <c r="ACQ51" s="12"/>
      <c r="ACR51" s="12"/>
      <c r="ACS51" s="12"/>
      <c r="ACT51" s="12"/>
      <c r="ACU51" s="12"/>
      <c r="ACV51" s="12"/>
      <c r="ACW51" s="12"/>
      <c r="ACX51" s="12"/>
      <c r="ACY51" s="12"/>
      <c r="ACZ51" s="12"/>
      <c r="ADA51" s="12"/>
      <c r="ADB51" s="12"/>
      <c r="ADC51" s="12"/>
      <c r="ADD51" s="12"/>
      <c r="ADE51" s="12"/>
      <c r="ADF51" s="12"/>
      <c r="ADG51" s="12"/>
      <c r="ADH51" s="12"/>
      <c r="ADI51" s="12"/>
      <c r="ADJ51" s="12"/>
      <c r="ADK51" s="12"/>
      <c r="ADL51" s="12"/>
      <c r="ADM51" s="12"/>
      <c r="ADN51" s="12"/>
      <c r="ADO51" s="12"/>
      <c r="ADP51" s="12"/>
      <c r="ADQ51" s="12"/>
      <c r="ADR51" s="12"/>
      <c r="ADS51" s="12"/>
      <c r="ADT51" s="12"/>
      <c r="ADU51" s="12"/>
      <c r="ADV51" s="12"/>
      <c r="ADW51" s="12"/>
      <c r="ADX51" s="12"/>
      <c r="ADY51" s="12"/>
      <c r="ADZ51" s="12"/>
      <c r="AEA51" s="12"/>
      <c r="AEB51" s="12"/>
      <c r="AEC51" s="12"/>
      <c r="AED51" s="12"/>
      <c r="AEE51" s="12"/>
      <c r="AEF51" s="12"/>
      <c r="AEG51" s="12"/>
      <c r="AEH51" s="12"/>
      <c r="AEI51" s="12"/>
      <c r="AEJ51" s="12"/>
      <c r="AEK51" s="12"/>
      <c r="AEL51" s="12"/>
      <c r="AEM51" s="12"/>
      <c r="AEN51" s="12"/>
      <c r="AEO51" s="12"/>
      <c r="AEP51" s="12"/>
      <c r="AEQ51" s="12"/>
      <c r="AER51" s="12"/>
      <c r="AES51" s="12"/>
      <c r="AET51" s="12"/>
      <c r="AEU51" s="12"/>
      <c r="AEV51" s="12"/>
    </row>
    <row r="52" spans="1:828" s="27" customFormat="1" ht="18" x14ac:dyDescent="0.2">
      <c r="A52" s="62"/>
      <c r="D52" s="29"/>
      <c r="E52" s="23"/>
      <c r="F52" s="23"/>
      <c r="G52" s="23"/>
      <c r="H52" s="30"/>
      <c r="I52" s="23"/>
      <c r="J52" s="29"/>
      <c r="K52" s="30"/>
      <c r="L52" s="23"/>
      <c r="M52" s="29"/>
      <c r="N52" s="47"/>
      <c r="O52" s="12"/>
      <c r="P52" s="48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  <c r="IY52" s="12"/>
      <c r="IZ52" s="12"/>
      <c r="JA52" s="12"/>
      <c r="JB52" s="12"/>
      <c r="JC52" s="12"/>
      <c r="JD52" s="12"/>
      <c r="JE52" s="12"/>
      <c r="JF52" s="12"/>
      <c r="JG52" s="12"/>
      <c r="JH52" s="12"/>
      <c r="JI52" s="12"/>
      <c r="JJ52" s="12"/>
      <c r="JK52" s="12"/>
      <c r="JL52" s="12"/>
      <c r="JM52" s="12"/>
      <c r="JN52" s="12"/>
      <c r="JO52" s="12"/>
      <c r="JP52" s="12"/>
      <c r="JQ52" s="12"/>
      <c r="JR52" s="12"/>
      <c r="JS52" s="12"/>
      <c r="JT52" s="12"/>
      <c r="JU52" s="12"/>
      <c r="JV52" s="12"/>
      <c r="JW52" s="12"/>
      <c r="JX52" s="12"/>
      <c r="JY52" s="12"/>
      <c r="JZ52" s="12"/>
      <c r="KA52" s="12"/>
      <c r="KB52" s="12"/>
      <c r="KC52" s="12"/>
      <c r="KD52" s="12"/>
      <c r="KE52" s="12"/>
      <c r="KF52" s="12"/>
      <c r="KG52" s="12"/>
      <c r="KH52" s="12"/>
      <c r="KI52" s="12"/>
      <c r="KJ52" s="12"/>
      <c r="KK52" s="12"/>
      <c r="KL52" s="12"/>
      <c r="KM52" s="12"/>
      <c r="KN52" s="12"/>
      <c r="KO52" s="12"/>
      <c r="KP52" s="12"/>
      <c r="KQ52" s="12"/>
      <c r="KR52" s="12"/>
      <c r="KS52" s="12"/>
      <c r="KT52" s="12"/>
      <c r="KU52" s="12"/>
      <c r="KV52" s="12"/>
      <c r="KW52" s="12"/>
      <c r="KX52" s="12"/>
      <c r="KY52" s="12"/>
      <c r="KZ52" s="12"/>
      <c r="LA52" s="12"/>
      <c r="LB52" s="12"/>
      <c r="LC52" s="12"/>
      <c r="LD52" s="12"/>
      <c r="LE52" s="12"/>
      <c r="LF52" s="12"/>
      <c r="LG52" s="12"/>
      <c r="LH52" s="12"/>
      <c r="LI52" s="12"/>
      <c r="LJ52" s="12"/>
      <c r="LK52" s="12"/>
      <c r="LL52" s="12"/>
      <c r="LM52" s="12"/>
      <c r="LN52" s="12"/>
      <c r="LO52" s="12"/>
      <c r="LP52" s="12"/>
      <c r="LQ52" s="12"/>
      <c r="LR52" s="12"/>
      <c r="LS52" s="12"/>
      <c r="LT52" s="12"/>
      <c r="LU52" s="12"/>
      <c r="LV52" s="12"/>
      <c r="LW52" s="12"/>
      <c r="LX52" s="12"/>
      <c r="LY52" s="12"/>
      <c r="LZ52" s="12"/>
      <c r="MA52" s="12"/>
      <c r="MB52" s="12"/>
      <c r="MC52" s="12"/>
      <c r="MD52" s="12"/>
      <c r="ME52" s="12"/>
      <c r="MF52" s="12"/>
      <c r="MG52" s="12"/>
      <c r="MH52" s="12"/>
      <c r="MI52" s="12"/>
      <c r="MJ52" s="12"/>
      <c r="MK52" s="12"/>
      <c r="ML52" s="12"/>
      <c r="MM52" s="12"/>
      <c r="MN52" s="12"/>
      <c r="MO52" s="12"/>
      <c r="MP52" s="12"/>
      <c r="MQ52" s="12"/>
      <c r="MR52" s="12"/>
      <c r="MS52" s="12"/>
      <c r="MT52" s="12"/>
      <c r="MU52" s="12"/>
      <c r="MV52" s="12"/>
      <c r="MW52" s="12"/>
      <c r="MX52" s="12"/>
      <c r="MY52" s="12"/>
      <c r="MZ52" s="12"/>
      <c r="NA52" s="12"/>
      <c r="NB52" s="12"/>
      <c r="NC52" s="12"/>
      <c r="ND52" s="12"/>
      <c r="NE52" s="12"/>
      <c r="NF52" s="12"/>
      <c r="NG52" s="12"/>
      <c r="NH52" s="12"/>
      <c r="NI52" s="12"/>
      <c r="NJ52" s="12"/>
      <c r="NK52" s="12"/>
      <c r="NL52" s="12"/>
      <c r="NM52" s="12"/>
      <c r="NN52" s="12"/>
      <c r="NO52" s="12"/>
      <c r="NP52" s="12"/>
      <c r="NQ52" s="12"/>
      <c r="NR52" s="12"/>
      <c r="NS52" s="12"/>
      <c r="NT52" s="12"/>
      <c r="NU52" s="12"/>
      <c r="NV52" s="12"/>
      <c r="NW52" s="12"/>
      <c r="NX52" s="12"/>
      <c r="NY52" s="12"/>
      <c r="NZ52" s="12"/>
      <c r="OA52" s="12"/>
      <c r="OB52" s="12"/>
      <c r="OC52" s="12"/>
      <c r="OD52" s="12"/>
      <c r="OE52" s="12"/>
      <c r="OF52" s="12"/>
      <c r="OG52" s="12"/>
      <c r="OH52" s="12"/>
      <c r="OI52" s="12"/>
      <c r="OJ52" s="12"/>
      <c r="OK52" s="12"/>
      <c r="OL52" s="12"/>
      <c r="OM52" s="12"/>
      <c r="ON52" s="12"/>
      <c r="OO52" s="12"/>
      <c r="OP52" s="12"/>
      <c r="OQ52" s="12"/>
      <c r="OR52" s="12"/>
      <c r="OS52" s="12"/>
      <c r="OT52" s="12"/>
      <c r="OU52" s="12"/>
      <c r="OV52" s="12"/>
      <c r="OW52" s="12"/>
      <c r="OX52" s="12"/>
      <c r="OY52" s="12"/>
      <c r="OZ52" s="12"/>
      <c r="PA52" s="12"/>
      <c r="PB52" s="12"/>
      <c r="PC52" s="12"/>
      <c r="PD52" s="12"/>
      <c r="PE52" s="12"/>
      <c r="PF52" s="12"/>
      <c r="PG52" s="12"/>
      <c r="PH52" s="12"/>
      <c r="PI52" s="12"/>
      <c r="PJ52" s="12"/>
      <c r="PK52" s="12"/>
      <c r="PL52" s="12"/>
      <c r="PM52" s="12"/>
      <c r="PN52" s="12"/>
      <c r="PO52" s="12"/>
      <c r="PP52" s="12"/>
      <c r="PQ52" s="12"/>
      <c r="PR52" s="12"/>
      <c r="PS52" s="12"/>
      <c r="PT52" s="12"/>
      <c r="PU52" s="12"/>
      <c r="PV52" s="12"/>
      <c r="PW52" s="12"/>
      <c r="PX52" s="12"/>
      <c r="PY52" s="12"/>
      <c r="PZ52" s="12"/>
      <c r="QA52" s="12"/>
      <c r="QB52" s="12"/>
      <c r="QC52" s="12"/>
      <c r="QD52" s="12"/>
      <c r="QE52" s="12"/>
      <c r="QF52" s="12"/>
      <c r="QG52" s="12"/>
      <c r="QH52" s="12"/>
      <c r="QI52" s="12"/>
      <c r="QJ52" s="12"/>
      <c r="QK52" s="12"/>
      <c r="QL52" s="12"/>
      <c r="QM52" s="12"/>
      <c r="QN52" s="12"/>
      <c r="QO52" s="12"/>
      <c r="QP52" s="12"/>
      <c r="QQ52" s="12"/>
      <c r="QR52" s="12"/>
      <c r="QS52" s="12"/>
      <c r="QT52" s="12"/>
      <c r="QU52" s="12"/>
      <c r="QV52" s="12"/>
      <c r="QW52" s="12"/>
      <c r="QX52" s="12"/>
      <c r="QY52" s="12"/>
      <c r="QZ52" s="12"/>
      <c r="RA52" s="12"/>
      <c r="RB52" s="12"/>
      <c r="RC52" s="12"/>
      <c r="RD52" s="12"/>
      <c r="RE52" s="12"/>
      <c r="RF52" s="12"/>
      <c r="RG52" s="12"/>
      <c r="RH52" s="12"/>
      <c r="RI52" s="12"/>
      <c r="RJ52" s="12"/>
      <c r="RK52" s="12"/>
      <c r="RL52" s="12"/>
      <c r="RM52" s="12"/>
      <c r="RN52" s="12"/>
      <c r="RO52" s="12"/>
      <c r="RP52" s="12"/>
      <c r="RQ52" s="12"/>
      <c r="RR52" s="12"/>
      <c r="RS52" s="12"/>
      <c r="RT52" s="12"/>
      <c r="RU52" s="12"/>
      <c r="RV52" s="12"/>
      <c r="RW52" s="12"/>
      <c r="RX52" s="12"/>
      <c r="RY52" s="12"/>
      <c r="RZ52" s="12"/>
      <c r="SA52" s="12"/>
      <c r="SB52" s="12"/>
      <c r="SC52" s="12"/>
      <c r="SD52" s="12"/>
      <c r="SE52" s="12"/>
      <c r="SF52" s="12"/>
      <c r="SG52" s="12"/>
      <c r="SH52" s="12"/>
      <c r="SI52" s="12"/>
      <c r="SJ52" s="12"/>
      <c r="SK52" s="12"/>
      <c r="SL52" s="12"/>
      <c r="SM52" s="12"/>
      <c r="SN52" s="12"/>
      <c r="SO52" s="12"/>
      <c r="SP52" s="12"/>
      <c r="SQ52" s="12"/>
      <c r="SR52" s="12"/>
      <c r="SS52" s="12"/>
      <c r="ST52" s="12"/>
      <c r="SU52" s="12"/>
      <c r="SV52" s="12"/>
      <c r="SW52" s="12"/>
      <c r="SX52" s="12"/>
      <c r="SY52" s="12"/>
      <c r="SZ52" s="12"/>
      <c r="TA52" s="12"/>
      <c r="TB52" s="12"/>
      <c r="TC52" s="12"/>
      <c r="TD52" s="12"/>
      <c r="TE52" s="12"/>
      <c r="TF52" s="12"/>
      <c r="TG52" s="12"/>
      <c r="TH52" s="12"/>
      <c r="TI52" s="12"/>
      <c r="TJ52" s="12"/>
      <c r="TK52" s="12"/>
      <c r="TL52" s="12"/>
      <c r="TM52" s="12"/>
      <c r="TN52" s="12"/>
      <c r="TO52" s="12"/>
      <c r="TP52" s="12"/>
      <c r="TQ52" s="12"/>
      <c r="TR52" s="12"/>
      <c r="TS52" s="12"/>
      <c r="TT52" s="12"/>
      <c r="TU52" s="12"/>
      <c r="TV52" s="12"/>
      <c r="TW52" s="12"/>
      <c r="TX52" s="12"/>
      <c r="TY52" s="12"/>
      <c r="TZ52" s="12"/>
      <c r="UA52" s="12"/>
      <c r="UB52" s="12"/>
      <c r="UC52" s="12"/>
      <c r="UD52" s="12"/>
      <c r="UE52" s="12"/>
      <c r="UF52" s="12"/>
      <c r="UG52" s="12"/>
      <c r="UH52" s="12"/>
      <c r="UI52" s="12"/>
      <c r="UJ52" s="12"/>
      <c r="UK52" s="12"/>
      <c r="UL52" s="12"/>
      <c r="UM52" s="12"/>
      <c r="UN52" s="12"/>
      <c r="UO52" s="12"/>
      <c r="UP52" s="12"/>
      <c r="UQ52" s="12"/>
      <c r="UR52" s="12"/>
      <c r="US52" s="12"/>
      <c r="UT52" s="12"/>
      <c r="UU52" s="12"/>
      <c r="UV52" s="12"/>
      <c r="UW52" s="12"/>
      <c r="UX52" s="12"/>
      <c r="UY52" s="12"/>
      <c r="UZ52" s="12"/>
      <c r="VA52" s="12"/>
      <c r="VB52" s="12"/>
      <c r="VC52" s="12"/>
      <c r="VD52" s="12"/>
      <c r="VE52" s="12"/>
      <c r="VF52" s="12"/>
      <c r="VG52" s="12"/>
      <c r="VH52" s="12"/>
      <c r="VI52" s="12"/>
      <c r="VJ52" s="12"/>
      <c r="VK52" s="12"/>
      <c r="VL52" s="12"/>
      <c r="VM52" s="12"/>
      <c r="VN52" s="12"/>
      <c r="VO52" s="12"/>
      <c r="VP52" s="12"/>
      <c r="VQ52" s="12"/>
      <c r="VR52" s="12"/>
      <c r="VS52" s="12"/>
      <c r="VT52" s="12"/>
      <c r="VU52" s="12"/>
      <c r="VV52" s="12"/>
      <c r="VW52" s="12"/>
      <c r="VX52" s="12"/>
      <c r="VY52" s="12"/>
      <c r="VZ52" s="12"/>
      <c r="WA52" s="12"/>
      <c r="WB52" s="12"/>
      <c r="WC52" s="12"/>
      <c r="WD52" s="12"/>
      <c r="WE52" s="12"/>
      <c r="WF52" s="12"/>
      <c r="WG52" s="12"/>
      <c r="WH52" s="12"/>
      <c r="WI52" s="12"/>
      <c r="WJ52" s="12"/>
      <c r="WK52" s="12"/>
      <c r="WL52" s="12"/>
      <c r="WM52" s="12"/>
      <c r="WN52" s="12"/>
      <c r="WO52" s="12"/>
      <c r="WP52" s="12"/>
      <c r="WQ52" s="12"/>
      <c r="WR52" s="12"/>
      <c r="WS52" s="12"/>
      <c r="WT52" s="12"/>
      <c r="WU52" s="12"/>
      <c r="WV52" s="12"/>
      <c r="WW52" s="12"/>
      <c r="WX52" s="12"/>
      <c r="WY52" s="12"/>
      <c r="WZ52" s="12"/>
      <c r="XA52" s="12"/>
      <c r="XB52" s="12"/>
      <c r="XC52" s="12"/>
      <c r="XD52" s="12"/>
      <c r="XE52" s="12"/>
      <c r="XF52" s="12"/>
      <c r="XG52" s="12"/>
      <c r="XH52" s="12"/>
      <c r="XI52" s="12"/>
      <c r="XJ52" s="12"/>
      <c r="XK52" s="12"/>
      <c r="XL52" s="12"/>
      <c r="XM52" s="12"/>
      <c r="XN52" s="12"/>
      <c r="XO52" s="12"/>
      <c r="XP52" s="12"/>
      <c r="XQ52" s="12"/>
      <c r="XR52" s="12"/>
      <c r="XS52" s="12"/>
      <c r="XT52" s="12"/>
      <c r="XU52" s="12"/>
      <c r="XV52" s="12"/>
      <c r="XW52" s="12"/>
      <c r="XX52" s="12"/>
      <c r="XY52" s="12"/>
      <c r="XZ52" s="12"/>
      <c r="YA52" s="12"/>
      <c r="YB52" s="12"/>
      <c r="YC52" s="12"/>
      <c r="YD52" s="12"/>
      <c r="YE52" s="12"/>
      <c r="YF52" s="12"/>
      <c r="YG52" s="12"/>
      <c r="YH52" s="12"/>
      <c r="YI52" s="12"/>
      <c r="YJ52" s="12"/>
      <c r="YK52" s="12"/>
      <c r="YL52" s="12"/>
      <c r="YM52" s="12"/>
      <c r="YN52" s="12"/>
      <c r="YO52" s="12"/>
      <c r="YP52" s="12"/>
      <c r="YQ52" s="12"/>
      <c r="YR52" s="12"/>
      <c r="YS52" s="12"/>
      <c r="YT52" s="12"/>
      <c r="YU52" s="12"/>
      <c r="YV52" s="12"/>
      <c r="YW52" s="12"/>
      <c r="YX52" s="12"/>
      <c r="YY52" s="12"/>
      <c r="YZ52" s="12"/>
      <c r="ZA52" s="12"/>
      <c r="ZB52" s="12"/>
      <c r="ZC52" s="12"/>
      <c r="ZD52" s="12"/>
      <c r="ZE52" s="12"/>
      <c r="ZF52" s="12"/>
      <c r="ZG52" s="12"/>
      <c r="ZH52" s="12"/>
      <c r="ZI52" s="12"/>
      <c r="ZJ52" s="12"/>
      <c r="ZK52" s="12"/>
      <c r="ZL52" s="12"/>
      <c r="ZM52" s="12"/>
      <c r="ZN52" s="12"/>
      <c r="ZO52" s="12"/>
      <c r="ZP52" s="12"/>
      <c r="ZQ52" s="12"/>
      <c r="ZR52" s="12"/>
      <c r="ZS52" s="12"/>
      <c r="ZT52" s="12"/>
      <c r="ZU52" s="12"/>
      <c r="ZV52" s="12"/>
      <c r="ZW52" s="12"/>
      <c r="ZX52" s="12"/>
      <c r="ZY52" s="12"/>
      <c r="ZZ52" s="12"/>
      <c r="AAA52" s="12"/>
      <c r="AAB52" s="12"/>
      <c r="AAC52" s="12"/>
      <c r="AAD52" s="12"/>
      <c r="AAE52" s="12"/>
      <c r="AAF52" s="12"/>
      <c r="AAG52" s="12"/>
      <c r="AAH52" s="12"/>
      <c r="AAI52" s="12"/>
      <c r="AAJ52" s="12"/>
      <c r="AAK52" s="12"/>
      <c r="AAL52" s="12"/>
      <c r="AAM52" s="12"/>
      <c r="AAN52" s="12"/>
      <c r="AAO52" s="12"/>
      <c r="AAP52" s="12"/>
      <c r="AAQ52" s="12"/>
      <c r="AAR52" s="12"/>
      <c r="AAS52" s="12"/>
      <c r="AAT52" s="12"/>
      <c r="AAU52" s="12"/>
      <c r="AAV52" s="12"/>
      <c r="AAW52" s="12"/>
      <c r="AAX52" s="12"/>
      <c r="AAY52" s="12"/>
      <c r="AAZ52" s="12"/>
      <c r="ABA52" s="12"/>
      <c r="ABB52" s="12"/>
      <c r="ABC52" s="12"/>
      <c r="ABD52" s="12"/>
      <c r="ABE52" s="12"/>
      <c r="ABF52" s="12"/>
      <c r="ABG52" s="12"/>
      <c r="ABH52" s="12"/>
      <c r="ABI52" s="12"/>
      <c r="ABJ52" s="12"/>
      <c r="ABK52" s="12"/>
      <c r="ABL52" s="12"/>
      <c r="ABM52" s="12"/>
      <c r="ABN52" s="12"/>
      <c r="ABO52" s="12"/>
      <c r="ABP52" s="12"/>
      <c r="ABQ52" s="12"/>
      <c r="ABR52" s="12"/>
      <c r="ABS52" s="12"/>
      <c r="ABT52" s="12"/>
      <c r="ABU52" s="12"/>
      <c r="ABV52" s="12"/>
      <c r="ABW52" s="12"/>
      <c r="ABX52" s="12"/>
      <c r="ABY52" s="12"/>
      <c r="ABZ52" s="12"/>
      <c r="ACA52" s="12"/>
      <c r="ACB52" s="12"/>
      <c r="ACC52" s="12"/>
      <c r="ACD52" s="12"/>
      <c r="ACE52" s="12"/>
      <c r="ACF52" s="12"/>
      <c r="ACG52" s="12"/>
      <c r="ACH52" s="12"/>
      <c r="ACI52" s="12"/>
      <c r="ACJ52" s="12"/>
      <c r="ACK52" s="12"/>
      <c r="ACL52" s="12"/>
      <c r="ACM52" s="12"/>
      <c r="ACN52" s="12"/>
      <c r="ACO52" s="12"/>
      <c r="ACP52" s="12"/>
      <c r="ACQ52" s="12"/>
      <c r="ACR52" s="12"/>
      <c r="ACS52" s="12"/>
      <c r="ACT52" s="12"/>
      <c r="ACU52" s="12"/>
      <c r="ACV52" s="12"/>
      <c r="ACW52" s="12"/>
      <c r="ACX52" s="12"/>
      <c r="ACY52" s="12"/>
      <c r="ACZ52" s="12"/>
      <c r="ADA52" s="12"/>
      <c r="ADB52" s="12"/>
      <c r="ADC52" s="12"/>
      <c r="ADD52" s="12"/>
      <c r="ADE52" s="12"/>
      <c r="ADF52" s="12"/>
      <c r="ADG52" s="12"/>
      <c r="ADH52" s="12"/>
      <c r="ADI52" s="12"/>
      <c r="ADJ52" s="12"/>
      <c r="ADK52" s="12"/>
      <c r="ADL52" s="12"/>
      <c r="ADM52" s="12"/>
      <c r="ADN52" s="12"/>
      <c r="ADO52" s="12"/>
      <c r="ADP52" s="12"/>
      <c r="ADQ52" s="12"/>
      <c r="ADR52" s="12"/>
      <c r="ADS52" s="12"/>
      <c r="ADT52" s="12"/>
      <c r="ADU52" s="12"/>
      <c r="ADV52" s="12"/>
      <c r="ADW52" s="12"/>
      <c r="ADX52" s="12"/>
      <c r="ADY52" s="12"/>
      <c r="ADZ52" s="12"/>
      <c r="AEA52" s="12"/>
      <c r="AEB52" s="12"/>
      <c r="AEC52" s="12"/>
      <c r="AED52" s="12"/>
      <c r="AEE52" s="12"/>
      <c r="AEF52" s="12"/>
      <c r="AEG52" s="12"/>
      <c r="AEH52" s="12"/>
      <c r="AEI52" s="12"/>
      <c r="AEJ52" s="12"/>
      <c r="AEK52" s="12"/>
      <c r="AEL52" s="12"/>
      <c r="AEM52" s="12"/>
      <c r="AEN52" s="12"/>
      <c r="AEO52" s="12"/>
      <c r="AEP52" s="12"/>
      <c r="AEQ52" s="12"/>
      <c r="AER52" s="12"/>
      <c r="AES52" s="12"/>
      <c r="AET52" s="12"/>
      <c r="AEU52" s="12"/>
      <c r="AEV52" s="12"/>
    </row>
    <row r="53" spans="1:828" s="27" customFormat="1" ht="18" x14ac:dyDescent="0.2">
      <c r="A53" s="62"/>
      <c r="D53" s="29"/>
      <c r="E53" s="23"/>
      <c r="F53" s="23"/>
      <c r="G53" s="23"/>
      <c r="H53" s="30"/>
      <c r="K53" s="30"/>
      <c r="L53" s="23"/>
      <c r="M53" s="29"/>
      <c r="N53" s="47"/>
      <c r="O53" s="12"/>
      <c r="P53" s="48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2"/>
      <c r="FJ53" s="12"/>
      <c r="FK53" s="12"/>
      <c r="FL53" s="12"/>
      <c r="FM53" s="12"/>
      <c r="FN53" s="12"/>
      <c r="FO53" s="12"/>
      <c r="FP53" s="12"/>
      <c r="FQ53" s="12"/>
      <c r="FR53" s="12"/>
      <c r="FS53" s="12"/>
      <c r="FT53" s="12"/>
      <c r="FU53" s="12"/>
      <c r="FV53" s="12"/>
      <c r="FW53" s="12"/>
      <c r="FX53" s="12"/>
      <c r="FY53" s="12"/>
      <c r="FZ53" s="12"/>
      <c r="GA53" s="12"/>
      <c r="GB53" s="12"/>
      <c r="GC53" s="12"/>
      <c r="GD53" s="12"/>
      <c r="GE53" s="12"/>
      <c r="GF53" s="12"/>
      <c r="GG53" s="12"/>
      <c r="GH53" s="12"/>
      <c r="GI53" s="12"/>
      <c r="GJ53" s="12"/>
      <c r="GK53" s="12"/>
      <c r="GL53" s="12"/>
      <c r="GM53" s="12"/>
      <c r="GN53" s="12"/>
      <c r="GO53" s="12"/>
      <c r="GP53" s="12"/>
      <c r="GQ53" s="12"/>
      <c r="GR53" s="12"/>
      <c r="GS53" s="12"/>
      <c r="GT53" s="12"/>
      <c r="GU53" s="12"/>
      <c r="GV53" s="12"/>
      <c r="GW53" s="12"/>
      <c r="GX53" s="12"/>
      <c r="GY53" s="12"/>
      <c r="GZ53" s="12"/>
      <c r="HA53" s="12"/>
      <c r="HB53" s="12"/>
      <c r="HC53" s="12"/>
      <c r="HD53" s="12"/>
      <c r="HE53" s="12"/>
      <c r="HF53" s="12"/>
      <c r="HG53" s="12"/>
      <c r="HH53" s="12"/>
      <c r="HI53" s="12"/>
      <c r="HJ53" s="12"/>
      <c r="HK53" s="12"/>
      <c r="HL53" s="12"/>
      <c r="HM53" s="12"/>
      <c r="HN53" s="12"/>
      <c r="HO53" s="12"/>
      <c r="HP53" s="12"/>
      <c r="HQ53" s="12"/>
      <c r="HR53" s="12"/>
      <c r="HS53" s="12"/>
      <c r="HT53" s="12"/>
      <c r="HU53" s="12"/>
      <c r="HV53" s="12"/>
      <c r="HW53" s="12"/>
      <c r="HX53" s="12"/>
      <c r="HY53" s="12"/>
      <c r="HZ53" s="12"/>
      <c r="IA53" s="12"/>
      <c r="IB53" s="12"/>
      <c r="IC53" s="12"/>
      <c r="ID53" s="12"/>
      <c r="IE53" s="12"/>
      <c r="IF53" s="12"/>
      <c r="IG53" s="12"/>
      <c r="IH53" s="12"/>
      <c r="II53" s="12"/>
      <c r="IJ53" s="12"/>
      <c r="IK53" s="12"/>
      <c r="IL53" s="12"/>
      <c r="IM53" s="12"/>
      <c r="IN53" s="12"/>
      <c r="IO53" s="12"/>
      <c r="IP53" s="12"/>
      <c r="IQ53" s="12"/>
      <c r="IR53" s="12"/>
      <c r="IS53" s="12"/>
      <c r="IT53" s="12"/>
      <c r="IU53" s="12"/>
      <c r="IV53" s="12"/>
      <c r="IW53" s="12"/>
      <c r="IX53" s="12"/>
      <c r="IY53" s="12"/>
      <c r="IZ53" s="12"/>
      <c r="JA53" s="12"/>
      <c r="JB53" s="12"/>
      <c r="JC53" s="12"/>
      <c r="JD53" s="12"/>
      <c r="JE53" s="12"/>
      <c r="JF53" s="12"/>
      <c r="JG53" s="12"/>
      <c r="JH53" s="12"/>
      <c r="JI53" s="12"/>
      <c r="JJ53" s="12"/>
      <c r="JK53" s="12"/>
      <c r="JL53" s="12"/>
      <c r="JM53" s="12"/>
      <c r="JN53" s="12"/>
      <c r="JO53" s="12"/>
      <c r="JP53" s="12"/>
      <c r="JQ53" s="12"/>
      <c r="JR53" s="12"/>
      <c r="JS53" s="12"/>
      <c r="JT53" s="12"/>
      <c r="JU53" s="12"/>
      <c r="JV53" s="12"/>
      <c r="JW53" s="12"/>
      <c r="JX53" s="12"/>
      <c r="JY53" s="12"/>
      <c r="JZ53" s="12"/>
      <c r="KA53" s="12"/>
      <c r="KB53" s="12"/>
      <c r="KC53" s="12"/>
      <c r="KD53" s="12"/>
      <c r="KE53" s="12"/>
      <c r="KF53" s="12"/>
      <c r="KG53" s="12"/>
      <c r="KH53" s="12"/>
      <c r="KI53" s="12"/>
      <c r="KJ53" s="12"/>
      <c r="KK53" s="12"/>
      <c r="KL53" s="12"/>
      <c r="KM53" s="12"/>
      <c r="KN53" s="12"/>
      <c r="KO53" s="12"/>
      <c r="KP53" s="12"/>
      <c r="KQ53" s="12"/>
      <c r="KR53" s="12"/>
      <c r="KS53" s="12"/>
      <c r="KT53" s="12"/>
      <c r="KU53" s="12"/>
      <c r="KV53" s="12"/>
      <c r="KW53" s="12"/>
      <c r="KX53" s="12"/>
      <c r="KY53" s="12"/>
      <c r="KZ53" s="12"/>
      <c r="LA53" s="12"/>
      <c r="LB53" s="12"/>
      <c r="LC53" s="12"/>
      <c r="LD53" s="12"/>
      <c r="LE53" s="12"/>
      <c r="LF53" s="12"/>
      <c r="LG53" s="12"/>
      <c r="LH53" s="12"/>
      <c r="LI53" s="12"/>
      <c r="LJ53" s="12"/>
      <c r="LK53" s="12"/>
      <c r="LL53" s="12"/>
      <c r="LM53" s="12"/>
      <c r="LN53" s="12"/>
      <c r="LO53" s="12"/>
      <c r="LP53" s="12"/>
      <c r="LQ53" s="12"/>
      <c r="LR53" s="12"/>
      <c r="LS53" s="12"/>
      <c r="LT53" s="12"/>
      <c r="LU53" s="12"/>
      <c r="LV53" s="12"/>
      <c r="LW53" s="12"/>
      <c r="LX53" s="12"/>
      <c r="LY53" s="12"/>
      <c r="LZ53" s="12"/>
      <c r="MA53" s="12"/>
      <c r="MB53" s="12"/>
      <c r="MC53" s="12"/>
      <c r="MD53" s="12"/>
      <c r="ME53" s="12"/>
      <c r="MF53" s="12"/>
      <c r="MG53" s="12"/>
      <c r="MH53" s="12"/>
      <c r="MI53" s="12"/>
      <c r="MJ53" s="12"/>
      <c r="MK53" s="12"/>
      <c r="ML53" s="12"/>
      <c r="MM53" s="12"/>
      <c r="MN53" s="12"/>
      <c r="MO53" s="12"/>
      <c r="MP53" s="12"/>
      <c r="MQ53" s="12"/>
      <c r="MR53" s="12"/>
      <c r="MS53" s="12"/>
      <c r="MT53" s="12"/>
      <c r="MU53" s="12"/>
      <c r="MV53" s="12"/>
      <c r="MW53" s="12"/>
      <c r="MX53" s="12"/>
      <c r="MY53" s="12"/>
      <c r="MZ53" s="12"/>
      <c r="NA53" s="12"/>
      <c r="NB53" s="12"/>
      <c r="NC53" s="12"/>
      <c r="ND53" s="12"/>
      <c r="NE53" s="12"/>
      <c r="NF53" s="12"/>
      <c r="NG53" s="12"/>
      <c r="NH53" s="12"/>
      <c r="NI53" s="12"/>
      <c r="NJ53" s="12"/>
      <c r="NK53" s="12"/>
      <c r="NL53" s="12"/>
      <c r="NM53" s="12"/>
      <c r="NN53" s="12"/>
      <c r="NO53" s="12"/>
      <c r="NP53" s="12"/>
      <c r="NQ53" s="12"/>
      <c r="NR53" s="12"/>
      <c r="NS53" s="12"/>
      <c r="NT53" s="12"/>
      <c r="NU53" s="12"/>
      <c r="NV53" s="12"/>
      <c r="NW53" s="12"/>
      <c r="NX53" s="12"/>
      <c r="NY53" s="12"/>
      <c r="NZ53" s="12"/>
      <c r="OA53" s="12"/>
      <c r="OB53" s="12"/>
      <c r="OC53" s="12"/>
      <c r="OD53" s="12"/>
      <c r="OE53" s="12"/>
      <c r="OF53" s="12"/>
      <c r="OG53" s="12"/>
      <c r="OH53" s="12"/>
      <c r="OI53" s="12"/>
      <c r="OJ53" s="12"/>
      <c r="OK53" s="12"/>
      <c r="OL53" s="12"/>
      <c r="OM53" s="12"/>
      <c r="ON53" s="12"/>
      <c r="OO53" s="12"/>
      <c r="OP53" s="12"/>
      <c r="OQ53" s="12"/>
      <c r="OR53" s="12"/>
      <c r="OS53" s="12"/>
      <c r="OT53" s="12"/>
      <c r="OU53" s="12"/>
      <c r="OV53" s="12"/>
      <c r="OW53" s="12"/>
      <c r="OX53" s="12"/>
      <c r="OY53" s="12"/>
      <c r="OZ53" s="12"/>
      <c r="PA53" s="12"/>
      <c r="PB53" s="12"/>
      <c r="PC53" s="12"/>
      <c r="PD53" s="12"/>
      <c r="PE53" s="12"/>
      <c r="PF53" s="12"/>
      <c r="PG53" s="12"/>
      <c r="PH53" s="12"/>
      <c r="PI53" s="12"/>
      <c r="PJ53" s="12"/>
      <c r="PK53" s="12"/>
      <c r="PL53" s="12"/>
      <c r="PM53" s="12"/>
      <c r="PN53" s="12"/>
      <c r="PO53" s="12"/>
      <c r="PP53" s="12"/>
      <c r="PQ53" s="12"/>
      <c r="PR53" s="12"/>
      <c r="PS53" s="12"/>
      <c r="PT53" s="12"/>
      <c r="PU53" s="12"/>
      <c r="PV53" s="12"/>
      <c r="PW53" s="12"/>
      <c r="PX53" s="12"/>
      <c r="PY53" s="12"/>
      <c r="PZ53" s="12"/>
      <c r="QA53" s="12"/>
      <c r="QB53" s="12"/>
      <c r="QC53" s="12"/>
      <c r="QD53" s="12"/>
      <c r="QE53" s="12"/>
      <c r="QF53" s="12"/>
      <c r="QG53" s="12"/>
      <c r="QH53" s="12"/>
      <c r="QI53" s="12"/>
      <c r="QJ53" s="12"/>
      <c r="QK53" s="12"/>
      <c r="QL53" s="12"/>
      <c r="QM53" s="12"/>
      <c r="QN53" s="12"/>
      <c r="QO53" s="12"/>
      <c r="QP53" s="12"/>
      <c r="QQ53" s="12"/>
      <c r="QR53" s="12"/>
      <c r="QS53" s="12"/>
      <c r="QT53" s="12"/>
      <c r="QU53" s="12"/>
      <c r="QV53" s="12"/>
      <c r="QW53" s="12"/>
      <c r="QX53" s="12"/>
      <c r="QY53" s="12"/>
      <c r="QZ53" s="12"/>
      <c r="RA53" s="12"/>
      <c r="RB53" s="12"/>
      <c r="RC53" s="12"/>
      <c r="RD53" s="12"/>
      <c r="RE53" s="12"/>
      <c r="RF53" s="12"/>
      <c r="RG53" s="12"/>
      <c r="RH53" s="12"/>
      <c r="RI53" s="12"/>
      <c r="RJ53" s="12"/>
      <c r="RK53" s="12"/>
      <c r="RL53" s="12"/>
      <c r="RM53" s="12"/>
      <c r="RN53" s="12"/>
      <c r="RO53" s="12"/>
      <c r="RP53" s="12"/>
      <c r="RQ53" s="12"/>
      <c r="RR53" s="12"/>
      <c r="RS53" s="12"/>
      <c r="RT53" s="12"/>
      <c r="RU53" s="12"/>
      <c r="RV53" s="12"/>
      <c r="RW53" s="12"/>
      <c r="RX53" s="12"/>
      <c r="RY53" s="12"/>
      <c r="RZ53" s="12"/>
      <c r="SA53" s="12"/>
      <c r="SB53" s="12"/>
      <c r="SC53" s="12"/>
      <c r="SD53" s="12"/>
      <c r="SE53" s="12"/>
      <c r="SF53" s="12"/>
      <c r="SG53" s="12"/>
      <c r="SH53" s="12"/>
      <c r="SI53" s="12"/>
      <c r="SJ53" s="12"/>
      <c r="SK53" s="12"/>
      <c r="SL53" s="12"/>
      <c r="SM53" s="12"/>
      <c r="SN53" s="12"/>
      <c r="SO53" s="12"/>
      <c r="SP53" s="12"/>
      <c r="SQ53" s="12"/>
      <c r="SR53" s="12"/>
      <c r="SS53" s="12"/>
      <c r="ST53" s="12"/>
      <c r="SU53" s="12"/>
      <c r="SV53" s="12"/>
      <c r="SW53" s="12"/>
      <c r="SX53" s="12"/>
      <c r="SY53" s="12"/>
      <c r="SZ53" s="12"/>
      <c r="TA53" s="12"/>
      <c r="TB53" s="12"/>
      <c r="TC53" s="12"/>
      <c r="TD53" s="12"/>
      <c r="TE53" s="12"/>
      <c r="TF53" s="12"/>
      <c r="TG53" s="12"/>
      <c r="TH53" s="12"/>
      <c r="TI53" s="12"/>
      <c r="TJ53" s="12"/>
      <c r="TK53" s="12"/>
      <c r="TL53" s="12"/>
      <c r="TM53" s="12"/>
      <c r="TN53" s="12"/>
      <c r="TO53" s="12"/>
      <c r="TP53" s="12"/>
      <c r="TQ53" s="12"/>
      <c r="TR53" s="12"/>
      <c r="TS53" s="12"/>
      <c r="TT53" s="12"/>
      <c r="TU53" s="12"/>
      <c r="TV53" s="12"/>
      <c r="TW53" s="12"/>
      <c r="TX53" s="12"/>
      <c r="TY53" s="12"/>
      <c r="TZ53" s="12"/>
      <c r="UA53" s="12"/>
      <c r="UB53" s="12"/>
      <c r="UC53" s="12"/>
      <c r="UD53" s="12"/>
      <c r="UE53" s="12"/>
      <c r="UF53" s="12"/>
      <c r="UG53" s="12"/>
      <c r="UH53" s="12"/>
      <c r="UI53" s="12"/>
      <c r="UJ53" s="12"/>
      <c r="UK53" s="12"/>
      <c r="UL53" s="12"/>
      <c r="UM53" s="12"/>
      <c r="UN53" s="12"/>
      <c r="UO53" s="12"/>
      <c r="UP53" s="12"/>
      <c r="UQ53" s="12"/>
      <c r="UR53" s="12"/>
      <c r="US53" s="12"/>
      <c r="UT53" s="12"/>
      <c r="UU53" s="12"/>
      <c r="UV53" s="12"/>
      <c r="UW53" s="12"/>
      <c r="UX53" s="12"/>
      <c r="UY53" s="12"/>
      <c r="UZ53" s="12"/>
      <c r="VA53" s="12"/>
      <c r="VB53" s="12"/>
      <c r="VC53" s="12"/>
      <c r="VD53" s="12"/>
      <c r="VE53" s="12"/>
      <c r="VF53" s="12"/>
      <c r="VG53" s="12"/>
      <c r="VH53" s="12"/>
      <c r="VI53" s="12"/>
      <c r="VJ53" s="12"/>
      <c r="VK53" s="12"/>
      <c r="VL53" s="12"/>
      <c r="VM53" s="12"/>
      <c r="VN53" s="12"/>
      <c r="VO53" s="12"/>
      <c r="VP53" s="12"/>
      <c r="VQ53" s="12"/>
      <c r="VR53" s="12"/>
      <c r="VS53" s="12"/>
      <c r="VT53" s="12"/>
      <c r="VU53" s="12"/>
      <c r="VV53" s="12"/>
      <c r="VW53" s="12"/>
      <c r="VX53" s="12"/>
      <c r="VY53" s="12"/>
      <c r="VZ53" s="12"/>
      <c r="WA53" s="12"/>
      <c r="WB53" s="12"/>
      <c r="WC53" s="12"/>
      <c r="WD53" s="12"/>
      <c r="WE53" s="12"/>
      <c r="WF53" s="12"/>
      <c r="WG53" s="12"/>
      <c r="WH53" s="12"/>
      <c r="WI53" s="12"/>
      <c r="WJ53" s="12"/>
      <c r="WK53" s="12"/>
      <c r="WL53" s="12"/>
      <c r="WM53" s="12"/>
      <c r="WN53" s="12"/>
      <c r="WO53" s="12"/>
      <c r="WP53" s="12"/>
      <c r="WQ53" s="12"/>
      <c r="WR53" s="12"/>
      <c r="WS53" s="12"/>
      <c r="WT53" s="12"/>
      <c r="WU53" s="12"/>
      <c r="WV53" s="12"/>
      <c r="WW53" s="12"/>
      <c r="WX53" s="12"/>
      <c r="WY53" s="12"/>
      <c r="WZ53" s="12"/>
      <c r="XA53" s="12"/>
      <c r="XB53" s="12"/>
      <c r="XC53" s="12"/>
      <c r="XD53" s="12"/>
      <c r="XE53" s="12"/>
      <c r="XF53" s="12"/>
      <c r="XG53" s="12"/>
      <c r="XH53" s="12"/>
      <c r="XI53" s="12"/>
      <c r="XJ53" s="12"/>
      <c r="XK53" s="12"/>
      <c r="XL53" s="12"/>
      <c r="XM53" s="12"/>
      <c r="XN53" s="12"/>
      <c r="XO53" s="12"/>
      <c r="XP53" s="12"/>
      <c r="XQ53" s="12"/>
      <c r="XR53" s="12"/>
      <c r="XS53" s="12"/>
      <c r="XT53" s="12"/>
      <c r="XU53" s="12"/>
      <c r="XV53" s="12"/>
      <c r="XW53" s="12"/>
      <c r="XX53" s="12"/>
      <c r="XY53" s="12"/>
      <c r="XZ53" s="12"/>
      <c r="YA53" s="12"/>
      <c r="YB53" s="12"/>
      <c r="YC53" s="12"/>
      <c r="YD53" s="12"/>
      <c r="YE53" s="12"/>
      <c r="YF53" s="12"/>
      <c r="YG53" s="12"/>
      <c r="YH53" s="12"/>
      <c r="YI53" s="12"/>
      <c r="YJ53" s="12"/>
      <c r="YK53" s="12"/>
      <c r="YL53" s="12"/>
      <c r="YM53" s="12"/>
      <c r="YN53" s="12"/>
      <c r="YO53" s="12"/>
      <c r="YP53" s="12"/>
      <c r="YQ53" s="12"/>
      <c r="YR53" s="12"/>
      <c r="YS53" s="12"/>
      <c r="YT53" s="12"/>
      <c r="YU53" s="12"/>
      <c r="YV53" s="12"/>
      <c r="YW53" s="12"/>
      <c r="YX53" s="12"/>
      <c r="YY53" s="12"/>
      <c r="YZ53" s="12"/>
      <c r="ZA53" s="12"/>
      <c r="ZB53" s="12"/>
      <c r="ZC53" s="12"/>
      <c r="ZD53" s="12"/>
      <c r="ZE53" s="12"/>
      <c r="ZF53" s="12"/>
      <c r="ZG53" s="12"/>
      <c r="ZH53" s="12"/>
      <c r="ZI53" s="12"/>
      <c r="ZJ53" s="12"/>
      <c r="ZK53" s="12"/>
      <c r="ZL53" s="12"/>
      <c r="ZM53" s="12"/>
      <c r="ZN53" s="12"/>
      <c r="ZO53" s="12"/>
      <c r="ZP53" s="12"/>
      <c r="ZQ53" s="12"/>
      <c r="ZR53" s="12"/>
      <c r="ZS53" s="12"/>
      <c r="ZT53" s="12"/>
      <c r="ZU53" s="12"/>
      <c r="ZV53" s="12"/>
      <c r="ZW53" s="12"/>
      <c r="ZX53" s="12"/>
      <c r="ZY53" s="12"/>
      <c r="ZZ53" s="12"/>
      <c r="AAA53" s="12"/>
      <c r="AAB53" s="12"/>
      <c r="AAC53" s="12"/>
      <c r="AAD53" s="12"/>
      <c r="AAE53" s="12"/>
      <c r="AAF53" s="12"/>
      <c r="AAG53" s="12"/>
      <c r="AAH53" s="12"/>
      <c r="AAI53" s="12"/>
      <c r="AAJ53" s="12"/>
      <c r="AAK53" s="12"/>
      <c r="AAL53" s="12"/>
      <c r="AAM53" s="12"/>
      <c r="AAN53" s="12"/>
      <c r="AAO53" s="12"/>
      <c r="AAP53" s="12"/>
      <c r="AAQ53" s="12"/>
      <c r="AAR53" s="12"/>
      <c r="AAS53" s="12"/>
      <c r="AAT53" s="12"/>
      <c r="AAU53" s="12"/>
      <c r="AAV53" s="12"/>
      <c r="AAW53" s="12"/>
      <c r="AAX53" s="12"/>
      <c r="AAY53" s="12"/>
      <c r="AAZ53" s="12"/>
      <c r="ABA53" s="12"/>
      <c r="ABB53" s="12"/>
      <c r="ABC53" s="12"/>
      <c r="ABD53" s="12"/>
      <c r="ABE53" s="12"/>
      <c r="ABF53" s="12"/>
      <c r="ABG53" s="12"/>
      <c r="ABH53" s="12"/>
      <c r="ABI53" s="12"/>
      <c r="ABJ53" s="12"/>
      <c r="ABK53" s="12"/>
      <c r="ABL53" s="12"/>
      <c r="ABM53" s="12"/>
      <c r="ABN53" s="12"/>
      <c r="ABO53" s="12"/>
      <c r="ABP53" s="12"/>
      <c r="ABQ53" s="12"/>
      <c r="ABR53" s="12"/>
      <c r="ABS53" s="12"/>
      <c r="ABT53" s="12"/>
      <c r="ABU53" s="12"/>
      <c r="ABV53" s="12"/>
      <c r="ABW53" s="12"/>
      <c r="ABX53" s="12"/>
      <c r="ABY53" s="12"/>
      <c r="ABZ53" s="12"/>
      <c r="ACA53" s="12"/>
      <c r="ACB53" s="12"/>
      <c r="ACC53" s="12"/>
      <c r="ACD53" s="12"/>
      <c r="ACE53" s="12"/>
      <c r="ACF53" s="12"/>
      <c r="ACG53" s="12"/>
      <c r="ACH53" s="12"/>
      <c r="ACI53" s="12"/>
      <c r="ACJ53" s="12"/>
      <c r="ACK53" s="12"/>
      <c r="ACL53" s="12"/>
      <c r="ACM53" s="12"/>
      <c r="ACN53" s="12"/>
      <c r="ACO53" s="12"/>
      <c r="ACP53" s="12"/>
      <c r="ACQ53" s="12"/>
      <c r="ACR53" s="12"/>
      <c r="ACS53" s="12"/>
      <c r="ACT53" s="12"/>
      <c r="ACU53" s="12"/>
      <c r="ACV53" s="12"/>
      <c r="ACW53" s="12"/>
      <c r="ACX53" s="12"/>
      <c r="ACY53" s="12"/>
      <c r="ACZ53" s="12"/>
      <c r="ADA53" s="12"/>
      <c r="ADB53" s="12"/>
      <c r="ADC53" s="12"/>
      <c r="ADD53" s="12"/>
      <c r="ADE53" s="12"/>
      <c r="ADF53" s="12"/>
      <c r="ADG53" s="12"/>
      <c r="ADH53" s="12"/>
      <c r="ADI53" s="12"/>
      <c r="ADJ53" s="12"/>
      <c r="ADK53" s="12"/>
      <c r="ADL53" s="12"/>
      <c r="ADM53" s="12"/>
      <c r="ADN53" s="12"/>
      <c r="ADO53" s="12"/>
      <c r="ADP53" s="12"/>
      <c r="ADQ53" s="12"/>
      <c r="ADR53" s="12"/>
      <c r="ADS53" s="12"/>
      <c r="ADT53" s="12"/>
      <c r="ADU53" s="12"/>
      <c r="ADV53" s="12"/>
      <c r="ADW53" s="12"/>
      <c r="ADX53" s="12"/>
      <c r="ADY53" s="12"/>
      <c r="ADZ53" s="12"/>
      <c r="AEA53" s="12"/>
      <c r="AEB53" s="12"/>
      <c r="AEC53" s="12"/>
      <c r="AED53" s="12"/>
      <c r="AEE53" s="12"/>
      <c r="AEF53" s="12"/>
      <c r="AEG53" s="12"/>
      <c r="AEH53" s="12"/>
      <c r="AEI53" s="12"/>
      <c r="AEJ53" s="12"/>
      <c r="AEK53" s="12"/>
      <c r="AEL53" s="12"/>
      <c r="AEM53" s="12"/>
      <c r="AEN53" s="12"/>
      <c r="AEO53" s="12"/>
      <c r="AEP53" s="12"/>
      <c r="AEQ53" s="12"/>
      <c r="AER53" s="12"/>
      <c r="AES53" s="12"/>
      <c r="AET53" s="12"/>
      <c r="AEU53" s="12"/>
      <c r="AEV53" s="12"/>
    </row>
    <row r="54" spans="1:828" s="27" customFormat="1" ht="18" x14ac:dyDescent="0.2">
      <c r="A54" s="62"/>
      <c r="C54" s="23"/>
      <c r="D54" s="29"/>
      <c r="E54" s="23"/>
      <c r="F54" s="23"/>
      <c r="G54" s="23"/>
      <c r="H54" s="30"/>
      <c r="K54" s="30"/>
      <c r="L54" s="23"/>
      <c r="M54" s="29"/>
      <c r="N54" s="47"/>
      <c r="O54" s="12"/>
      <c r="P54" s="48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  <c r="ID54" s="12"/>
      <c r="IE54" s="12"/>
      <c r="IF54" s="12"/>
      <c r="IG54" s="12"/>
      <c r="IH54" s="12"/>
      <c r="II54" s="12"/>
      <c r="IJ54" s="12"/>
      <c r="IK54" s="12"/>
      <c r="IL54" s="12"/>
      <c r="IM54" s="12"/>
      <c r="IN54" s="12"/>
      <c r="IO54" s="12"/>
      <c r="IP54" s="12"/>
      <c r="IQ54" s="12"/>
      <c r="IR54" s="12"/>
      <c r="IS54" s="12"/>
      <c r="IT54" s="12"/>
      <c r="IU54" s="12"/>
      <c r="IV54" s="12"/>
      <c r="IW54" s="12"/>
      <c r="IX54" s="12"/>
      <c r="IY54" s="12"/>
      <c r="IZ54" s="12"/>
      <c r="JA54" s="12"/>
      <c r="JB54" s="12"/>
      <c r="JC54" s="12"/>
      <c r="JD54" s="12"/>
      <c r="JE54" s="12"/>
      <c r="JF54" s="12"/>
      <c r="JG54" s="12"/>
      <c r="JH54" s="12"/>
      <c r="JI54" s="12"/>
      <c r="JJ54" s="12"/>
      <c r="JK54" s="12"/>
      <c r="JL54" s="12"/>
      <c r="JM54" s="12"/>
      <c r="JN54" s="12"/>
      <c r="JO54" s="12"/>
      <c r="JP54" s="12"/>
      <c r="JQ54" s="12"/>
      <c r="JR54" s="12"/>
      <c r="JS54" s="12"/>
      <c r="JT54" s="12"/>
      <c r="JU54" s="12"/>
      <c r="JV54" s="12"/>
      <c r="JW54" s="12"/>
      <c r="JX54" s="12"/>
      <c r="JY54" s="12"/>
      <c r="JZ54" s="12"/>
      <c r="KA54" s="12"/>
      <c r="KB54" s="12"/>
      <c r="KC54" s="12"/>
      <c r="KD54" s="12"/>
      <c r="KE54" s="12"/>
      <c r="KF54" s="12"/>
      <c r="KG54" s="12"/>
      <c r="KH54" s="12"/>
      <c r="KI54" s="12"/>
      <c r="KJ54" s="12"/>
      <c r="KK54" s="12"/>
      <c r="KL54" s="12"/>
      <c r="KM54" s="12"/>
      <c r="KN54" s="12"/>
      <c r="KO54" s="12"/>
      <c r="KP54" s="12"/>
      <c r="KQ54" s="12"/>
      <c r="KR54" s="12"/>
      <c r="KS54" s="12"/>
      <c r="KT54" s="12"/>
      <c r="KU54" s="12"/>
      <c r="KV54" s="12"/>
      <c r="KW54" s="12"/>
      <c r="KX54" s="12"/>
      <c r="KY54" s="12"/>
      <c r="KZ54" s="12"/>
      <c r="LA54" s="12"/>
      <c r="LB54" s="12"/>
      <c r="LC54" s="12"/>
      <c r="LD54" s="12"/>
      <c r="LE54" s="12"/>
      <c r="LF54" s="12"/>
      <c r="LG54" s="12"/>
      <c r="LH54" s="12"/>
      <c r="LI54" s="12"/>
      <c r="LJ54" s="12"/>
      <c r="LK54" s="12"/>
      <c r="LL54" s="12"/>
      <c r="LM54" s="12"/>
      <c r="LN54" s="12"/>
      <c r="LO54" s="12"/>
      <c r="LP54" s="12"/>
      <c r="LQ54" s="12"/>
      <c r="LR54" s="12"/>
      <c r="LS54" s="12"/>
      <c r="LT54" s="12"/>
      <c r="LU54" s="12"/>
      <c r="LV54" s="12"/>
      <c r="LW54" s="12"/>
      <c r="LX54" s="12"/>
      <c r="LY54" s="12"/>
      <c r="LZ54" s="12"/>
      <c r="MA54" s="12"/>
      <c r="MB54" s="12"/>
      <c r="MC54" s="12"/>
      <c r="MD54" s="12"/>
      <c r="ME54" s="12"/>
      <c r="MF54" s="12"/>
      <c r="MG54" s="12"/>
      <c r="MH54" s="12"/>
      <c r="MI54" s="12"/>
      <c r="MJ54" s="12"/>
      <c r="MK54" s="12"/>
      <c r="ML54" s="12"/>
      <c r="MM54" s="12"/>
      <c r="MN54" s="12"/>
      <c r="MO54" s="12"/>
      <c r="MP54" s="12"/>
      <c r="MQ54" s="12"/>
      <c r="MR54" s="12"/>
      <c r="MS54" s="12"/>
      <c r="MT54" s="12"/>
      <c r="MU54" s="12"/>
      <c r="MV54" s="12"/>
      <c r="MW54" s="12"/>
      <c r="MX54" s="12"/>
      <c r="MY54" s="12"/>
      <c r="MZ54" s="12"/>
      <c r="NA54" s="12"/>
      <c r="NB54" s="12"/>
      <c r="NC54" s="12"/>
      <c r="ND54" s="12"/>
      <c r="NE54" s="12"/>
      <c r="NF54" s="12"/>
      <c r="NG54" s="12"/>
      <c r="NH54" s="12"/>
      <c r="NI54" s="12"/>
      <c r="NJ54" s="12"/>
      <c r="NK54" s="12"/>
      <c r="NL54" s="12"/>
      <c r="NM54" s="12"/>
      <c r="NN54" s="12"/>
      <c r="NO54" s="12"/>
      <c r="NP54" s="12"/>
      <c r="NQ54" s="12"/>
      <c r="NR54" s="12"/>
      <c r="NS54" s="12"/>
      <c r="NT54" s="12"/>
      <c r="NU54" s="12"/>
      <c r="NV54" s="12"/>
      <c r="NW54" s="12"/>
      <c r="NX54" s="12"/>
      <c r="NY54" s="12"/>
      <c r="NZ54" s="12"/>
      <c r="OA54" s="12"/>
      <c r="OB54" s="12"/>
      <c r="OC54" s="12"/>
      <c r="OD54" s="12"/>
      <c r="OE54" s="12"/>
      <c r="OF54" s="12"/>
      <c r="OG54" s="12"/>
      <c r="OH54" s="12"/>
      <c r="OI54" s="12"/>
      <c r="OJ54" s="12"/>
      <c r="OK54" s="12"/>
      <c r="OL54" s="12"/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/>
      <c r="PS54" s="12"/>
      <c r="PT54" s="12"/>
      <c r="PU54" s="12"/>
      <c r="PV54" s="12"/>
      <c r="PW54" s="12"/>
      <c r="PX54" s="12"/>
      <c r="PY54" s="12"/>
      <c r="PZ54" s="12"/>
      <c r="QA54" s="12"/>
      <c r="QB54" s="12"/>
      <c r="QC54" s="12"/>
      <c r="QD54" s="12"/>
      <c r="QE54" s="12"/>
      <c r="QF54" s="12"/>
      <c r="QG54" s="12"/>
      <c r="QH54" s="12"/>
      <c r="QI54" s="12"/>
      <c r="QJ54" s="12"/>
      <c r="QK54" s="12"/>
      <c r="QL54" s="12"/>
      <c r="QM54" s="12"/>
      <c r="QN54" s="12"/>
      <c r="QO54" s="12"/>
      <c r="QP54" s="12"/>
      <c r="QQ54" s="12"/>
      <c r="QR54" s="12"/>
      <c r="QS54" s="12"/>
      <c r="QT54" s="12"/>
      <c r="QU54" s="12"/>
      <c r="QV54" s="12"/>
      <c r="QW54" s="12"/>
      <c r="QX54" s="12"/>
      <c r="QY54" s="12"/>
      <c r="QZ54" s="12"/>
      <c r="RA54" s="12"/>
      <c r="RB54" s="12"/>
      <c r="RC54" s="12"/>
      <c r="RD54" s="12"/>
      <c r="RE54" s="12"/>
      <c r="RF54" s="12"/>
      <c r="RG54" s="12"/>
      <c r="RH54" s="12"/>
      <c r="RI54" s="12"/>
      <c r="RJ54" s="12"/>
      <c r="RK54" s="12"/>
      <c r="RL54" s="12"/>
      <c r="RM54" s="12"/>
      <c r="RN54" s="12"/>
      <c r="RO54" s="12"/>
      <c r="RP54" s="12"/>
      <c r="RQ54" s="12"/>
      <c r="RR54" s="12"/>
      <c r="RS54" s="12"/>
      <c r="RT54" s="12"/>
      <c r="RU54" s="12"/>
      <c r="RV54" s="12"/>
      <c r="RW54" s="12"/>
      <c r="RX54" s="12"/>
      <c r="RY54" s="12"/>
      <c r="RZ54" s="12"/>
      <c r="SA54" s="12"/>
      <c r="SB54" s="12"/>
      <c r="SC54" s="12"/>
      <c r="SD54" s="12"/>
      <c r="SE54" s="12"/>
      <c r="SF54" s="12"/>
      <c r="SG54" s="12"/>
      <c r="SH54" s="12"/>
      <c r="SI54" s="12"/>
      <c r="SJ54" s="12"/>
      <c r="SK54" s="12"/>
      <c r="SL54" s="12"/>
      <c r="SM54" s="12"/>
      <c r="SN54" s="12"/>
      <c r="SO54" s="12"/>
      <c r="SP54" s="12"/>
      <c r="SQ54" s="12"/>
      <c r="SR54" s="12"/>
      <c r="SS54" s="12"/>
      <c r="ST54" s="12"/>
      <c r="SU54" s="12"/>
      <c r="SV54" s="12"/>
      <c r="SW54" s="12"/>
      <c r="SX54" s="12"/>
      <c r="SY54" s="12"/>
      <c r="SZ54" s="12"/>
      <c r="TA54" s="12"/>
      <c r="TB54" s="12"/>
      <c r="TC54" s="12"/>
      <c r="TD54" s="12"/>
      <c r="TE54" s="12"/>
      <c r="TF54" s="12"/>
      <c r="TG54" s="12"/>
      <c r="TH54" s="12"/>
      <c r="TI54" s="12"/>
      <c r="TJ54" s="12"/>
      <c r="TK54" s="12"/>
      <c r="TL54" s="12"/>
      <c r="TM54" s="12"/>
      <c r="TN54" s="12"/>
      <c r="TO54" s="12"/>
      <c r="TP54" s="12"/>
      <c r="TQ54" s="12"/>
      <c r="TR54" s="12"/>
      <c r="TS54" s="12"/>
      <c r="TT54" s="12"/>
      <c r="TU54" s="12"/>
      <c r="TV54" s="12"/>
      <c r="TW54" s="12"/>
      <c r="TX54" s="12"/>
      <c r="TY54" s="12"/>
      <c r="TZ54" s="12"/>
      <c r="UA54" s="12"/>
      <c r="UB54" s="12"/>
      <c r="UC54" s="12"/>
      <c r="UD54" s="12"/>
      <c r="UE54" s="12"/>
      <c r="UF54" s="12"/>
      <c r="UG54" s="12"/>
      <c r="UH54" s="12"/>
      <c r="UI54" s="12"/>
      <c r="UJ54" s="12"/>
      <c r="UK54" s="12"/>
      <c r="UL54" s="12"/>
      <c r="UM54" s="12"/>
      <c r="UN54" s="12"/>
      <c r="UO54" s="12"/>
      <c r="UP54" s="12"/>
      <c r="UQ54" s="12"/>
      <c r="UR54" s="12"/>
      <c r="US54" s="12"/>
      <c r="UT54" s="12"/>
      <c r="UU54" s="12"/>
      <c r="UV54" s="12"/>
      <c r="UW54" s="12"/>
      <c r="UX54" s="12"/>
      <c r="UY54" s="12"/>
      <c r="UZ54" s="12"/>
      <c r="VA54" s="12"/>
      <c r="VB54" s="12"/>
      <c r="VC54" s="12"/>
      <c r="VD54" s="12"/>
      <c r="VE54" s="12"/>
      <c r="VF54" s="12"/>
      <c r="VG54" s="12"/>
      <c r="VH54" s="12"/>
      <c r="VI54" s="12"/>
      <c r="VJ54" s="12"/>
      <c r="VK54" s="12"/>
      <c r="VL54" s="12"/>
      <c r="VM54" s="12"/>
      <c r="VN54" s="12"/>
      <c r="VO54" s="12"/>
      <c r="VP54" s="12"/>
      <c r="VQ54" s="12"/>
      <c r="VR54" s="12"/>
      <c r="VS54" s="12"/>
      <c r="VT54" s="12"/>
      <c r="VU54" s="12"/>
      <c r="VV54" s="12"/>
      <c r="VW54" s="12"/>
      <c r="VX54" s="12"/>
      <c r="VY54" s="12"/>
      <c r="VZ54" s="12"/>
      <c r="WA54" s="12"/>
      <c r="WB54" s="12"/>
      <c r="WC54" s="12"/>
      <c r="WD54" s="12"/>
      <c r="WE54" s="12"/>
      <c r="WF54" s="12"/>
      <c r="WG54" s="12"/>
      <c r="WH54" s="12"/>
      <c r="WI54" s="12"/>
      <c r="WJ54" s="12"/>
      <c r="WK54" s="12"/>
      <c r="WL54" s="12"/>
      <c r="WM54" s="12"/>
      <c r="WN54" s="12"/>
      <c r="WO54" s="12"/>
      <c r="WP54" s="12"/>
      <c r="WQ54" s="12"/>
      <c r="WR54" s="12"/>
      <c r="WS54" s="12"/>
      <c r="WT54" s="12"/>
      <c r="WU54" s="12"/>
      <c r="WV54" s="12"/>
      <c r="WW54" s="12"/>
      <c r="WX54" s="12"/>
      <c r="WY54" s="12"/>
      <c r="WZ54" s="12"/>
      <c r="XA54" s="12"/>
      <c r="XB54" s="12"/>
      <c r="XC54" s="12"/>
      <c r="XD54" s="12"/>
      <c r="XE54" s="12"/>
      <c r="XF54" s="12"/>
      <c r="XG54" s="12"/>
      <c r="XH54" s="12"/>
      <c r="XI54" s="12"/>
      <c r="XJ54" s="12"/>
      <c r="XK54" s="12"/>
      <c r="XL54" s="12"/>
      <c r="XM54" s="12"/>
      <c r="XN54" s="12"/>
      <c r="XO54" s="12"/>
      <c r="XP54" s="12"/>
      <c r="XQ54" s="12"/>
      <c r="XR54" s="12"/>
      <c r="XS54" s="12"/>
      <c r="XT54" s="12"/>
      <c r="XU54" s="12"/>
      <c r="XV54" s="12"/>
      <c r="XW54" s="12"/>
      <c r="XX54" s="12"/>
      <c r="XY54" s="12"/>
      <c r="XZ54" s="12"/>
      <c r="YA54" s="12"/>
      <c r="YB54" s="12"/>
      <c r="YC54" s="12"/>
      <c r="YD54" s="12"/>
      <c r="YE54" s="12"/>
      <c r="YF54" s="12"/>
      <c r="YG54" s="12"/>
      <c r="YH54" s="12"/>
      <c r="YI54" s="12"/>
      <c r="YJ54" s="12"/>
      <c r="YK54" s="12"/>
      <c r="YL54" s="12"/>
      <c r="YM54" s="12"/>
      <c r="YN54" s="12"/>
      <c r="YO54" s="12"/>
      <c r="YP54" s="12"/>
      <c r="YQ54" s="12"/>
      <c r="YR54" s="12"/>
      <c r="YS54" s="12"/>
      <c r="YT54" s="12"/>
      <c r="YU54" s="12"/>
      <c r="YV54" s="12"/>
      <c r="YW54" s="12"/>
      <c r="YX54" s="12"/>
      <c r="YY54" s="12"/>
      <c r="YZ54" s="12"/>
      <c r="ZA54" s="12"/>
      <c r="ZB54" s="12"/>
      <c r="ZC54" s="12"/>
      <c r="ZD54" s="12"/>
      <c r="ZE54" s="12"/>
      <c r="ZF54" s="12"/>
      <c r="ZG54" s="12"/>
      <c r="ZH54" s="12"/>
      <c r="ZI54" s="12"/>
      <c r="ZJ54" s="12"/>
      <c r="ZK54" s="12"/>
      <c r="ZL54" s="12"/>
      <c r="ZM54" s="12"/>
      <c r="ZN54" s="12"/>
      <c r="ZO54" s="12"/>
      <c r="ZP54" s="12"/>
      <c r="ZQ54" s="12"/>
      <c r="ZR54" s="12"/>
      <c r="ZS54" s="12"/>
      <c r="ZT54" s="12"/>
      <c r="ZU54" s="12"/>
      <c r="ZV54" s="12"/>
      <c r="ZW54" s="12"/>
      <c r="ZX54" s="12"/>
      <c r="ZY54" s="12"/>
      <c r="ZZ54" s="12"/>
      <c r="AAA54" s="12"/>
      <c r="AAB54" s="12"/>
      <c r="AAC54" s="12"/>
      <c r="AAD54" s="12"/>
      <c r="AAE54" s="12"/>
      <c r="AAF54" s="12"/>
      <c r="AAG54" s="12"/>
      <c r="AAH54" s="12"/>
      <c r="AAI54" s="12"/>
      <c r="AAJ54" s="12"/>
      <c r="AAK54" s="12"/>
      <c r="AAL54" s="12"/>
      <c r="AAM54" s="12"/>
      <c r="AAN54" s="12"/>
      <c r="AAO54" s="12"/>
      <c r="AAP54" s="12"/>
      <c r="AAQ54" s="12"/>
      <c r="AAR54" s="12"/>
      <c r="AAS54" s="12"/>
      <c r="AAT54" s="12"/>
      <c r="AAU54" s="12"/>
      <c r="AAV54" s="12"/>
      <c r="AAW54" s="12"/>
      <c r="AAX54" s="12"/>
      <c r="AAY54" s="12"/>
      <c r="AAZ54" s="12"/>
      <c r="ABA54" s="12"/>
      <c r="ABB54" s="12"/>
      <c r="ABC54" s="12"/>
      <c r="ABD54" s="12"/>
      <c r="ABE54" s="12"/>
      <c r="ABF54" s="12"/>
      <c r="ABG54" s="12"/>
      <c r="ABH54" s="12"/>
      <c r="ABI54" s="12"/>
      <c r="ABJ54" s="12"/>
      <c r="ABK54" s="12"/>
      <c r="ABL54" s="12"/>
      <c r="ABM54" s="12"/>
      <c r="ABN54" s="12"/>
      <c r="ABO54" s="12"/>
      <c r="ABP54" s="12"/>
      <c r="ABQ54" s="12"/>
      <c r="ABR54" s="12"/>
      <c r="ABS54" s="12"/>
      <c r="ABT54" s="12"/>
      <c r="ABU54" s="12"/>
      <c r="ABV54" s="12"/>
      <c r="ABW54" s="12"/>
      <c r="ABX54" s="12"/>
      <c r="ABY54" s="12"/>
      <c r="ABZ54" s="12"/>
      <c r="ACA54" s="12"/>
      <c r="ACB54" s="12"/>
      <c r="ACC54" s="12"/>
      <c r="ACD54" s="12"/>
      <c r="ACE54" s="12"/>
      <c r="ACF54" s="12"/>
      <c r="ACG54" s="12"/>
      <c r="ACH54" s="12"/>
      <c r="ACI54" s="12"/>
      <c r="ACJ54" s="12"/>
      <c r="ACK54" s="12"/>
      <c r="ACL54" s="12"/>
      <c r="ACM54" s="12"/>
      <c r="ACN54" s="12"/>
      <c r="ACO54" s="12"/>
      <c r="ACP54" s="12"/>
      <c r="ACQ54" s="12"/>
      <c r="ACR54" s="12"/>
      <c r="ACS54" s="12"/>
      <c r="ACT54" s="12"/>
      <c r="ACU54" s="12"/>
      <c r="ACV54" s="12"/>
      <c r="ACW54" s="12"/>
      <c r="ACX54" s="12"/>
      <c r="ACY54" s="12"/>
      <c r="ACZ54" s="12"/>
      <c r="ADA54" s="12"/>
      <c r="ADB54" s="12"/>
      <c r="ADC54" s="12"/>
      <c r="ADD54" s="12"/>
      <c r="ADE54" s="12"/>
      <c r="ADF54" s="12"/>
      <c r="ADG54" s="12"/>
      <c r="ADH54" s="12"/>
      <c r="ADI54" s="12"/>
      <c r="ADJ54" s="12"/>
      <c r="ADK54" s="12"/>
      <c r="ADL54" s="12"/>
      <c r="ADM54" s="12"/>
      <c r="ADN54" s="12"/>
      <c r="ADO54" s="12"/>
      <c r="ADP54" s="12"/>
      <c r="ADQ54" s="12"/>
      <c r="ADR54" s="12"/>
      <c r="ADS54" s="12"/>
      <c r="ADT54" s="12"/>
      <c r="ADU54" s="12"/>
      <c r="ADV54" s="12"/>
      <c r="ADW54" s="12"/>
      <c r="ADX54" s="12"/>
      <c r="ADY54" s="12"/>
      <c r="ADZ54" s="12"/>
      <c r="AEA54" s="12"/>
      <c r="AEB54" s="12"/>
      <c r="AEC54" s="12"/>
      <c r="AED54" s="12"/>
      <c r="AEE54" s="12"/>
      <c r="AEF54" s="12"/>
      <c r="AEG54" s="12"/>
      <c r="AEH54" s="12"/>
      <c r="AEI54" s="12"/>
      <c r="AEJ54" s="12"/>
      <c r="AEK54" s="12"/>
      <c r="AEL54" s="12"/>
      <c r="AEM54" s="12"/>
      <c r="AEN54" s="12"/>
      <c r="AEO54" s="12"/>
      <c r="AEP54" s="12"/>
      <c r="AEQ54" s="12"/>
      <c r="AER54" s="12"/>
      <c r="AES54" s="12"/>
      <c r="AET54" s="12"/>
      <c r="AEU54" s="12"/>
      <c r="AEV54" s="12"/>
    </row>
    <row r="55" spans="1:828" s="27" customFormat="1" ht="18" x14ac:dyDescent="0.2">
      <c r="A55" s="62"/>
      <c r="C55" s="23"/>
      <c r="D55" s="29"/>
      <c r="E55" s="23"/>
      <c r="F55" s="23"/>
      <c r="G55" s="23"/>
      <c r="H55" s="30"/>
      <c r="I55" s="23"/>
      <c r="J55" s="29"/>
      <c r="K55" s="30"/>
      <c r="L55" s="23"/>
      <c r="M55" s="29"/>
      <c r="N55" s="47"/>
      <c r="O55" s="12"/>
      <c r="P55" s="48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  <c r="ID55" s="12"/>
      <c r="IE55" s="12"/>
      <c r="IF55" s="12"/>
      <c r="IG55" s="12"/>
      <c r="IH55" s="12"/>
      <c r="II55" s="12"/>
      <c r="IJ55" s="12"/>
      <c r="IK55" s="12"/>
      <c r="IL55" s="12"/>
      <c r="IM55" s="12"/>
      <c r="IN55" s="12"/>
      <c r="IO55" s="12"/>
      <c r="IP55" s="12"/>
      <c r="IQ55" s="12"/>
      <c r="IR55" s="12"/>
      <c r="IS55" s="12"/>
      <c r="IT55" s="12"/>
      <c r="IU55" s="12"/>
      <c r="IV55" s="12"/>
      <c r="IW55" s="12"/>
      <c r="IX55" s="12"/>
      <c r="IY55" s="12"/>
      <c r="IZ55" s="12"/>
      <c r="JA55" s="12"/>
      <c r="JB55" s="12"/>
      <c r="JC55" s="12"/>
      <c r="JD55" s="12"/>
      <c r="JE55" s="12"/>
      <c r="JF55" s="12"/>
      <c r="JG55" s="12"/>
      <c r="JH55" s="12"/>
      <c r="JI55" s="12"/>
      <c r="JJ55" s="12"/>
      <c r="JK55" s="12"/>
      <c r="JL55" s="12"/>
      <c r="JM55" s="12"/>
      <c r="JN55" s="12"/>
      <c r="JO55" s="12"/>
      <c r="JP55" s="12"/>
      <c r="JQ55" s="12"/>
      <c r="JR55" s="12"/>
      <c r="JS55" s="12"/>
      <c r="JT55" s="12"/>
      <c r="JU55" s="12"/>
      <c r="JV55" s="12"/>
      <c r="JW55" s="12"/>
      <c r="JX55" s="12"/>
      <c r="JY55" s="12"/>
      <c r="JZ55" s="12"/>
      <c r="KA55" s="12"/>
      <c r="KB55" s="12"/>
      <c r="KC55" s="12"/>
      <c r="KD55" s="12"/>
      <c r="KE55" s="12"/>
      <c r="KF55" s="12"/>
      <c r="KG55" s="12"/>
      <c r="KH55" s="12"/>
      <c r="KI55" s="12"/>
      <c r="KJ55" s="12"/>
      <c r="KK55" s="12"/>
      <c r="KL55" s="12"/>
      <c r="KM55" s="12"/>
      <c r="KN55" s="12"/>
      <c r="KO55" s="12"/>
      <c r="KP55" s="12"/>
      <c r="KQ55" s="12"/>
      <c r="KR55" s="12"/>
      <c r="KS55" s="12"/>
      <c r="KT55" s="12"/>
      <c r="KU55" s="12"/>
      <c r="KV55" s="12"/>
      <c r="KW55" s="12"/>
      <c r="KX55" s="12"/>
      <c r="KY55" s="12"/>
      <c r="KZ55" s="12"/>
      <c r="LA55" s="12"/>
      <c r="LB55" s="12"/>
      <c r="LC55" s="12"/>
      <c r="LD55" s="12"/>
      <c r="LE55" s="12"/>
      <c r="LF55" s="12"/>
      <c r="LG55" s="12"/>
      <c r="LH55" s="12"/>
      <c r="LI55" s="12"/>
      <c r="LJ55" s="12"/>
      <c r="LK55" s="12"/>
      <c r="LL55" s="12"/>
      <c r="LM55" s="12"/>
      <c r="LN55" s="12"/>
      <c r="LO55" s="12"/>
      <c r="LP55" s="12"/>
      <c r="LQ55" s="12"/>
      <c r="LR55" s="12"/>
      <c r="LS55" s="12"/>
      <c r="LT55" s="12"/>
      <c r="LU55" s="12"/>
      <c r="LV55" s="12"/>
      <c r="LW55" s="12"/>
      <c r="LX55" s="12"/>
      <c r="LY55" s="12"/>
      <c r="LZ55" s="12"/>
      <c r="MA55" s="12"/>
      <c r="MB55" s="12"/>
      <c r="MC55" s="12"/>
      <c r="MD55" s="12"/>
      <c r="ME55" s="12"/>
      <c r="MF55" s="12"/>
      <c r="MG55" s="12"/>
      <c r="MH55" s="12"/>
      <c r="MI55" s="12"/>
      <c r="MJ55" s="12"/>
      <c r="MK55" s="12"/>
      <c r="ML55" s="12"/>
      <c r="MM55" s="12"/>
      <c r="MN55" s="12"/>
      <c r="MO55" s="12"/>
      <c r="MP55" s="12"/>
      <c r="MQ55" s="12"/>
      <c r="MR55" s="12"/>
      <c r="MS55" s="12"/>
      <c r="MT55" s="12"/>
      <c r="MU55" s="12"/>
      <c r="MV55" s="12"/>
      <c r="MW55" s="12"/>
      <c r="MX55" s="12"/>
      <c r="MY55" s="12"/>
      <c r="MZ55" s="12"/>
      <c r="NA55" s="12"/>
      <c r="NB55" s="12"/>
      <c r="NC55" s="12"/>
      <c r="ND55" s="12"/>
      <c r="NE55" s="12"/>
      <c r="NF55" s="12"/>
      <c r="NG55" s="12"/>
      <c r="NH55" s="12"/>
      <c r="NI55" s="12"/>
      <c r="NJ55" s="12"/>
      <c r="NK55" s="12"/>
      <c r="NL55" s="12"/>
      <c r="NM55" s="12"/>
      <c r="NN55" s="12"/>
      <c r="NO55" s="12"/>
      <c r="NP55" s="12"/>
      <c r="NQ55" s="12"/>
      <c r="NR55" s="12"/>
      <c r="NS55" s="12"/>
      <c r="NT55" s="12"/>
      <c r="NU55" s="12"/>
      <c r="NV55" s="12"/>
      <c r="NW55" s="12"/>
      <c r="NX55" s="12"/>
      <c r="NY55" s="12"/>
      <c r="NZ55" s="12"/>
      <c r="OA55" s="12"/>
      <c r="OB55" s="12"/>
      <c r="OC55" s="12"/>
      <c r="OD55" s="12"/>
      <c r="OE55" s="12"/>
      <c r="OF55" s="12"/>
      <c r="OG55" s="12"/>
      <c r="OH55" s="12"/>
      <c r="OI55" s="12"/>
      <c r="OJ55" s="12"/>
      <c r="OK55" s="12"/>
      <c r="OL55" s="12"/>
      <c r="OM55" s="12"/>
      <c r="ON55" s="12"/>
      <c r="OO55" s="12"/>
      <c r="OP55" s="12"/>
      <c r="OQ55" s="12"/>
      <c r="OR55" s="12"/>
      <c r="OS55" s="12"/>
      <c r="OT55" s="12"/>
      <c r="OU55" s="12"/>
      <c r="OV55" s="12"/>
      <c r="OW55" s="12"/>
      <c r="OX55" s="12"/>
      <c r="OY55" s="12"/>
      <c r="OZ55" s="12"/>
      <c r="PA55" s="12"/>
      <c r="PB55" s="12"/>
      <c r="PC55" s="12"/>
      <c r="PD55" s="12"/>
      <c r="PE55" s="12"/>
      <c r="PF55" s="12"/>
      <c r="PG55" s="12"/>
      <c r="PH55" s="12"/>
      <c r="PI55" s="12"/>
      <c r="PJ55" s="12"/>
      <c r="PK55" s="12"/>
      <c r="PL55" s="12"/>
      <c r="PM55" s="12"/>
      <c r="PN55" s="12"/>
      <c r="PO55" s="12"/>
      <c r="PP55" s="12"/>
      <c r="PQ55" s="12"/>
      <c r="PR55" s="12"/>
      <c r="PS55" s="12"/>
      <c r="PT55" s="12"/>
      <c r="PU55" s="12"/>
      <c r="PV55" s="12"/>
      <c r="PW55" s="12"/>
      <c r="PX55" s="12"/>
      <c r="PY55" s="12"/>
      <c r="PZ55" s="12"/>
      <c r="QA55" s="12"/>
      <c r="QB55" s="12"/>
      <c r="QC55" s="12"/>
      <c r="QD55" s="12"/>
      <c r="QE55" s="12"/>
      <c r="QF55" s="12"/>
      <c r="QG55" s="12"/>
      <c r="QH55" s="12"/>
      <c r="QI55" s="12"/>
      <c r="QJ55" s="12"/>
      <c r="QK55" s="12"/>
      <c r="QL55" s="12"/>
      <c r="QM55" s="12"/>
      <c r="QN55" s="12"/>
      <c r="QO55" s="12"/>
      <c r="QP55" s="12"/>
      <c r="QQ55" s="12"/>
      <c r="QR55" s="12"/>
      <c r="QS55" s="12"/>
      <c r="QT55" s="12"/>
      <c r="QU55" s="12"/>
      <c r="QV55" s="12"/>
      <c r="QW55" s="12"/>
      <c r="QX55" s="12"/>
      <c r="QY55" s="12"/>
      <c r="QZ55" s="12"/>
      <c r="RA55" s="12"/>
      <c r="RB55" s="12"/>
      <c r="RC55" s="12"/>
      <c r="RD55" s="12"/>
      <c r="RE55" s="12"/>
      <c r="RF55" s="12"/>
      <c r="RG55" s="12"/>
      <c r="RH55" s="12"/>
      <c r="RI55" s="12"/>
      <c r="RJ55" s="12"/>
      <c r="RK55" s="12"/>
      <c r="RL55" s="12"/>
      <c r="RM55" s="12"/>
      <c r="RN55" s="12"/>
      <c r="RO55" s="12"/>
      <c r="RP55" s="12"/>
      <c r="RQ55" s="12"/>
      <c r="RR55" s="12"/>
      <c r="RS55" s="12"/>
      <c r="RT55" s="12"/>
      <c r="RU55" s="12"/>
      <c r="RV55" s="12"/>
      <c r="RW55" s="12"/>
      <c r="RX55" s="12"/>
      <c r="RY55" s="12"/>
      <c r="RZ55" s="12"/>
      <c r="SA55" s="12"/>
      <c r="SB55" s="12"/>
      <c r="SC55" s="12"/>
      <c r="SD55" s="12"/>
      <c r="SE55" s="12"/>
      <c r="SF55" s="12"/>
      <c r="SG55" s="12"/>
      <c r="SH55" s="12"/>
      <c r="SI55" s="12"/>
      <c r="SJ55" s="12"/>
      <c r="SK55" s="12"/>
      <c r="SL55" s="12"/>
      <c r="SM55" s="12"/>
      <c r="SN55" s="12"/>
      <c r="SO55" s="12"/>
      <c r="SP55" s="12"/>
      <c r="SQ55" s="12"/>
      <c r="SR55" s="12"/>
      <c r="SS55" s="12"/>
      <c r="ST55" s="12"/>
      <c r="SU55" s="12"/>
      <c r="SV55" s="12"/>
      <c r="SW55" s="12"/>
      <c r="SX55" s="12"/>
      <c r="SY55" s="12"/>
      <c r="SZ55" s="12"/>
      <c r="TA55" s="12"/>
      <c r="TB55" s="12"/>
      <c r="TC55" s="12"/>
      <c r="TD55" s="12"/>
      <c r="TE55" s="12"/>
      <c r="TF55" s="12"/>
      <c r="TG55" s="12"/>
      <c r="TH55" s="12"/>
      <c r="TI55" s="12"/>
      <c r="TJ55" s="12"/>
      <c r="TK55" s="12"/>
      <c r="TL55" s="12"/>
      <c r="TM55" s="12"/>
      <c r="TN55" s="12"/>
      <c r="TO55" s="12"/>
      <c r="TP55" s="12"/>
      <c r="TQ55" s="12"/>
      <c r="TR55" s="12"/>
      <c r="TS55" s="12"/>
      <c r="TT55" s="12"/>
      <c r="TU55" s="12"/>
      <c r="TV55" s="12"/>
      <c r="TW55" s="12"/>
      <c r="TX55" s="12"/>
      <c r="TY55" s="12"/>
      <c r="TZ55" s="12"/>
      <c r="UA55" s="12"/>
      <c r="UB55" s="12"/>
      <c r="UC55" s="12"/>
      <c r="UD55" s="12"/>
      <c r="UE55" s="12"/>
      <c r="UF55" s="12"/>
      <c r="UG55" s="12"/>
      <c r="UH55" s="12"/>
      <c r="UI55" s="12"/>
      <c r="UJ55" s="12"/>
      <c r="UK55" s="12"/>
      <c r="UL55" s="12"/>
      <c r="UM55" s="12"/>
      <c r="UN55" s="12"/>
      <c r="UO55" s="12"/>
      <c r="UP55" s="12"/>
      <c r="UQ55" s="12"/>
      <c r="UR55" s="12"/>
      <c r="US55" s="12"/>
      <c r="UT55" s="12"/>
      <c r="UU55" s="12"/>
      <c r="UV55" s="12"/>
      <c r="UW55" s="12"/>
      <c r="UX55" s="12"/>
      <c r="UY55" s="12"/>
      <c r="UZ55" s="12"/>
      <c r="VA55" s="12"/>
      <c r="VB55" s="12"/>
      <c r="VC55" s="12"/>
      <c r="VD55" s="12"/>
      <c r="VE55" s="12"/>
      <c r="VF55" s="12"/>
      <c r="VG55" s="12"/>
      <c r="VH55" s="12"/>
      <c r="VI55" s="12"/>
      <c r="VJ55" s="12"/>
      <c r="VK55" s="12"/>
      <c r="VL55" s="12"/>
      <c r="VM55" s="12"/>
      <c r="VN55" s="12"/>
      <c r="VO55" s="12"/>
      <c r="VP55" s="12"/>
      <c r="VQ55" s="12"/>
      <c r="VR55" s="12"/>
      <c r="VS55" s="12"/>
      <c r="VT55" s="12"/>
      <c r="VU55" s="12"/>
      <c r="VV55" s="12"/>
      <c r="VW55" s="12"/>
      <c r="VX55" s="12"/>
      <c r="VY55" s="12"/>
      <c r="VZ55" s="12"/>
      <c r="WA55" s="12"/>
      <c r="WB55" s="12"/>
      <c r="WC55" s="12"/>
      <c r="WD55" s="12"/>
      <c r="WE55" s="12"/>
      <c r="WF55" s="12"/>
      <c r="WG55" s="12"/>
      <c r="WH55" s="12"/>
      <c r="WI55" s="12"/>
      <c r="WJ55" s="12"/>
      <c r="WK55" s="12"/>
      <c r="WL55" s="12"/>
      <c r="WM55" s="12"/>
      <c r="WN55" s="12"/>
      <c r="WO55" s="12"/>
      <c r="WP55" s="12"/>
      <c r="WQ55" s="12"/>
      <c r="WR55" s="12"/>
      <c r="WS55" s="12"/>
      <c r="WT55" s="12"/>
      <c r="WU55" s="12"/>
      <c r="WV55" s="12"/>
      <c r="WW55" s="12"/>
      <c r="WX55" s="12"/>
      <c r="WY55" s="12"/>
      <c r="WZ55" s="12"/>
      <c r="XA55" s="12"/>
      <c r="XB55" s="12"/>
      <c r="XC55" s="12"/>
      <c r="XD55" s="12"/>
      <c r="XE55" s="12"/>
      <c r="XF55" s="12"/>
      <c r="XG55" s="12"/>
      <c r="XH55" s="12"/>
      <c r="XI55" s="12"/>
      <c r="XJ55" s="12"/>
      <c r="XK55" s="12"/>
      <c r="XL55" s="12"/>
      <c r="XM55" s="12"/>
      <c r="XN55" s="12"/>
      <c r="XO55" s="12"/>
      <c r="XP55" s="12"/>
      <c r="XQ55" s="12"/>
      <c r="XR55" s="12"/>
      <c r="XS55" s="12"/>
      <c r="XT55" s="12"/>
      <c r="XU55" s="12"/>
      <c r="XV55" s="12"/>
      <c r="XW55" s="12"/>
      <c r="XX55" s="12"/>
      <c r="XY55" s="12"/>
      <c r="XZ55" s="12"/>
      <c r="YA55" s="12"/>
      <c r="YB55" s="12"/>
      <c r="YC55" s="12"/>
      <c r="YD55" s="12"/>
      <c r="YE55" s="12"/>
      <c r="YF55" s="12"/>
      <c r="YG55" s="12"/>
      <c r="YH55" s="12"/>
      <c r="YI55" s="12"/>
      <c r="YJ55" s="12"/>
      <c r="YK55" s="12"/>
      <c r="YL55" s="12"/>
      <c r="YM55" s="12"/>
      <c r="YN55" s="12"/>
      <c r="YO55" s="12"/>
      <c r="YP55" s="12"/>
      <c r="YQ55" s="12"/>
      <c r="YR55" s="12"/>
      <c r="YS55" s="12"/>
      <c r="YT55" s="12"/>
      <c r="YU55" s="12"/>
      <c r="YV55" s="12"/>
      <c r="YW55" s="12"/>
      <c r="YX55" s="12"/>
      <c r="YY55" s="12"/>
      <c r="YZ55" s="12"/>
      <c r="ZA55" s="12"/>
      <c r="ZB55" s="12"/>
      <c r="ZC55" s="12"/>
      <c r="ZD55" s="12"/>
      <c r="ZE55" s="12"/>
      <c r="ZF55" s="12"/>
      <c r="ZG55" s="12"/>
      <c r="ZH55" s="12"/>
      <c r="ZI55" s="12"/>
      <c r="ZJ55" s="12"/>
      <c r="ZK55" s="12"/>
      <c r="ZL55" s="12"/>
      <c r="ZM55" s="12"/>
      <c r="ZN55" s="12"/>
      <c r="ZO55" s="12"/>
      <c r="ZP55" s="12"/>
      <c r="ZQ55" s="12"/>
      <c r="ZR55" s="12"/>
      <c r="ZS55" s="12"/>
      <c r="ZT55" s="12"/>
      <c r="ZU55" s="12"/>
      <c r="ZV55" s="12"/>
      <c r="ZW55" s="12"/>
      <c r="ZX55" s="12"/>
      <c r="ZY55" s="12"/>
      <c r="ZZ55" s="12"/>
      <c r="AAA55" s="12"/>
      <c r="AAB55" s="12"/>
      <c r="AAC55" s="12"/>
      <c r="AAD55" s="12"/>
      <c r="AAE55" s="12"/>
      <c r="AAF55" s="12"/>
      <c r="AAG55" s="12"/>
      <c r="AAH55" s="12"/>
      <c r="AAI55" s="12"/>
      <c r="AAJ55" s="12"/>
      <c r="AAK55" s="12"/>
      <c r="AAL55" s="12"/>
      <c r="AAM55" s="12"/>
      <c r="AAN55" s="12"/>
      <c r="AAO55" s="12"/>
      <c r="AAP55" s="12"/>
      <c r="AAQ55" s="12"/>
      <c r="AAR55" s="12"/>
      <c r="AAS55" s="12"/>
      <c r="AAT55" s="12"/>
      <c r="AAU55" s="12"/>
      <c r="AAV55" s="12"/>
      <c r="AAW55" s="12"/>
      <c r="AAX55" s="12"/>
      <c r="AAY55" s="12"/>
      <c r="AAZ55" s="12"/>
      <c r="ABA55" s="12"/>
      <c r="ABB55" s="12"/>
      <c r="ABC55" s="12"/>
      <c r="ABD55" s="12"/>
      <c r="ABE55" s="12"/>
      <c r="ABF55" s="12"/>
      <c r="ABG55" s="12"/>
      <c r="ABH55" s="12"/>
      <c r="ABI55" s="12"/>
      <c r="ABJ55" s="12"/>
      <c r="ABK55" s="12"/>
      <c r="ABL55" s="12"/>
      <c r="ABM55" s="12"/>
      <c r="ABN55" s="12"/>
      <c r="ABO55" s="12"/>
      <c r="ABP55" s="12"/>
      <c r="ABQ55" s="12"/>
      <c r="ABR55" s="12"/>
      <c r="ABS55" s="12"/>
      <c r="ABT55" s="12"/>
      <c r="ABU55" s="12"/>
      <c r="ABV55" s="12"/>
      <c r="ABW55" s="12"/>
      <c r="ABX55" s="12"/>
      <c r="ABY55" s="12"/>
      <c r="ABZ55" s="12"/>
      <c r="ACA55" s="12"/>
      <c r="ACB55" s="12"/>
      <c r="ACC55" s="12"/>
      <c r="ACD55" s="12"/>
      <c r="ACE55" s="12"/>
      <c r="ACF55" s="12"/>
      <c r="ACG55" s="12"/>
      <c r="ACH55" s="12"/>
      <c r="ACI55" s="12"/>
      <c r="ACJ55" s="12"/>
      <c r="ACK55" s="12"/>
      <c r="ACL55" s="12"/>
      <c r="ACM55" s="12"/>
      <c r="ACN55" s="12"/>
      <c r="ACO55" s="12"/>
      <c r="ACP55" s="12"/>
      <c r="ACQ55" s="12"/>
      <c r="ACR55" s="12"/>
      <c r="ACS55" s="12"/>
      <c r="ACT55" s="12"/>
      <c r="ACU55" s="12"/>
      <c r="ACV55" s="12"/>
      <c r="ACW55" s="12"/>
      <c r="ACX55" s="12"/>
      <c r="ACY55" s="12"/>
      <c r="ACZ55" s="12"/>
      <c r="ADA55" s="12"/>
      <c r="ADB55" s="12"/>
      <c r="ADC55" s="12"/>
      <c r="ADD55" s="12"/>
      <c r="ADE55" s="12"/>
      <c r="ADF55" s="12"/>
      <c r="ADG55" s="12"/>
      <c r="ADH55" s="12"/>
      <c r="ADI55" s="12"/>
      <c r="ADJ55" s="12"/>
      <c r="ADK55" s="12"/>
      <c r="ADL55" s="12"/>
      <c r="ADM55" s="12"/>
      <c r="ADN55" s="12"/>
      <c r="ADO55" s="12"/>
      <c r="ADP55" s="12"/>
      <c r="ADQ55" s="12"/>
      <c r="ADR55" s="12"/>
      <c r="ADS55" s="12"/>
      <c r="ADT55" s="12"/>
      <c r="ADU55" s="12"/>
      <c r="ADV55" s="12"/>
      <c r="ADW55" s="12"/>
      <c r="ADX55" s="12"/>
      <c r="ADY55" s="12"/>
      <c r="ADZ55" s="12"/>
      <c r="AEA55" s="12"/>
      <c r="AEB55" s="12"/>
      <c r="AEC55" s="12"/>
      <c r="AED55" s="12"/>
      <c r="AEE55" s="12"/>
      <c r="AEF55" s="12"/>
      <c r="AEG55" s="12"/>
      <c r="AEH55" s="12"/>
      <c r="AEI55" s="12"/>
      <c r="AEJ55" s="12"/>
      <c r="AEK55" s="12"/>
      <c r="AEL55" s="12"/>
      <c r="AEM55" s="12"/>
      <c r="AEN55" s="12"/>
      <c r="AEO55" s="12"/>
      <c r="AEP55" s="12"/>
      <c r="AEQ55" s="12"/>
      <c r="AER55" s="12"/>
      <c r="AES55" s="12"/>
      <c r="AET55" s="12"/>
      <c r="AEU55" s="12"/>
      <c r="AEV55" s="12"/>
    </row>
    <row r="56" spans="1:828" s="27" customFormat="1" ht="18" x14ac:dyDescent="0.2">
      <c r="A56" s="62"/>
      <c r="C56" s="23"/>
      <c r="D56" s="29"/>
      <c r="E56" s="23"/>
      <c r="F56" s="23"/>
      <c r="G56" s="23"/>
      <c r="H56" s="30"/>
      <c r="I56" s="23"/>
      <c r="J56" s="29"/>
      <c r="K56" s="30"/>
      <c r="L56" s="23"/>
      <c r="M56" s="29"/>
      <c r="N56" s="47"/>
      <c r="O56" s="12"/>
      <c r="P56" s="48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  <c r="IY56" s="12"/>
      <c r="IZ56" s="12"/>
      <c r="JA56" s="12"/>
      <c r="JB56" s="12"/>
      <c r="JC56" s="12"/>
      <c r="JD56" s="12"/>
      <c r="JE56" s="12"/>
      <c r="JF56" s="12"/>
      <c r="JG56" s="12"/>
      <c r="JH56" s="12"/>
      <c r="JI56" s="12"/>
      <c r="JJ56" s="12"/>
      <c r="JK56" s="12"/>
      <c r="JL56" s="12"/>
      <c r="JM56" s="12"/>
      <c r="JN56" s="12"/>
      <c r="JO56" s="12"/>
      <c r="JP56" s="12"/>
      <c r="JQ56" s="12"/>
      <c r="JR56" s="12"/>
      <c r="JS56" s="12"/>
      <c r="JT56" s="12"/>
      <c r="JU56" s="12"/>
      <c r="JV56" s="12"/>
      <c r="JW56" s="12"/>
      <c r="JX56" s="12"/>
      <c r="JY56" s="12"/>
      <c r="JZ56" s="12"/>
      <c r="KA56" s="12"/>
      <c r="KB56" s="12"/>
      <c r="KC56" s="12"/>
      <c r="KD56" s="12"/>
      <c r="KE56" s="12"/>
      <c r="KF56" s="12"/>
      <c r="KG56" s="12"/>
      <c r="KH56" s="12"/>
      <c r="KI56" s="12"/>
      <c r="KJ56" s="12"/>
      <c r="KK56" s="12"/>
      <c r="KL56" s="12"/>
      <c r="KM56" s="12"/>
      <c r="KN56" s="12"/>
      <c r="KO56" s="12"/>
      <c r="KP56" s="12"/>
      <c r="KQ56" s="12"/>
      <c r="KR56" s="12"/>
      <c r="KS56" s="12"/>
      <c r="KT56" s="12"/>
      <c r="KU56" s="12"/>
      <c r="KV56" s="12"/>
      <c r="KW56" s="12"/>
      <c r="KX56" s="12"/>
      <c r="KY56" s="12"/>
      <c r="KZ56" s="12"/>
      <c r="LA56" s="12"/>
      <c r="LB56" s="12"/>
      <c r="LC56" s="12"/>
      <c r="LD56" s="12"/>
      <c r="LE56" s="12"/>
      <c r="LF56" s="12"/>
      <c r="LG56" s="12"/>
      <c r="LH56" s="12"/>
      <c r="LI56" s="12"/>
      <c r="LJ56" s="12"/>
      <c r="LK56" s="12"/>
      <c r="LL56" s="12"/>
      <c r="LM56" s="12"/>
      <c r="LN56" s="12"/>
      <c r="LO56" s="12"/>
      <c r="LP56" s="12"/>
      <c r="LQ56" s="12"/>
      <c r="LR56" s="12"/>
      <c r="LS56" s="12"/>
      <c r="LT56" s="12"/>
      <c r="LU56" s="12"/>
      <c r="LV56" s="12"/>
      <c r="LW56" s="12"/>
      <c r="LX56" s="12"/>
      <c r="LY56" s="12"/>
      <c r="LZ56" s="12"/>
      <c r="MA56" s="12"/>
      <c r="MB56" s="12"/>
      <c r="MC56" s="12"/>
      <c r="MD56" s="12"/>
      <c r="ME56" s="12"/>
      <c r="MF56" s="12"/>
      <c r="MG56" s="12"/>
      <c r="MH56" s="12"/>
      <c r="MI56" s="12"/>
      <c r="MJ56" s="12"/>
      <c r="MK56" s="12"/>
      <c r="ML56" s="12"/>
      <c r="MM56" s="12"/>
      <c r="MN56" s="12"/>
      <c r="MO56" s="12"/>
      <c r="MP56" s="12"/>
      <c r="MQ56" s="12"/>
      <c r="MR56" s="12"/>
      <c r="MS56" s="12"/>
      <c r="MT56" s="12"/>
      <c r="MU56" s="12"/>
      <c r="MV56" s="12"/>
      <c r="MW56" s="12"/>
      <c r="MX56" s="12"/>
      <c r="MY56" s="12"/>
      <c r="MZ56" s="12"/>
      <c r="NA56" s="12"/>
      <c r="NB56" s="12"/>
      <c r="NC56" s="12"/>
      <c r="ND56" s="12"/>
      <c r="NE56" s="12"/>
      <c r="NF56" s="12"/>
      <c r="NG56" s="12"/>
      <c r="NH56" s="12"/>
      <c r="NI56" s="12"/>
      <c r="NJ56" s="12"/>
      <c r="NK56" s="12"/>
      <c r="NL56" s="12"/>
      <c r="NM56" s="12"/>
      <c r="NN56" s="12"/>
      <c r="NO56" s="12"/>
      <c r="NP56" s="12"/>
      <c r="NQ56" s="12"/>
      <c r="NR56" s="12"/>
      <c r="NS56" s="12"/>
      <c r="NT56" s="12"/>
      <c r="NU56" s="12"/>
      <c r="NV56" s="12"/>
      <c r="NW56" s="12"/>
      <c r="NX56" s="12"/>
      <c r="NY56" s="12"/>
      <c r="NZ56" s="12"/>
      <c r="OA56" s="12"/>
      <c r="OB56" s="12"/>
      <c r="OC56" s="12"/>
      <c r="OD56" s="12"/>
      <c r="OE56" s="12"/>
      <c r="OF56" s="12"/>
      <c r="OG56" s="12"/>
      <c r="OH56" s="12"/>
      <c r="OI56" s="12"/>
      <c r="OJ56" s="12"/>
      <c r="OK56" s="12"/>
      <c r="OL56" s="12"/>
      <c r="OM56" s="12"/>
      <c r="ON56" s="12"/>
      <c r="OO56" s="12"/>
      <c r="OP56" s="12"/>
      <c r="OQ56" s="12"/>
      <c r="OR56" s="12"/>
      <c r="OS56" s="12"/>
      <c r="OT56" s="12"/>
      <c r="OU56" s="12"/>
      <c r="OV56" s="12"/>
      <c r="OW56" s="12"/>
      <c r="OX56" s="12"/>
      <c r="OY56" s="12"/>
      <c r="OZ56" s="12"/>
      <c r="PA56" s="12"/>
      <c r="PB56" s="12"/>
      <c r="PC56" s="12"/>
      <c r="PD56" s="12"/>
      <c r="PE56" s="12"/>
      <c r="PF56" s="12"/>
      <c r="PG56" s="12"/>
      <c r="PH56" s="12"/>
      <c r="PI56" s="12"/>
      <c r="PJ56" s="12"/>
      <c r="PK56" s="12"/>
      <c r="PL56" s="12"/>
      <c r="PM56" s="12"/>
      <c r="PN56" s="12"/>
      <c r="PO56" s="12"/>
      <c r="PP56" s="12"/>
      <c r="PQ56" s="12"/>
      <c r="PR56" s="12"/>
      <c r="PS56" s="12"/>
      <c r="PT56" s="12"/>
      <c r="PU56" s="12"/>
      <c r="PV56" s="12"/>
      <c r="PW56" s="12"/>
      <c r="PX56" s="12"/>
      <c r="PY56" s="12"/>
      <c r="PZ56" s="12"/>
      <c r="QA56" s="12"/>
      <c r="QB56" s="12"/>
      <c r="QC56" s="12"/>
      <c r="QD56" s="12"/>
      <c r="QE56" s="12"/>
      <c r="QF56" s="12"/>
      <c r="QG56" s="12"/>
      <c r="QH56" s="12"/>
      <c r="QI56" s="12"/>
      <c r="QJ56" s="12"/>
      <c r="QK56" s="12"/>
      <c r="QL56" s="12"/>
      <c r="QM56" s="12"/>
      <c r="QN56" s="12"/>
      <c r="QO56" s="12"/>
      <c r="QP56" s="12"/>
      <c r="QQ56" s="12"/>
      <c r="QR56" s="12"/>
      <c r="QS56" s="12"/>
      <c r="QT56" s="12"/>
      <c r="QU56" s="12"/>
      <c r="QV56" s="12"/>
      <c r="QW56" s="12"/>
      <c r="QX56" s="12"/>
      <c r="QY56" s="12"/>
      <c r="QZ56" s="12"/>
      <c r="RA56" s="12"/>
      <c r="RB56" s="12"/>
      <c r="RC56" s="12"/>
      <c r="RD56" s="12"/>
      <c r="RE56" s="12"/>
      <c r="RF56" s="12"/>
      <c r="RG56" s="12"/>
      <c r="RH56" s="12"/>
      <c r="RI56" s="12"/>
      <c r="RJ56" s="12"/>
      <c r="RK56" s="12"/>
      <c r="RL56" s="12"/>
      <c r="RM56" s="12"/>
      <c r="RN56" s="12"/>
      <c r="RO56" s="12"/>
      <c r="RP56" s="12"/>
      <c r="RQ56" s="12"/>
      <c r="RR56" s="12"/>
      <c r="RS56" s="12"/>
      <c r="RT56" s="12"/>
      <c r="RU56" s="12"/>
      <c r="RV56" s="12"/>
      <c r="RW56" s="12"/>
      <c r="RX56" s="12"/>
      <c r="RY56" s="12"/>
      <c r="RZ56" s="12"/>
      <c r="SA56" s="12"/>
      <c r="SB56" s="12"/>
      <c r="SC56" s="12"/>
      <c r="SD56" s="12"/>
      <c r="SE56" s="12"/>
      <c r="SF56" s="12"/>
      <c r="SG56" s="12"/>
      <c r="SH56" s="12"/>
      <c r="SI56" s="12"/>
      <c r="SJ56" s="12"/>
      <c r="SK56" s="12"/>
      <c r="SL56" s="12"/>
      <c r="SM56" s="12"/>
      <c r="SN56" s="12"/>
      <c r="SO56" s="12"/>
      <c r="SP56" s="12"/>
      <c r="SQ56" s="12"/>
      <c r="SR56" s="12"/>
      <c r="SS56" s="12"/>
      <c r="ST56" s="12"/>
      <c r="SU56" s="12"/>
      <c r="SV56" s="12"/>
      <c r="SW56" s="12"/>
      <c r="SX56" s="12"/>
      <c r="SY56" s="12"/>
      <c r="SZ56" s="12"/>
      <c r="TA56" s="12"/>
      <c r="TB56" s="12"/>
      <c r="TC56" s="12"/>
      <c r="TD56" s="12"/>
      <c r="TE56" s="12"/>
      <c r="TF56" s="12"/>
      <c r="TG56" s="12"/>
      <c r="TH56" s="12"/>
      <c r="TI56" s="12"/>
      <c r="TJ56" s="12"/>
      <c r="TK56" s="12"/>
      <c r="TL56" s="12"/>
      <c r="TM56" s="12"/>
      <c r="TN56" s="12"/>
      <c r="TO56" s="12"/>
      <c r="TP56" s="12"/>
      <c r="TQ56" s="12"/>
      <c r="TR56" s="12"/>
      <c r="TS56" s="12"/>
      <c r="TT56" s="12"/>
      <c r="TU56" s="12"/>
      <c r="TV56" s="12"/>
      <c r="TW56" s="12"/>
      <c r="TX56" s="12"/>
      <c r="TY56" s="12"/>
      <c r="TZ56" s="12"/>
      <c r="UA56" s="12"/>
      <c r="UB56" s="12"/>
      <c r="UC56" s="12"/>
      <c r="UD56" s="12"/>
      <c r="UE56" s="12"/>
      <c r="UF56" s="12"/>
      <c r="UG56" s="12"/>
      <c r="UH56" s="12"/>
      <c r="UI56" s="12"/>
      <c r="UJ56" s="12"/>
      <c r="UK56" s="12"/>
      <c r="UL56" s="12"/>
      <c r="UM56" s="12"/>
      <c r="UN56" s="12"/>
      <c r="UO56" s="12"/>
      <c r="UP56" s="12"/>
      <c r="UQ56" s="12"/>
      <c r="UR56" s="12"/>
      <c r="US56" s="12"/>
      <c r="UT56" s="12"/>
      <c r="UU56" s="12"/>
      <c r="UV56" s="12"/>
      <c r="UW56" s="12"/>
      <c r="UX56" s="12"/>
      <c r="UY56" s="12"/>
      <c r="UZ56" s="12"/>
      <c r="VA56" s="12"/>
      <c r="VB56" s="12"/>
      <c r="VC56" s="12"/>
      <c r="VD56" s="12"/>
      <c r="VE56" s="12"/>
      <c r="VF56" s="12"/>
      <c r="VG56" s="12"/>
      <c r="VH56" s="12"/>
      <c r="VI56" s="12"/>
      <c r="VJ56" s="12"/>
      <c r="VK56" s="12"/>
      <c r="VL56" s="12"/>
      <c r="VM56" s="12"/>
      <c r="VN56" s="12"/>
      <c r="VO56" s="12"/>
      <c r="VP56" s="12"/>
      <c r="VQ56" s="12"/>
      <c r="VR56" s="12"/>
      <c r="VS56" s="12"/>
      <c r="VT56" s="12"/>
      <c r="VU56" s="12"/>
      <c r="VV56" s="12"/>
      <c r="VW56" s="12"/>
      <c r="VX56" s="12"/>
      <c r="VY56" s="12"/>
      <c r="VZ56" s="12"/>
      <c r="WA56" s="12"/>
      <c r="WB56" s="12"/>
      <c r="WC56" s="12"/>
      <c r="WD56" s="12"/>
      <c r="WE56" s="12"/>
      <c r="WF56" s="12"/>
      <c r="WG56" s="12"/>
      <c r="WH56" s="12"/>
      <c r="WI56" s="12"/>
      <c r="WJ56" s="12"/>
      <c r="WK56" s="12"/>
      <c r="WL56" s="12"/>
      <c r="WM56" s="12"/>
      <c r="WN56" s="12"/>
      <c r="WO56" s="12"/>
      <c r="WP56" s="12"/>
      <c r="WQ56" s="12"/>
      <c r="WR56" s="12"/>
      <c r="WS56" s="12"/>
      <c r="WT56" s="12"/>
      <c r="WU56" s="12"/>
      <c r="WV56" s="12"/>
      <c r="WW56" s="12"/>
      <c r="WX56" s="12"/>
      <c r="WY56" s="12"/>
      <c r="WZ56" s="12"/>
      <c r="XA56" s="12"/>
      <c r="XB56" s="12"/>
      <c r="XC56" s="12"/>
      <c r="XD56" s="12"/>
      <c r="XE56" s="12"/>
      <c r="XF56" s="12"/>
      <c r="XG56" s="12"/>
      <c r="XH56" s="12"/>
      <c r="XI56" s="12"/>
      <c r="XJ56" s="12"/>
      <c r="XK56" s="12"/>
      <c r="XL56" s="12"/>
      <c r="XM56" s="12"/>
      <c r="XN56" s="12"/>
      <c r="XO56" s="12"/>
      <c r="XP56" s="12"/>
      <c r="XQ56" s="12"/>
      <c r="XR56" s="12"/>
      <c r="XS56" s="12"/>
      <c r="XT56" s="12"/>
      <c r="XU56" s="12"/>
      <c r="XV56" s="12"/>
      <c r="XW56" s="12"/>
      <c r="XX56" s="12"/>
      <c r="XY56" s="12"/>
      <c r="XZ56" s="12"/>
      <c r="YA56" s="12"/>
      <c r="YB56" s="12"/>
      <c r="YC56" s="12"/>
      <c r="YD56" s="12"/>
      <c r="YE56" s="12"/>
      <c r="YF56" s="12"/>
      <c r="YG56" s="12"/>
      <c r="YH56" s="12"/>
      <c r="YI56" s="12"/>
      <c r="YJ56" s="12"/>
      <c r="YK56" s="12"/>
      <c r="YL56" s="12"/>
      <c r="YM56" s="12"/>
      <c r="YN56" s="12"/>
      <c r="YO56" s="12"/>
      <c r="YP56" s="12"/>
      <c r="YQ56" s="12"/>
      <c r="YR56" s="12"/>
      <c r="YS56" s="12"/>
      <c r="YT56" s="12"/>
      <c r="YU56" s="12"/>
      <c r="YV56" s="12"/>
      <c r="YW56" s="12"/>
      <c r="YX56" s="12"/>
      <c r="YY56" s="12"/>
      <c r="YZ56" s="12"/>
      <c r="ZA56" s="12"/>
      <c r="ZB56" s="12"/>
      <c r="ZC56" s="12"/>
      <c r="ZD56" s="12"/>
      <c r="ZE56" s="12"/>
      <c r="ZF56" s="12"/>
      <c r="ZG56" s="12"/>
      <c r="ZH56" s="12"/>
      <c r="ZI56" s="12"/>
      <c r="ZJ56" s="12"/>
      <c r="ZK56" s="12"/>
      <c r="ZL56" s="12"/>
      <c r="ZM56" s="12"/>
      <c r="ZN56" s="12"/>
      <c r="ZO56" s="12"/>
      <c r="ZP56" s="12"/>
      <c r="ZQ56" s="12"/>
      <c r="ZR56" s="12"/>
      <c r="ZS56" s="12"/>
      <c r="ZT56" s="12"/>
      <c r="ZU56" s="12"/>
      <c r="ZV56" s="12"/>
      <c r="ZW56" s="12"/>
      <c r="ZX56" s="12"/>
      <c r="ZY56" s="12"/>
      <c r="ZZ56" s="12"/>
      <c r="AAA56" s="12"/>
      <c r="AAB56" s="12"/>
      <c r="AAC56" s="12"/>
      <c r="AAD56" s="12"/>
      <c r="AAE56" s="12"/>
      <c r="AAF56" s="12"/>
      <c r="AAG56" s="12"/>
      <c r="AAH56" s="12"/>
      <c r="AAI56" s="12"/>
      <c r="AAJ56" s="12"/>
      <c r="AAK56" s="12"/>
      <c r="AAL56" s="12"/>
      <c r="AAM56" s="12"/>
      <c r="AAN56" s="12"/>
      <c r="AAO56" s="12"/>
      <c r="AAP56" s="12"/>
      <c r="AAQ56" s="12"/>
      <c r="AAR56" s="12"/>
      <c r="AAS56" s="12"/>
      <c r="AAT56" s="12"/>
      <c r="AAU56" s="12"/>
      <c r="AAV56" s="12"/>
      <c r="AAW56" s="12"/>
      <c r="AAX56" s="12"/>
      <c r="AAY56" s="12"/>
      <c r="AAZ56" s="12"/>
      <c r="ABA56" s="12"/>
      <c r="ABB56" s="12"/>
      <c r="ABC56" s="12"/>
      <c r="ABD56" s="12"/>
      <c r="ABE56" s="12"/>
      <c r="ABF56" s="12"/>
      <c r="ABG56" s="12"/>
      <c r="ABH56" s="12"/>
      <c r="ABI56" s="12"/>
      <c r="ABJ56" s="12"/>
      <c r="ABK56" s="12"/>
      <c r="ABL56" s="12"/>
      <c r="ABM56" s="12"/>
      <c r="ABN56" s="12"/>
      <c r="ABO56" s="12"/>
      <c r="ABP56" s="12"/>
      <c r="ABQ56" s="12"/>
      <c r="ABR56" s="12"/>
      <c r="ABS56" s="12"/>
      <c r="ABT56" s="12"/>
      <c r="ABU56" s="12"/>
      <c r="ABV56" s="12"/>
      <c r="ABW56" s="12"/>
      <c r="ABX56" s="12"/>
      <c r="ABY56" s="12"/>
      <c r="ABZ56" s="12"/>
      <c r="ACA56" s="12"/>
      <c r="ACB56" s="12"/>
      <c r="ACC56" s="12"/>
      <c r="ACD56" s="12"/>
      <c r="ACE56" s="12"/>
      <c r="ACF56" s="12"/>
      <c r="ACG56" s="12"/>
      <c r="ACH56" s="12"/>
      <c r="ACI56" s="12"/>
      <c r="ACJ56" s="12"/>
      <c r="ACK56" s="12"/>
      <c r="ACL56" s="12"/>
      <c r="ACM56" s="12"/>
      <c r="ACN56" s="12"/>
      <c r="ACO56" s="12"/>
      <c r="ACP56" s="12"/>
      <c r="ACQ56" s="12"/>
      <c r="ACR56" s="12"/>
      <c r="ACS56" s="12"/>
      <c r="ACT56" s="12"/>
      <c r="ACU56" s="12"/>
      <c r="ACV56" s="12"/>
      <c r="ACW56" s="12"/>
      <c r="ACX56" s="12"/>
      <c r="ACY56" s="12"/>
      <c r="ACZ56" s="12"/>
      <c r="ADA56" s="12"/>
      <c r="ADB56" s="12"/>
      <c r="ADC56" s="12"/>
      <c r="ADD56" s="12"/>
      <c r="ADE56" s="12"/>
      <c r="ADF56" s="12"/>
      <c r="ADG56" s="12"/>
      <c r="ADH56" s="12"/>
      <c r="ADI56" s="12"/>
      <c r="ADJ56" s="12"/>
      <c r="ADK56" s="12"/>
      <c r="ADL56" s="12"/>
      <c r="ADM56" s="12"/>
      <c r="ADN56" s="12"/>
      <c r="ADO56" s="12"/>
      <c r="ADP56" s="12"/>
      <c r="ADQ56" s="12"/>
      <c r="ADR56" s="12"/>
      <c r="ADS56" s="12"/>
      <c r="ADT56" s="12"/>
      <c r="ADU56" s="12"/>
      <c r="ADV56" s="12"/>
      <c r="ADW56" s="12"/>
      <c r="ADX56" s="12"/>
      <c r="ADY56" s="12"/>
      <c r="ADZ56" s="12"/>
      <c r="AEA56" s="12"/>
      <c r="AEB56" s="12"/>
      <c r="AEC56" s="12"/>
      <c r="AED56" s="12"/>
      <c r="AEE56" s="12"/>
      <c r="AEF56" s="12"/>
      <c r="AEG56" s="12"/>
      <c r="AEH56" s="12"/>
      <c r="AEI56" s="12"/>
      <c r="AEJ56" s="12"/>
      <c r="AEK56" s="12"/>
      <c r="AEL56" s="12"/>
      <c r="AEM56" s="12"/>
      <c r="AEN56" s="12"/>
      <c r="AEO56" s="12"/>
      <c r="AEP56" s="12"/>
      <c r="AEQ56" s="12"/>
      <c r="AER56" s="12"/>
      <c r="AES56" s="12"/>
      <c r="AET56" s="12"/>
      <c r="AEU56" s="12"/>
      <c r="AEV56" s="12"/>
    </row>
    <row r="57" spans="1:828" s="27" customFormat="1" ht="18" x14ac:dyDescent="0.2">
      <c r="A57" s="62"/>
      <c r="C57" s="23"/>
      <c r="D57" s="29"/>
      <c r="E57" s="23"/>
      <c r="F57" s="23"/>
      <c r="G57" s="23"/>
      <c r="H57" s="30"/>
      <c r="I57" s="23"/>
      <c r="J57" s="29"/>
      <c r="K57" s="30"/>
      <c r="L57" s="23"/>
      <c r="M57" s="29"/>
      <c r="N57" s="47"/>
      <c r="O57" s="12"/>
      <c r="P57" s="48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  <c r="IY57" s="12"/>
      <c r="IZ57" s="12"/>
      <c r="JA57" s="12"/>
      <c r="JB57" s="12"/>
      <c r="JC57" s="12"/>
      <c r="JD57" s="12"/>
      <c r="JE57" s="12"/>
      <c r="JF57" s="12"/>
      <c r="JG57" s="12"/>
      <c r="JH57" s="12"/>
      <c r="JI57" s="12"/>
      <c r="JJ57" s="12"/>
      <c r="JK57" s="12"/>
      <c r="JL57" s="12"/>
      <c r="JM57" s="12"/>
      <c r="JN57" s="12"/>
      <c r="JO57" s="12"/>
      <c r="JP57" s="12"/>
      <c r="JQ57" s="12"/>
      <c r="JR57" s="12"/>
      <c r="JS57" s="12"/>
      <c r="JT57" s="12"/>
      <c r="JU57" s="12"/>
      <c r="JV57" s="12"/>
      <c r="JW57" s="12"/>
      <c r="JX57" s="12"/>
      <c r="JY57" s="12"/>
      <c r="JZ57" s="12"/>
      <c r="KA57" s="12"/>
      <c r="KB57" s="12"/>
      <c r="KC57" s="12"/>
      <c r="KD57" s="12"/>
      <c r="KE57" s="12"/>
      <c r="KF57" s="12"/>
      <c r="KG57" s="12"/>
      <c r="KH57" s="12"/>
      <c r="KI57" s="12"/>
      <c r="KJ57" s="12"/>
      <c r="KK57" s="12"/>
      <c r="KL57" s="12"/>
      <c r="KM57" s="12"/>
      <c r="KN57" s="12"/>
      <c r="KO57" s="12"/>
      <c r="KP57" s="12"/>
      <c r="KQ57" s="12"/>
      <c r="KR57" s="12"/>
      <c r="KS57" s="12"/>
      <c r="KT57" s="12"/>
      <c r="KU57" s="12"/>
      <c r="KV57" s="12"/>
      <c r="KW57" s="12"/>
      <c r="KX57" s="12"/>
      <c r="KY57" s="12"/>
      <c r="KZ57" s="12"/>
      <c r="LA57" s="12"/>
      <c r="LB57" s="12"/>
      <c r="LC57" s="12"/>
      <c r="LD57" s="12"/>
      <c r="LE57" s="12"/>
      <c r="LF57" s="12"/>
      <c r="LG57" s="12"/>
      <c r="LH57" s="12"/>
      <c r="LI57" s="12"/>
      <c r="LJ57" s="12"/>
      <c r="LK57" s="12"/>
      <c r="LL57" s="12"/>
      <c r="LM57" s="12"/>
      <c r="LN57" s="12"/>
      <c r="LO57" s="12"/>
      <c r="LP57" s="12"/>
      <c r="LQ57" s="12"/>
      <c r="LR57" s="12"/>
      <c r="LS57" s="12"/>
      <c r="LT57" s="12"/>
      <c r="LU57" s="12"/>
      <c r="LV57" s="12"/>
      <c r="LW57" s="12"/>
      <c r="LX57" s="12"/>
      <c r="LY57" s="12"/>
      <c r="LZ57" s="12"/>
      <c r="MA57" s="12"/>
      <c r="MB57" s="12"/>
      <c r="MC57" s="12"/>
      <c r="MD57" s="12"/>
      <c r="ME57" s="12"/>
      <c r="MF57" s="12"/>
      <c r="MG57" s="12"/>
      <c r="MH57" s="12"/>
      <c r="MI57" s="12"/>
      <c r="MJ57" s="12"/>
      <c r="MK57" s="12"/>
      <c r="ML57" s="12"/>
      <c r="MM57" s="12"/>
      <c r="MN57" s="12"/>
      <c r="MO57" s="12"/>
      <c r="MP57" s="12"/>
      <c r="MQ57" s="12"/>
      <c r="MR57" s="12"/>
      <c r="MS57" s="12"/>
      <c r="MT57" s="12"/>
      <c r="MU57" s="12"/>
      <c r="MV57" s="12"/>
      <c r="MW57" s="12"/>
      <c r="MX57" s="12"/>
      <c r="MY57" s="12"/>
      <c r="MZ57" s="12"/>
      <c r="NA57" s="12"/>
      <c r="NB57" s="12"/>
      <c r="NC57" s="12"/>
      <c r="ND57" s="12"/>
      <c r="NE57" s="12"/>
      <c r="NF57" s="12"/>
      <c r="NG57" s="12"/>
      <c r="NH57" s="12"/>
      <c r="NI57" s="12"/>
      <c r="NJ57" s="12"/>
      <c r="NK57" s="12"/>
      <c r="NL57" s="12"/>
      <c r="NM57" s="12"/>
      <c r="NN57" s="12"/>
      <c r="NO57" s="12"/>
      <c r="NP57" s="12"/>
      <c r="NQ57" s="12"/>
      <c r="NR57" s="12"/>
      <c r="NS57" s="12"/>
      <c r="NT57" s="12"/>
      <c r="NU57" s="12"/>
      <c r="NV57" s="12"/>
      <c r="NW57" s="12"/>
      <c r="NX57" s="12"/>
      <c r="NY57" s="12"/>
      <c r="NZ57" s="12"/>
      <c r="OA57" s="12"/>
      <c r="OB57" s="12"/>
      <c r="OC57" s="12"/>
      <c r="OD57" s="12"/>
      <c r="OE57" s="12"/>
      <c r="OF57" s="12"/>
      <c r="OG57" s="12"/>
      <c r="OH57" s="12"/>
      <c r="OI57" s="12"/>
      <c r="OJ57" s="12"/>
      <c r="OK57" s="12"/>
      <c r="OL57" s="12"/>
      <c r="OM57" s="12"/>
      <c r="ON57" s="12"/>
      <c r="OO57" s="12"/>
      <c r="OP57" s="12"/>
      <c r="OQ57" s="12"/>
      <c r="OR57" s="12"/>
      <c r="OS57" s="12"/>
      <c r="OT57" s="12"/>
      <c r="OU57" s="12"/>
      <c r="OV57" s="12"/>
      <c r="OW57" s="12"/>
      <c r="OX57" s="12"/>
      <c r="OY57" s="12"/>
      <c r="OZ57" s="12"/>
      <c r="PA57" s="12"/>
      <c r="PB57" s="12"/>
      <c r="PC57" s="12"/>
      <c r="PD57" s="12"/>
      <c r="PE57" s="12"/>
      <c r="PF57" s="12"/>
      <c r="PG57" s="12"/>
      <c r="PH57" s="12"/>
      <c r="PI57" s="12"/>
      <c r="PJ57" s="12"/>
      <c r="PK57" s="12"/>
      <c r="PL57" s="12"/>
      <c r="PM57" s="12"/>
      <c r="PN57" s="12"/>
      <c r="PO57" s="12"/>
      <c r="PP57" s="12"/>
      <c r="PQ57" s="12"/>
      <c r="PR57" s="12"/>
      <c r="PS57" s="12"/>
      <c r="PT57" s="12"/>
      <c r="PU57" s="12"/>
      <c r="PV57" s="12"/>
      <c r="PW57" s="12"/>
      <c r="PX57" s="12"/>
      <c r="PY57" s="12"/>
      <c r="PZ57" s="12"/>
      <c r="QA57" s="12"/>
      <c r="QB57" s="12"/>
      <c r="QC57" s="12"/>
      <c r="QD57" s="12"/>
      <c r="QE57" s="12"/>
      <c r="QF57" s="12"/>
      <c r="QG57" s="12"/>
      <c r="QH57" s="12"/>
      <c r="QI57" s="12"/>
      <c r="QJ57" s="12"/>
      <c r="QK57" s="12"/>
      <c r="QL57" s="12"/>
      <c r="QM57" s="12"/>
      <c r="QN57" s="12"/>
      <c r="QO57" s="12"/>
      <c r="QP57" s="12"/>
      <c r="QQ57" s="12"/>
      <c r="QR57" s="12"/>
      <c r="QS57" s="12"/>
      <c r="QT57" s="12"/>
      <c r="QU57" s="12"/>
      <c r="QV57" s="12"/>
      <c r="QW57" s="12"/>
      <c r="QX57" s="12"/>
      <c r="QY57" s="12"/>
      <c r="QZ57" s="12"/>
      <c r="RA57" s="12"/>
      <c r="RB57" s="12"/>
      <c r="RC57" s="12"/>
      <c r="RD57" s="12"/>
      <c r="RE57" s="12"/>
      <c r="RF57" s="12"/>
      <c r="RG57" s="12"/>
      <c r="RH57" s="12"/>
      <c r="RI57" s="12"/>
      <c r="RJ57" s="12"/>
      <c r="RK57" s="12"/>
      <c r="RL57" s="12"/>
      <c r="RM57" s="12"/>
      <c r="RN57" s="12"/>
      <c r="RO57" s="12"/>
      <c r="RP57" s="12"/>
      <c r="RQ57" s="12"/>
      <c r="RR57" s="12"/>
      <c r="RS57" s="12"/>
      <c r="RT57" s="12"/>
      <c r="RU57" s="12"/>
      <c r="RV57" s="12"/>
      <c r="RW57" s="12"/>
      <c r="RX57" s="12"/>
      <c r="RY57" s="12"/>
      <c r="RZ57" s="12"/>
      <c r="SA57" s="12"/>
      <c r="SB57" s="12"/>
      <c r="SC57" s="12"/>
      <c r="SD57" s="12"/>
      <c r="SE57" s="12"/>
      <c r="SF57" s="12"/>
      <c r="SG57" s="12"/>
      <c r="SH57" s="12"/>
      <c r="SI57" s="12"/>
      <c r="SJ57" s="12"/>
      <c r="SK57" s="12"/>
      <c r="SL57" s="12"/>
      <c r="SM57" s="12"/>
      <c r="SN57" s="12"/>
      <c r="SO57" s="12"/>
      <c r="SP57" s="12"/>
      <c r="SQ57" s="12"/>
      <c r="SR57" s="12"/>
      <c r="SS57" s="12"/>
      <c r="ST57" s="12"/>
      <c r="SU57" s="12"/>
      <c r="SV57" s="12"/>
      <c r="SW57" s="12"/>
      <c r="SX57" s="12"/>
      <c r="SY57" s="12"/>
      <c r="SZ57" s="12"/>
      <c r="TA57" s="12"/>
      <c r="TB57" s="12"/>
      <c r="TC57" s="12"/>
      <c r="TD57" s="12"/>
      <c r="TE57" s="12"/>
      <c r="TF57" s="12"/>
      <c r="TG57" s="12"/>
      <c r="TH57" s="12"/>
      <c r="TI57" s="12"/>
      <c r="TJ57" s="12"/>
      <c r="TK57" s="12"/>
      <c r="TL57" s="12"/>
      <c r="TM57" s="12"/>
      <c r="TN57" s="12"/>
      <c r="TO57" s="12"/>
      <c r="TP57" s="12"/>
      <c r="TQ57" s="12"/>
      <c r="TR57" s="12"/>
      <c r="TS57" s="12"/>
      <c r="TT57" s="12"/>
      <c r="TU57" s="12"/>
      <c r="TV57" s="12"/>
      <c r="TW57" s="12"/>
      <c r="TX57" s="12"/>
      <c r="TY57" s="12"/>
      <c r="TZ57" s="12"/>
      <c r="UA57" s="12"/>
      <c r="UB57" s="12"/>
      <c r="UC57" s="12"/>
      <c r="UD57" s="12"/>
      <c r="UE57" s="12"/>
      <c r="UF57" s="12"/>
      <c r="UG57" s="12"/>
      <c r="UH57" s="12"/>
      <c r="UI57" s="12"/>
      <c r="UJ57" s="12"/>
      <c r="UK57" s="12"/>
      <c r="UL57" s="12"/>
      <c r="UM57" s="12"/>
      <c r="UN57" s="12"/>
      <c r="UO57" s="12"/>
      <c r="UP57" s="12"/>
      <c r="UQ57" s="12"/>
      <c r="UR57" s="12"/>
      <c r="US57" s="12"/>
      <c r="UT57" s="12"/>
      <c r="UU57" s="12"/>
      <c r="UV57" s="12"/>
      <c r="UW57" s="12"/>
      <c r="UX57" s="12"/>
      <c r="UY57" s="12"/>
      <c r="UZ57" s="12"/>
      <c r="VA57" s="12"/>
      <c r="VB57" s="12"/>
      <c r="VC57" s="12"/>
      <c r="VD57" s="12"/>
      <c r="VE57" s="12"/>
      <c r="VF57" s="12"/>
      <c r="VG57" s="12"/>
      <c r="VH57" s="12"/>
      <c r="VI57" s="12"/>
      <c r="VJ57" s="12"/>
      <c r="VK57" s="12"/>
      <c r="VL57" s="12"/>
      <c r="VM57" s="12"/>
      <c r="VN57" s="12"/>
      <c r="VO57" s="12"/>
      <c r="VP57" s="12"/>
      <c r="VQ57" s="12"/>
      <c r="VR57" s="12"/>
      <c r="VS57" s="12"/>
      <c r="VT57" s="12"/>
      <c r="VU57" s="12"/>
      <c r="VV57" s="12"/>
      <c r="VW57" s="12"/>
      <c r="VX57" s="12"/>
      <c r="VY57" s="12"/>
      <c r="VZ57" s="12"/>
      <c r="WA57" s="12"/>
      <c r="WB57" s="12"/>
      <c r="WC57" s="12"/>
      <c r="WD57" s="12"/>
      <c r="WE57" s="12"/>
      <c r="WF57" s="12"/>
      <c r="WG57" s="12"/>
      <c r="WH57" s="12"/>
      <c r="WI57" s="12"/>
      <c r="WJ57" s="12"/>
      <c r="WK57" s="12"/>
      <c r="WL57" s="12"/>
      <c r="WM57" s="12"/>
      <c r="WN57" s="12"/>
      <c r="WO57" s="12"/>
      <c r="WP57" s="12"/>
      <c r="WQ57" s="12"/>
      <c r="WR57" s="12"/>
      <c r="WS57" s="12"/>
      <c r="WT57" s="12"/>
      <c r="WU57" s="12"/>
      <c r="WV57" s="12"/>
      <c r="WW57" s="12"/>
      <c r="WX57" s="12"/>
      <c r="WY57" s="12"/>
      <c r="WZ57" s="12"/>
      <c r="XA57" s="12"/>
      <c r="XB57" s="12"/>
      <c r="XC57" s="12"/>
      <c r="XD57" s="12"/>
      <c r="XE57" s="12"/>
      <c r="XF57" s="12"/>
      <c r="XG57" s="12"/>
      <c r="XH57" s="12"/>
      <c r="XI57" s="12"/>
      <c r="XJ57" s="12"/>
      <c r="XK57" s="12"/>
      <c r="XL57" s="12"/>
      <c r="XM57" s="12"/>
      <c r="XN57" s="12"/>
      <c r="XO57" s="12"/>
      <c r="XP57" s="12"/>
      <c r="XQ57" s="12"/>
      <c r="XR57" s="12"/>
      <c r="XS57" s="12"/>
      <c r="XT57" s="12"/>
      <c r="XU57" s="12"/>
      <c r="XV57" s="12"/>
      <c r="XW57" s="12"/>
      <c r="XX57" s="12"/>
      <c r="XY57" s="12"/>
      <c r="XZ57" s="12"/>
      <c r="YA57" s="12"/>
      <c r="YB57" s="12"/>
      <c r="YC57" s="12"/>
      <c r="YD57" s="12"/>
      <c r="YE57" s="12"/>
      <c r="YF57" s="12"/>
      <c r="YG57" s="12"/>
      <c r="YH57" s="12"/>
      <c r="YI57" s="12"/>
      <c r="YJ57" s="12"/>
      <c r="YK57" s="12"/>
      <c r="YL57" s="12"/>
      <c r="YM57" s="12"/>
      <c r="YN57" s="12"/>
      <c r="YO57" s="12"/>
      <c r="YP57" s="12"/>
      <c r="YQ57" s="12"/>
      <c r="YR57" s="12"/>
      <c r="YS57" s="12"/>
      <c r="YT57" s="12"/>
      <c r="YU57" s="12"/>
      <c r="YV57" s="12"/>
      <c r="YW57" s="12"/>
      <c r="YX57" s="12"/>
      <c r="YY57" s="12"/>
      <c r="YZ57" s="12"/>
      <c r="ZA57" s="12"/>
      <c r="ZB57" s="12"/>
      <c r="ZC57" s="12"/>
      <c r="ZD57" s="12"/>
      <c r="ZE57" s="12"/>
      <c r="ZF57" s="12"/>
      <c r="ZG57" s="12"/>
      <c r="ZH57" s="12"/>
      <c r="ZI57" s="12"/>
      <c r="ZJ57" s="12"/>
      <c r="ZK57" s="12"/>
      <c r="ZL57" s="12"/>
      <c r="ZM57" s="12"/>
      <c r="ZN57" s="12"/>
      <c r="ZO57" s="12"/>
      <c r="ZP57" s="12"/>
      <c r="ZQ57" s="12"/>
      <c r="ZR57" s="12"/>
      <c r="ZS57" s="12"/>
      <c r="ZT57" s="12"/>
      <c r="ZU57" s="12"/>
      <c r="ZV57" s="12"/>
      <c r="ZW57" s="12"/>
      <c r="ZX57" s="12"/>
      <c r="ZY57" s="12"/>
      <c r="ZZ57" s="12"/>
      <c r="AAA57" s="12"/>
      <c r="AAB57" s="12"/>
      <c r="AAC57" s="12"/>
      <c r="AAD57" s="12"/>
      <c r="AAE57" s="12"/>
      <c r="AAF57" s="12"/>
      <c r="AAG57" s="12"/>
      <c r="AAH57" s="12"/>
      <c r="AAI57" s="12"/>
      <c r="AAJ57" s="12"/>
      <c r="AAK57" s="12"/>
      <c r="AAL57" s="12"/>
      <c r="AAM57" s="12"/>
      <c r="AAN57" s="12"/>
      <c r="AAO57" s="12"/>
      <c r="AAP57" s="12"/>
      <c r="AAQ57" s="12"/>
      <c r="AAR57" s="12"/>
      <c r="AAS57" s="12"/>
      <c r="AAT57" s="12"/>
      <c r="AAU57" s="12"/>
      <c r="AAV57" s="12"/>
      <c r="AAW57" s="12"/>
      <c r="AAX57" s="12"/>
      <c r="AAY57" s="12"/>
      <c r="AAZ57" s="12"/>
      <c r="ABA57" s="12"/>
      <c r="ABB57" s="12"/>
      <c r="ABC57" s="12"/>
      <c r="ABD57" s="12"/>
      <c r="ABE57" s="12"/>
      <c r="ABF57" s="12"/>
      <c r="ABG57" s="12"/>
      <c r="ABH57" s="12"/>
      <c r="ABI57" s="12"/>
      <c r="ABJ57" s="12"/>
      <c r="ABK57" s="12"/>
      <c r="ABL57" s="12"/>
      <c r="ABM57" s="12"/>
      <c r="ABN57" s="12"/>
      <c r="ABO57" s="12"/>
      <c r="ABP57" s="12"/>
      <c r="ABQ57" s="12"/>
      <c r="ABR57" s="12"/>
      <c r="ABS57" s="12"/>
      <c r="ABT57" s="12"/>
      <c r="ABU57" s="12"/>
      <c r="ABV57" s="12"/>
      <c r="ABW57" s="12"/>
      <c r="ABX57" s="12"/>
      <c r="ABY57" s="12"/>
      <c r="ABZ57" s="12"/>
      <c r="ACA57" s="12"/>
      <c r="ACB57" s="12"/>
      <c r="ACC57" s="12"/>
      <c r="ACD57" s="12"/>
      <c r="ACE57" s="12"/>
      <c r="ACF57" s="12"/>
      <c r="ACG57" s="12"/>
      <c r="ACH57" s="12"/>
      <c r="ACI57" s="12"/>
      <c r="ACJ57" s="12"/>
      <c r="ACK57" s="12"/>
      <c r="ACL57" s="12"/>
      <c r="ACM57" s="12"/>
      <c r="ACN57" s="12"/>
      <c r="ACO57" s="12"/>
      <c r="ACP57" s="12"/>
      <c r="ACQ57" s="12"/>
      <c r="ACR57" s="12"/>
      <c r="ACS57" s="12"/>
      <c r="ACT57" s="12"/>
      <c r="ACU57" s="12"/>
      <c r="ACV57" s="12"/>
      <c r="ACW57" s="12"/>
      <c r="ACX57" s="12"/>
      <c r="ACY57" s="12"/>
      <c r="ACZ57" s="12"/>
      <c r="ADA57" s="12"/>
      <c r="ADB57" s="12"/>
      <c r="ADC57" s="12"/>
      <c r="ADD57" s="12"/>
      <c r="ADE57" s="12"/>
      <c r="ADF57" s="12"/>
      <c r="ADG57" s="12"/>
      <c r="ADH57" s="12"/>
      <c r="ADI57" s="12"/>
      <c r="ADJ57" s="12"/>
      <c r="ADK57" s="12"/>
      <c r="ADL57" s="12"/>
      <c r="ADM57" s="12"/>
      <c r="ADN57" s="12"/>
      <c r="ADO57" s="12"/>
      <c r="ADP57" s="12"/>
      <c r="ADQ57" s="12"/>
      <c r="ADR57" s="12"/>
      <c r="ADS57" s="12"/>
      <c r="ADT57" s="12"/>
      <c r="ADU57" s="12"/>
      <c r="ADV57" s="12"/>
      <c r="ADW57" s="12"/>
      <c r="ADX57" s="12"/>
      <c r="ADY57" s="12"/>
      <c r="ADZ57" s="12"/>
      <c r="AEA57" s="12"/>
      <c r="AEB57" s="12"/>
      <c r="AEC57" s="12"/>
      <c r="AED57" s="12"/>
      <c r="AEE57" s="12"/>
      <c r="AEF57" s="12"/>
      <c r="AEG57" s="12"/>
      <c r="AEH57" s="12"/>
      <c r="AEI57" s="12"/>
      <c r="AEJ57" s="12"/>
      <c r="AEK57" s="12"/>
      <c r="AEL57" s="12"/>
      <c r="AEM57" s="12"/>
      <c r="AEN57" s="12"/>
      <c r="AEO57" s="12"/>
      <c r="AEP57" s="12"/>
      <c r="AEQ57" s="12"/>
      <c r="AER57" s="12"/>
      <c r="AES57" s="12"/>
      <c r="AET57" s="12"/>
      <c r="AEU57" s="12"/>
      <c r="AEV57" s="12"/>
    </row>
    <row r="58" spans="1:828" s="27" customFormat="1" ht="18" x14ac:dyDescent="0.2">
      <c r="A58" s="62"/>
      <c r="C58" s="23"/>
      <c r="D58" s="29"/>
      <c r="E58" s="23"/>
      <c r="F58" s="23"/>
      <c r="G58" s="23"/>
      <c r="H58" s="30"/>
      <c r="I58" s="23"/>
      <c r="J58" s="29"/>
      <c r="K58" s="30"/>
      <c r="L58" s="23"/>
      <c r="M58" s="29"/>
      <c r="N58" s="47"/>
      <c r="O58" s="12"/>
      <c r="P58" s="48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  <c r="LT58" s="12"/>
      <c r="LU58" s="12"/>
      <c r="LV58" s="12"/>
      <c r="LW58" s="12"/>
      <c r="LX58" s="12"/>
      <c r="LY58" s="12"/>
      <c r="LZ58" s="12"/>
      <c r="MA58" s="12"/>
      <c r="MB58" s="12"/>
      <c r="MC58" s="12"/>
      <c r="MD58" s="12"/>
      <c r="ME58" s="12"/>
      <c r="MF58" s="12"/>
      <c r="MG58" s="12"/>
      <c r="MH58" s="12"/>
      <c r="MI58" s="12"/>
      <c r="MJ58" s="12"/>
      <c r="MK58" s="12"/>
      <c r="ML58" s="12"/>
      <c r="MM58" s="12"/>
      <c r="MN58" s="12"/>
      <c r="MO58" s="12"/>
      <c r="MP58" s="12"/>
      <c r="MQ58" s="12"/>
      <c r="MR58" s="12"/>
      <c r="MS58" s="12"/>
      <c r="MT58" s="12"/>
      <c r="MU58" s="12"/>
      <c r="MV58" s="12"/>
      <c r="MW58" s="12"/>
      <c r="MX58" s="12"/>
      <c r="MY58" s="12"/>
      <c r="MZ58" s="12"/>
      <c r="NA58" s="12"/>
      <c r="NB58" s="12"/>
      <c r="NC58" s="12"/>
      <c r="ND58" s="12"/>
      <c r="NE58" s="12"/>
      <c r="NF58" s="12"/>
      <c r="NG58" s="12"/>
      <c r="NH58" s="12"/>
      <c r="NI58" s="12"/>
      <c r="NJ58" s="12"/>
      <c r="NK58" s="12"/>
      <c r="NL58" s="12"/>
      <c r="NM58" s="12"/>
      <c r="NN58" s="12"/>
      <c r="NO58" s="12"/>
      <c r="NP58" s="12"/>
      <c r="NQ58" s="12"/>
      <c r="NR58" s="12"/>
      <c r="NS58" s="12"/>
      <c r="NT58" s="12"/>
      <c r="NU58" s="12"/>
      <c r="NV58" s="12"/>
      <c r="NW58" s="12"/>
      <c r="NX58" s="12"/>
      <c r="NY58" s="12"/>
      <c r="NZ58" s="12"/>
      <c r="OA58" s="12"/>
      <c r="OB58" s="12"/>
      <c r="OC58" s="12"/>
      <c r="OD58" s="12"/>
      <c r="OE58" s="12"/>
      <c r="OF58" s="12"/>
      <c r="OG58" s="12"/>
      <c r="OH58" s="12"/>
      <c r="OI58" s="12"/>
      <c r="OJ58" s="12"/>
      <c r="OK58" s="12"/>
      <c r="OL58" s="12"/>
      <c r="OM58" s="12"/>
      <c r="ON58" s="12"/>
      <c r="OO58" s="12"/>
      <c r="OP58" s="12"/>
      <c r="OQ58" s="12"/>
      <c r="OR58" s="12"/>
      <c r="OS58" s="12"/>
      <c r="OT58" s="12"/>
      <c r="OU58" s="12"/>
      <c r="OV58" s="12"/>
      <c r="OW58" s="12"/>
      <c r="OX58" s="12"/>
      <c r="OY58" s="12"/>
      <c r="OZ58" s="12"/>
      <c r="PA58" s="12"/>
      <c r="PB58" s="12"/>
      <c r="PC58" s="12"/>
      <c r="PD58" s="12"/>
      <c r="PE58" s="12"/>
      <c r="PF58" s="12"/>
      <c r="PG58" s="12"/>
      <c r="PH58" s="12"/>
      <c r="PI58" s="12"/>
      <c r="PJ58" s="12"/>
      <c r="PK58" s="12"/>
      <c r="PL58" s="12"/>
      <c r="PM58" s="12"/>
      <c r="PN58" s="12"/>
      <c r="PO58" s="12"/>
      <c r="PP58" s="12"/>
      <c r="PQ58" s="12"/>
      <c r="PR58" s="12"/>
      <c r="PS58" s="12"/>
      <c r="PT58" s="12"/>
      <c r="PU58" s="12"/>
      <c r="PV58" s="12"/>
      <c r="PW58" s="12"/>
      <c r="PX58" s="12"/>
      <c r="PY58" s="12"/>
      <c r="PZ58" s="12"/>
      <c r="QA58" s="12"/>
      <c r="QB58" s="12"/>
      <c r="QC58" s="12"/>
      <c r="QD58" s="12"/>
      <c r="QE58" s="12"/>
      <c r="QF58" s="12"/>
      <c r="QG58" s="12"/>
      <c r="QH58" s="12"/>
      <c r="QI58" s="12"/>
      <c r="QJ58" s="12"/>
      <c r="QK58" s="12"/>
      <c r="QL58" s="12"/>
      <c r="QM58" s="12"/>
      <c r="QN58" s="12"/>
      <c r="QO58" s="12"/>
      <c r="QP58" s="12"/>
      <c r="QQ58" s="12"/>
      <c r="QR58" s="12"/>
      <c r="QS58" s="12"/>
      <c r="QT58" s="12"/>
      <c r="QU58" s="12"/>
      <c r="QV58" s="12"/>
      <c r="QW58" s="12"/>
      <c r="QX58" s="12"/>
      <c r="QY58" s="12"/>
      <c r="QZ58" s="12"/>
      <c r="RA58" s="12"/>
      <c r="RB58" s="12"/>
      <c r="RC58" s="12"/>
      <c r="RD58" s="12"/>
      <c r="RE58" s="12"/>
      <c r="RF58" s="12"/>
      <c r="RG58" s="12"/>
      <c r="RH58" s="12"/>
      <c r="RI58" s="12"/>
      <c r="RJ58" s="12"/>
      <c r="RK58" s="12"/>
      <c r="RL58" s="12"/>
      <c r="RM58" s="12"/>
      <c r="RN58" s="12"/>
      <c r="RO58" s="12"/>
      <c r="RP58" s="12"/>
      <c r="RQ58" s="12"/>
      <c r="RR58" s="12"/>
      <c r="RS58" s="12"/>
      <c r="RT58" s="12"/>
      <c r="RU58" s="12"/>
      <c r="RV58" s="12"/>
      <c r="RW58" s="12"/>
      <c r="RX58" s="12"/>
      <c r="RY58" s="12"/>
      <c r="RZ58" s="12"/>
      <c r="SA58" s="12"/>
      <c r="SB58" s="12"/>
      <c r="SC58" s="12"/>
      <c r="SD58" s="12"/>
      <c r="SE58" s="12"/>
      <c r="SF58" s="12"/>
      <c r="SG58" s="12"/>
      <c r="SH58" s="12"/>
      <c r="SI58" s="12"/>
      <c r="SJ58" s="12"/>
      <c r="SK58" s="12"/>
      <c r="SL58" s="12"/>
      <c r="SM58" s="12"/>
      <c r="SN58" s="12"/>
      <c r="SO58" s="12"/>
      <c r="SP58" s="12"/>
      <c r="SQ58" s="12"/>
      <c r="SR58" s="12"/>
      <c r="SS58" s="12"/>
      <c r="ST58" s="12"/>
      <c r="SU58" s="12"/>
      <c r="SV58" s="12"/>
      <c r="SW58" s="12"/>
      <c r="SX58" s="12"/>
      <c r="SY58" s="12"/>
      <c r="SZ58" s="12"/>
      <c r="TA58" s="12"/>
      <c r="TB58" s="12"/>
      <c r="TC58" s="12"/>
      <c r="TD58" s="12"/>
      <c r="TE58" s="12"/>
      <c r="TF58" s="12"/>
      <c r="TG58" s="12"/>
      <c r="TH58" s="12"/>
      <c r="TI58" s="12"/>
      <c r="TJ58" s="12"/>
      <c r="TK58" s="12"/>
      <c r="TL58" s="12"/>
      <c r="TM58" s="12"/>
      <c r="TN58" s="12"/>
      <c r="TO58" s="12"/>
      <c r="TP58" s="12"/>
      <c r="TQ58" s="12"/>
      <c r="TR58" s="12"/>
      <c r="TS58" s="12"/>
      <c r="TT58" s="12"/>
      <c r="TU58" s="12"/>
      <c r="TV58" s="12"/>
      <c r="TW58" s="12"/>
      <c r="TX58" s="12"/>
      <c r="TY58" s="12"/>
      <c r="TZ58" s="12"/>
      <c r="UA58" s="12"/>
      <c r="UB58" s="12"/>
      <c r="UC58" s="12"/>
      <c r="UD58" s="12"/>
      <c r="UE58" s="12"/>
      <c r="UF58" s="12"/>
      <c r="UG58" s="12"/>
      <c r="UH58" s="12"/>
      <c r="UI58" s="12"/>
      <c r="UJ58" s="12"/>
      <c r="UK58" s="12"/>
      <c r="UL58" s="12"/>
      <c r="UM58" s="12"/>
      <c r="UN58" s="12"/>
      <c r="UO58" s="12"/>
      <c r="UP58" s="12"/>
      <c r="UQ58" s="12"/>
      <c r="UR58" s="12"/>
      <c r="US58" s="12"/>
      <c r="UT58" s="12"/>
      <c r="UU58" s="12"/>
      <c r="UV58" s="12"/>
      <c r="UW58" s="12"/>
      <c r="UX58" s="12"/>
      <c r="UY58" s="12"/>
      <c r="UZ58" s="12"/>
      <c r="VA58" s="12"/>
      <c r="VB58" s="12"/>
      <c r="VC58" s="12"/>
      <c r="VD58" s="12"/>
      <c r="VE58" s="12"/>
      <c r="VF58" s="12"/>
      <c r="VG58" s="12"/>
      <c r="VH58" s="12"/>
      <c r="VI58" s="12"/>
      <c r="VJ58" s="12"/>
      <c r="VK58" s="12"/>
      <c r="VL58" s="12"/>
      <c r="VM58" s="12"/>
      <c r="VN58" s="12"/>
      <c r="VO58" s="12"/>
      <c r="VP58" s="12"/>
      <c r="VQ58" s="12"/>
      <c r="VR58" s="12"/>
      <c r="VS58" s="12"/>
      <c r="VT58" s="12"/>
      <c r="VU58" s="12"/>
      <c r="VV58" s="12"/>
      <c r="VW58" s="12"/>
      <c r="VX58" s="12"/>
      <c r="VY58" s="12"/>
      <c r="VZ58" s="12"/>
      <c r="WA58" s="12"/>
      <c r="WB58" s="12"/>
      <c r="WC58" s="12"/>
      <c r="WD58" s="12"/>
      <c r="WE58" s="12"/>
      <c r="WF58" s="12"/>
      <c r="WG58" s="12"/>
      <c r="WH58" s="12"/>
      <c r="WI58" s="12"/>
      <c r="WJ58" s="12"/>
      <c r="WK58" s="12"/>
      <c r="WL58" s="12"/>
      <c r="WM58" s="12"/>
      <c r="WN58" s="12"/>
      <c r="WO58" s="12"/>
      <c r="WP58" s="12"/>
      <c r="WQ58" s="12"/>
      <c r="WR58" s="12"/>
      <c r="WS58" s="12"/>
      <c r="WT58" s="12"/>
      <c r="WU58" s="12"/>
      <c r="WV58" s="12"/>
      <c r="WW58" s="12"/>
      <c r="WX58" s="12"/>
      <c r="WY58" s="12"/>
      <c r="WZ58" s="12"/>
      <c r="XA58" s="12"/>
      <c r="XB58" s="12"/>
      <c r="XC58" s="12"/>
      <c r="XD58" s="12"/>
      <c r="XE58" s="12"/>
      <c r="XF58" s="12"/>
      <c r="XG58" s="12"/>
      <c r="XH58" s="12"/>
      <c r="XI58" s="12"/>
      <c r="XJ58" s="12"/>
      <c r="XK58" s="12"/>
      <c r="XL58" s="12"/>
      <c r="XM58" s="12"/>
      <c r="XN58" s="12"/>
      <c r="XO58" s="12"/>
      <c r="XP58" s="12"/>
      <c r="XQ58" s="12"/>
      <c r="XR58" s="12"/>
      <c r="XS58" s="12"/>
      <c r="XT58" s="12"/>
      <c r="XU58" s="12"/>
      <c r="XV58" s="12"/>
      <c r="XW58" s="12"/>
      <c r="XX58" s="12"/>
      <c r="XY58" s="12"/>
      <c r="XZ58" s="12"/>
      <c r="YA58" s="12"/>
      <c r="YB58" s="12"/>
      <c r="YC58" s="12"/>
      <c r="YD58" s="12"/>
      <c r="YE58" s="12"/>
      <c r="YF58" s="12"/>
      <c r="YG58" s="12"/>
      <c r="YH58" s="12"/>
      <c r="YI58" s="12"/>
      <c r="YJ58" s="12"/>
      <c r="YK58" s="12"/>
      <c r="YL58" s="12"/>
      <c r="YM58" s="12"/>
      <c r="YN58" s="12"/>
      <c r="YO58" s="12"/>
      <c r="YP58" s="12"/>
      <c r="YQ58" s="12"/>
      <c r="YR58" s="12"/>
      <c r="YS58" s="12"/>
      <c r="YT58" s="12"/>
      <c r="YU58" s="12"/>
      <c r="YV58" s="12"/>
      <c r="YW58" s="12"/>
      <c r="YX58" s="12"/>
      <c r="YY58" s="12"/>
      <c r="YZ58" s="12"/>
      <c r="ZA58" s="12"/>
      <c r="ZB58" s="12"/>
      <c r="ZC58" s="12"/>
      <c r="ZD58" s="12"/>
      <c r="ZE58" s="12"/>
      <c r="ZF58" s="12"/>
      <c r="ZG58" s="12"/>
      <c r="ZH58" s="12"/>
      <c r="ZI58" s="12"/>
      <c r="ZJ58" s="12"/>
      <c r="ZK58" s="12"/>
      <c r="ZL58" s="12"/>
      <c r="ZM58" s="12"/>
      <c r="ZN58" s="12"/>
      <c r="ZO58" s="12"/>
      <c r="ZP58" s="12"/>
      <c r="ZQ58" s="12"/>
      <c r="ZR58" s="12"/>
      <c r="ZS58" s="12"/>
      <c r="ZT58" s="12"/>
      <c r="ZU58" s="12"/>
      <c r="ZV58" s="12"/>
      <c r="ZW58" s="12"/>
      <c r="ZX58" s="12"/>
      <c r="ZY58" s="12"/>
      <c r="ZZ58" s="12"/>
      <c r="AAA58" s="12"/>
      <c r="AAB58" s="12"/>
      <c r="AAC58" s="12"/>
      <c r="AAD58" s="12"/>
      <c r="AAE58" s="12"/>
      <c r="AAF58" s="12"/>
      <c r="AAG58" s="12"/>
      <c r="AAH58" s="12"/>
      <c r="AAI58" s="12"/>
      <c r="AAJ58" s="12"/>
      <c r="AAK58" s="12"/>
      <c r="AAL58" s="12"/>
      <c r="AAM58" s="12"/>
      <c r="AAN58" s="12"/>
      <c r="AAO58" s="12"/>
      <c r="AAP58" s="12"/>
      <c r="AAQ58" s="12"/>
      <c r="AAR58" s="12"/>
      <c r="AAS58" s="12"/>
      <c r="AAT58" s="12"/>
      <c r="AAU58" s="12"/>
      <c r="AAV58" s="12"/>
      <c r="AAW58" s="12"/>
      <c r="AAX58" s="12"/>
      <c r="AAY58" s="12"/>
      <c r="AAZ58" s="12"/>
      <c r="ABA58" s="12"/>
      <c r="ABB58" s="12"/>
      <c r="ABC58" s="12"/>
      <c r="ABD58" s="12"/>
      <c r="ABE58" s="12"/>
      <c r="ABF58" s="12"/>
      <c r="ABG58" s="12"/>
      <c r="ABH58" s="12"/>
      <c r="ABI58" s="12"/>
      <c r="ABJ58" s="12"/>
      <c r="ABK58" s="12"/>
      <c r="ABL58" s="12"/>
      <c r="ABM58" s="12"/>
      <c r="ABN58" s="12"/>
      <c r="ABO58" s="12"/>
      <c r="ABP58" s="12"/>
      <c r="ABQ58" s="12"/>
      <c r="ABR58" s="12"/>
      <c r="ABS58" s="12"/>
      <c r="ABT58" s="12"/>
      <c r="ABU58" s="12"/>
      <c r="ABV58" s="12"/>
      <c r="ABW58" s="12"/>
      <c r="ABX58" s="12"/>
      <c r="ABY58" s="12"/>
      <c r="ABZ58" s="12"/>
      <c r="ACA58" s="12"/>
      <c r="ACB58" s="12"/>
      <c r="ACC58" s="12"/>
      <c r="ACD58" s="12"/>
      <c r="ACE58" s="12"/>
      <c r="ACF58" s="12"/>
      <c r="ACG58" s="12"/>
      <c r="ACH58" s="12"/>
      <c r="ACI58" s="12"/>
      <c r="ACJ58" s="12"/>
      <c r="ACK58" s="12"/>
      <c r="ACL58" s="12"/>
      <c r="ACM58" s="12"/>
      <c r="ACN58" s="12"/>
      <c r="ACO58" s="12"/>
      <c r="ACP58" s="12"/>
      <c r="ACQ58" s="12"/>
      <c r="ACR58" s="12"/>
      <c r="ACS58" s="12"/>
      <c r="ACT58" s="12"/>
      <c r="ACU58" s="12"/>
      <c r="ACV58" s="12"/>
      <c r="ACW58" s="12"/>
      <c r="ACX58" s="12"/>
      <c r="ACY58" s="12"/>
      <c r="ACZ58" s="12"/>
      <c r="ADA58" s="12"/>
      <c r="ADB58" s="12"/>
      <c r="ADC58" s="12"/>
      <c r="ADD58" s="12"/>
      <c r="ADE58" s="12"/>
      <c r="ADF58" s="12"/>
      <c r="ADG58" s="12"/>
      <c r="ADH58" s="12"/>
      <c r="ADI58" s="12"/>
      <c r="ADJ58" s="12"/>
      <c r="ADK58" s="12"/>
      <c r="ADL58" s="12"/>
      <c r="ADM58" s="12"/>
      <c r="ADN58" s="12"/>
      <c r="ADO58" s="12"/>
      <c r="ADP58" s="12"/>
      <c r="ADQ58" s="12"/>
      <c r="ADR58" s="12"/>
      <c r="ADS58" s="12"/>
      <c r="ADT58" s="12"/>
      <c r="ADU58" s="12"/>
      <c r="ADV58" s="12"/>
      <c r="ADW58" s="12"/>
      <c r="ADX58" s="12"/>
      <c r="ADY58" s="12"/>
      <c r="ADZ58" s="12"/>
      <c r="AEA58" s="12"/>
      <c r="AEB58" s="12"/>
      <c r="AEC58" s="12"/>
      <c r="AED58" s="12"/>
      <c r="AEE58" s="12"/>
      <c r="AEF58" s="12"/>
      <c r="AEG58" s="12"/>
      <c r="AEH58" s="12"/>
      <c r="AEI58" s="12"/>
      <c r="AEJ58" s="12"/>
      <c r="AEK58" s="12"/>
      <c r="AEL58" s="12"/>
      <c r="AEM58" s="12"/>
      <c r="AEN58" s="12"/>
      <c r="AEO58" s="12"/>
      <c r="AEP58" s="12"/>
      <c r="AEQ58" s="12"/>
      <c r="AER58" s="12"/>
      <c r="AES58" s="12"/>
      <c r="AET58" s="12"/>
      <c r="AEU58" s="12"/>
      <c r="AEV58" s="12"/>
    </row>
    <row r="59" spans="1:828" s="27" customFormat="1" ht="18" x14ac:dyDescent="0.2">
      <c r="A59" s="63"/>
      <c r="C59" s="64"/>
      <c r="D59" s="65"/>
      <c r="E59" s="64"/>
      <c r="F59" s="64"/>
      <c r="G59" s="65"/>
      <c r="H59" s="64"/>
      <c r="I59" s="64"/>
      <c r="J59" s="65"/>
      <c r="K59" s="64"/>
      <c r="L59" s="64"/>
      <c r="M59" s="65"/>
      <c r="N59" s="47"/>
      <c r="O59" s="12"/>
      <c r="P59" s="48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2"/>
      <c r="FJ59" s="12"/>
      <c r="FK59" s="12"/>
      <c r="FL59" s="12"/>
      <c r="FM59" s="12"/>
      <c r="FN59" s="12"/>
      <c r="FO59" s="12"/>
      <c r="FP59" s="12"/>
      <c r="FQ59" s="12"/>
      <c r="FR59" s="12"/>
      <c r="FS59" s="12"/>
      <c r="FT59" s="12"/>
      <c r="FU59" s="12"/>
      <c r="FV59" s="12"/>
      <c r="FW59" s="12"/>
      <c r="FX59" s="12"/>
      <c r="FY59" s="12"/>
      <c r="FZ59" s="12"/>
      <c r="GA59" s="12"/>
      <c r="GB59" s="12"/>
      <c r="GC59" s="12"/>
      <c r="GD59" s="12"/>
      <c r="GE59" s="12"/>
      <c r="GF59" s="12"/>
      <c r="GG59" s="12"/>
      <c r="GH59" s="12"/>
      <c r="GI59" s="12"/>
      <c r="GJ59" s="12"/>
      <c r="GK59" s="12"/>
      <c r="GL59" s="12"/>
      <c r="GM59" s="12"/>
      <c r="GN59" s="12"/>
      <c r="GO59" s="12"/>
      <c r="GP59" s="12"/>
      <c r="GQ59" s="12"/>
      <c r="GR59" s="12"/>
      <c r="GS59" s="12"/>
      <c r="GT59" s="12"/>
      <c r="GU59" s="12"/>
      <c r="GV59" s="12"/>
      <c r="GW59" s="12"/>
      <c r="GX59" s="12"/>
      <c r="GY59" s="12"/>
      <c r="GZ59" s="12"/>
      <c r="HA59" s="12"/>
      <c r="HB59" s="12"/>
      <c r="HC59" s="12"/>
      <c r="HD59" s="12"/>
      <c r="HE59" s="12"/>
      <c r="HF59" s="12"/>
      <c r="HG59" s="12"/>
      <c r="HH59" s="12"/>
      <c r="HI59" s="12"/>
      <c r="HJ59" s="12"/>
      <c r="HK59" s="12"/>
      <c r="HL59" s="12"/>
      <c r="HM59" s="12"/>
      <c r="HN59" s="12"/>
      <c r="HO59" s="12"/>
      <c r="HP59" s="12"/>
      <c r="HQ59" s="12"/>
      <c r="HR59" s="12"/>
      <c r="HS59" s="12"/>
      <c r="HT59" s="12"/>
      <c r="HU59" s="12"/>
      <c r="HV59" s="12"/>
      <c r="HW59" s="12"/>
      <c r="HX59" s="12"/>
      <c r="HY59" s="12"/>
      <c r="HZ59" s="12"/>
      <c r="IA59" s="12"/>
      <c r="IB59" s="12"/>
      <c r="IC59" s="12"/>
      <c r="ID59" s="12"/>
      <c r="IE59" s="12"/>
      <c r="IF59" s="12"/>
      <c r="IG59" s="12"/>
      <c r="IH59" s="12"/>
      <c r="II59" s="12"/>
      <c r="IJ59" s="12"/>
      <c r="IK59" s="12"/>
      <c r="IL59" s="12"/>
      <c r="IM59" s="12"/>
      <c r="IN59" s="12"/>
      <c r="IO59" s="12"/>
      <c r="IP59" s="12"/>
      <c r="IQ59" s="12"/>
      <c r="IR59" s="12"/>
      <c r="IS59" s="12"/>
      <c r="IT59" s="12"/>
      <c r="IU59" s="12"/>
      <c r="IV59" s="12"/>
      <c r="IW59" s="12"/>
      <c r="IX59" s="12"/>
      <c r="IY59" s="12"/>
      <c r="IZ59" s="12"/>
      <c r="JA59" s="12"/>
      <c r="JB59" s="12"/>
      <c r="JC59" s="12"/>
      <c r="JD59" s="12"/>
      <c r="JE59" s="12"/>
      <c r="JF59" s="12"/>
      <c r="JG59" s="12"/>
      <c r="JH59" s="12"/>
      <c r="JI59" s="12"/>
      <c r="JJ59" s="12"/>
      <c r="JK59" s="12"/>
      <c r="JL59" s="12"/>
      <c r="JM59" s="12"/>
      <c r="JN59" s="12"/>
      <c r="JO59" s="12"/>
      <c r="JP59" s="12"/>
      <c r="JQ59" s="12"/>
      <c r="JR59" s="12"/>
      <c r="JS59" s="12"/>
      <c r="JT59" s="12"/>
      <c r="JU59" s="12"/>
      <c r="JV59" s="12"/>
      <c r="JW59" s="12"/>
      <c r="JX59" s="12"/>
      <c r="JY59" s="12"/>
      <c r="JZ59" s="12"/>
      <c r="KA59" s="12"/>
      <c r="KB59" s="12"/>
      <c r="KC59" s="12"/>
      <c r="KD59" s="12"/>
      <c r="KE59" s="12"/>
      <c r="KF59" s="12"/>
      <c r="KG59" s="12"/>
      <c r="KH59" s="12"/>
      <c r="KI59" s="12"/>
      <c r="KJ59" s="12"/>
      <c r="KK59" s="12"/>
      <c r="KL59" s="12"/>
      <c r="KM59" s="12"/>
      <c r="KN59" s="12"/>
      <c r="KO59" s="12"/>
      <c r="KP59" s="12"/>
      <c r="KQ59" s="12"/>
      <c r="KR59" s="12"/>
      <c r="KS59" s="12"/>
      <c r="KT59" s="12"/>
      <c r="KU59" s="12"/>
      <c r="KV59" s="12"/>
      <c r="KW59" s="12"/>
      <c r="KX59" s="12"/>
      <c r="KY59" s="12"/>
      <c r="KZ59" s="12"/>
      <c r="LA59" s="12"/>
      <c r="LB59" s="12"/>
      <c r="LC59" s="12"/>
      <c r="LD59" s="12"/>
      <c r="LE59" s="12"/>
      <c r="LF59" s="12"/>
      <c r="LG59" s="12"/>
      <c r="LH59" s="12"/>
      <c r="LI59" s="12"/>
      <c r="LJ59" s="12"/>
      <c r="LK59" s="12"/>
      <c r="LL59" s="12"/>
      <c r="LM59" s="12"/>
      <c r="LN59" s="12"/>
      <c r="LO59" s="12"/>
      <c r="LP59" s="12"/>
      <c r="LQ59" s="12"/>
      <c r="LR59" s="12"/>
      <c r="LS59" s="12"/>
      <c r="LT59" s="12"/>
      <c r="LU59" s="12"/>
      <c r="LV59" s="12"/>
      <c r="LW59" s="12"/>
      <c r="LX59" s="12"/>
      <c r="LY59" s="12"/>
      <c r="LZ59" s="12"/>
      <c r="MA59" s="12"/>
      <c r="MB59" s="12"/>
      <c r="MC59" s="12"/>
      <c r="MD59" s="12"/>
      <c r="ME59" s="12"/>
      <c r="MF59" s="12"/>
      <c r="MG59" s="12"/>
      <c r="MH59" s="12"/>
      <c r="MI59" s="12"/>
      <c r="MJ59" s="12"/>
      <c r="MK59" s="12"/>
      <c r="ML59" s="12"/>
      <c r="MM59" s="12"/>
      <c r="MN59" s="12"/>
      <c r="MO59" s="12"/>
      <c r="MP59" s="12"/>
      <c r="MQ59" s="12"/>
      <c r="MR59" s="12"/>
      <c r="MS59" s="12"/>
      <c r="MT59" s="12"/>
      <c r="MU59" s="12"/>
      <c r="MV59" s="12"/>
      <c r="MW59" s="12"/>
      <c r="MX59" s="12"/>
      <c r="MY59" s="12"/>
      <c r="MZ59" s="12"/>
      <c r="NA59" s="12"/>
      <c r="NB59" s="12"/>
      <c r="NC59" s="12"/>
      <c r="ND59" s="12"/>
      <c r="NE59" s="12"/>
      <c r="NF59" s="12"/>
      <c r="NG59" s="12"/>
      <c r="NH59" s="12"/>
      <c r="NI59" s="12"/>
      <c r="NJ59" s="12"/>
      <c r="NK59" s="12"/>
      <c r="NL59" s="12"/>
      <c r="NM59" s="12"/>
      <c r="NN59" s="12"/>
      <c r="NO59" s="12"/>
      <c r="NP59" s="12"/>
      <c r="NQ59" s="12"/>
      <c r="NR59" s="12"/>
      <c r="NS59" s="12"/>
      <c r="NT59" s="12"/>
      <c r="NU59" s="12"/>
      <c r="NV59" s="12"/>
      <c r="NW59" s="12"/>
      <c r="NX59" s="12"/>
      <c r="NY59" s="12"/>
      <c r="NZ59" s="12"/>
      <c r="OA59" s="12"/>
      <c r="OB59" s="12"/>
      <c r="OC59" s="12"/>
      <c r="OD59" s="12"/>
      <c r="OE59" s="12"/>
      <c r="OF59" s="12"/>
      <c r="OG59" s="12"/>
      <c r="OH59" s="12"/>
      <c r="OI59" s="12"/>
      <c r="OJ59" s="12"/>
      <c r="OK59" s="12"/>
      <c r="OL59" s="12"/>
      <c r="OM59" s="12"/>
      <c r="ON59" s="12"/>
      <c r="OO59" s="12"/>
      <c r="OP59" s="12"/>
      <c r="OQ59" s="12"/>
      <c r="OR59" s="12"/>
      <c r="OS59" s="12"/>
      <c r="OT59" s="12"/>
      <c r="OU59" s="12"/>
      <c r="OV59" s="12"/>
      <c r="OW59" s="12"/>
      <c r="OX59" s="12"/>
      <c r="OY59" s="12"/>
      <c r="OZ59" s="12"/>
      <c r="PA59" s="12"/>
      <c r="PB59" s="12"/>
      <c r="PC59" s="12"/>
      <c r="PD59" s="12"/>
      <c r="PE59" s="12"/>
      <c r="PF59" s="12"/>
      <c r="PG59" s="12"/>
      <c r="PH59" s="12"/>
      <c r="PI59" s="12"/>
      <c r="PJ59" s="12"/>
      <c r="PK59" s="12"/>
      <c r="PL59" s="12"/>
      <c r="PM59" s="12"/>
      <c r="PN59" s="12"/>
      <c r="PO59" s="12"/>
      <c r="PP59" s="12"/>
      <c r="PQ59" s="12"/>
      <c r="PR59" s="12"/>
      <c r="PS59" s="12"/>
      <c r="PT59" s="12"/>
      <c r="PU59" s="12"/>
      <c r="PV59" s="12"/>
      <c r="PW59" s="12"/>
      <c r="PX59" s="12"/>
      <c r="PY59" s="12"/>
      <c r="PZ59" s="12"/>
      <c r="QA59" s="12"/>
      <c r="QB59" s="12"/>
      <c r="QC59" s="12"/>
      <c r="QD59" s="12"/>
      <c r="QE59" s="12"/>
      <c r="QF59" s="12"/>
      <c r="QG59" s="12"/>
      <c r="QH59" s="12"/>
      <c r="QI59" s="12"/>
      <c r="QJ59" s="12"/>
      <c r="QK59" s="12"/>
      <c r="QL59" s="12"/>
      <c r="QM59" s="12"/>
      <c r="QN59" s="12"/>
      <c r="QO59" s="12"/>
      <c r="QP59" s="12"/>
      <c r="QQ59" s="12"/>
      <c r="QR59" s="12"/>
      <c r="QS59" s="12"/>
      <c r="QT59" s="12"/>
      <c r="QU59" s="12"/>
      <c r="QV59" s="12"/>
      <c r="QW59" s="12"/>
      <c r="QX59" s="12"/>
      <c r="QY59" s="12"/>
      <c r="QZ59" s="12"/>
      <c r="RA59" s="12"/>
      <c r="RB59" s="12"/>
      <c r="RC59" s="12"/>
      <c r="RD59" s="12"/>
      <c r="RE59" s="12"/>
      <c r="RF59" s="12"/>
      <c r="RG59" s="12"/>
      <c r="RH59" s="12"/>
      <c r="RI59" s="12"/>
      <c r="RJ59" s="12"/>
      <c r="RK59" s="12"/>
      <c r="RL59" s="12"/>
      <c r="RM59" s="12"/>
      <c r="RN59" s="12"/>
      <c r="RO59" s="12"/>
      <c r="RP59" s="12"/>
      <c r="RQ59" s="12"/>
      <c r="RR59" s="12"/>
      <c r="RS59" s="12"/>
      <c r="RT59" s="12"/>
      <c r="RU59" s="12"/>
      <c r="RV59" s="12"/>
      <c r="RW59" s="12"/>
      <c r="RX59" s="12"/>
      <c r="RY59" s="12"/>
      <c r="RZ59" s="12"/>
      <c r="SA59" s="12"/>
      <c r="SB59" s="12"/>
      <c r="SC59" s="12"/>
      <c r="SD59" s="12"/>
      <c r="SE59" s="12"/>
      <c r="SF59" s="12"/>
      <c r="SG59" s="12"/>
      <c r="SH59" s="12"/>
      <c r="SI59" s="12"/>
      <c r="SJ59" s="12"/>
      <c r="SK59" s="12"/>
      <c r="SL59" s="12"/>
      <c r="SM59" s="12"/>
      <c r="SN59" s="12"/>
      <c r="SO59" s="12"/>
      <c r="SP59" s="12"/>
      <c r="SQ59" s="12"/>
      <c r="SR59" s="12"/>
      <c r="SS59" s="12"/>
      <c r="ST59" s="12"/>
      <c r="SU59" s="12"/>
      <c r="SV59" s="12"/>
      <c r="SW59" s="12"/>
      <c r="SX59" s="12"/>
      <c r="SY59" s="12"/>
      <c r="SZ59" s="12"/>
      <c r="TA59" s="12"/>
      <c r="TB59" s="12"/>
      <c r="TC59" s="12"/>
      <c r="TD59" s="12"/>
      <c r="TE59" s="12"/>
      <c r="TF59" s="12"/>
      <c r="TG59" s="12"/>
      <c r="TH59" s="12"/>
      <c r="TI59" s="12"/>
      <c r="TJ59" s="12"/>
      <c r="TK59" s="12"/>
      <c r="TL59" s="12"/>
      <c r="TM59" s="12"/>
      <c r="TN59" s="12"/>
      <c r="TO59" s="12"/>
      <c r="TP59" s="12"/>
      <c r="TQ59" s="12"/>
      <c r="TR59" s="12"/>
      <c r="TS59" s="12"/>
      <c r="TT59" s="12"/>
      <c r="TU59" s="12"/>
      <c r="TV59" s="12"/>
      <c r="TW59" s="12"/>
      <c r="TX59" s="12"/>
      <c r="TY59" s="12"/>
      <c r="TZ59" s="12"/>
      <c r="UA59" s="12"/>
      <c r="UB59" s="12"/>
      <c r="UC59" s="12"/>
      <c r="UD59" s="12"/>
      <c r="UE59" s="12"/>
      <c r="UF59" s="12"/>
      <c r="UG59" s="12"/>
      <c r="UH59" s="12"/>
      <c r="UI59" s="12"/>
      <c r="UJ59" s="12"/>
      <c r="UK59" s="12"/>
      <c r="UL59" s="12"/>
      <c r="UM59" s="12"/>
      <c r="UN59" s="12"/>
      <c r="UO59" s="12"/>
      <c r="UP59" s="12"/>
      <c r="UQ59" s="12"/>
      <c r="UR59" s="12"/>
      <c r="US59" s="12"/>
      <c r="UT59" s="12"/>
      <c r="UU59" s="12"/>
      <c r="UV59" s="12"/>
      <c r="UW59" s="12"/>
      <c r="UX59" s="12"/>
      <c r="UY59" s="12"/>
      <c r="UZ59" s="12"/>
      <c r="VA59" s="12"/>
      <c r="VB59" s="12"/>
      <c r="VC59" s="12"/>
      <c r="VD59" s="12"/>
      <c r="VE59" s="12"/>
      <c r="VF59" s="12"/>
      <c r="VG59" s="12"/>
      <c r="VH59" s="12"/>
      <c r="VI59" s="12"/>
      <c r="VJ59" s="12"/>
      <c r="VK59" s="12"/>
      <c r="VL59" s="12"/>
      <c r="VM59" s="12"/>
      <c r="VN59" s="12"/>
      <c r="VO59" s="12"/>
      <c r="VP59" s="12"/>
      <c r="VQ59" s="12"/>
      <c r="VR59" s="12"/>
      <c r="VS59" s="12"/>
      <c r="VT59" s="12"/>
      <c r="VU59" s="12"/>
      <c r="VV59" s="12"/>
      <c r="VW59" s="12"/>
      <c r="VX59" s="12"/>
      <c r="VY59" s="12"/>
      <c r="VZ59" s="12"/>
      <c r="WA59" s="12"/>
      <c r="WB59" s="12"/>
      <c r="WC59" s="12"/>
      <c r="WD59" s="12"/>
      <c r="WE59" s="12"/>
      <c r="WF59" s="12"/>
      <c r="WG59" s="12"/>
      <c r="WH59" s="12"/>
      <c r="WI59" s="12"/>
      <c r="WJ59" s="12"/>
      <c r="WK59" s="12"/>
      <c r="WL59" s="12"/>
      <c r="WM59" s="12"/>
      <c r="WN59" s="12"/>
      <c r="WO59" s="12"/>
      <c r="WP59" s="12"/>
      <c r="WQ59" s="12"/>
      <c r="WR59" s="12"/>
      <c r="WS59" s="12"/>
      <c r="WT59" s="12"/>
      <c r="WU59" s="12"/>
      <c r="WV59" s="12"/>
      <c r="WW59" s="12"/>
      <c r="WX59" s="12"/>
      <c r="WY59" s="12"/>
      <c r="WZ59" s="12"/>
      <c r="XA59" s="12"/>
      <c r="XB59" s="12"/>
      <c r="XC59" s="12"/>
      <c r="XD59" s="12"/>
      <c r="XE59" s="12"/>
      <c r="XF59" s="12"/>
      <c r="XG59" s="12"/>
      <c r="XH59" s="12"/>
      <c r="XI59" s="12"/>
      <c r="XJ59" s="12"/>
      <c r="XK59" s="12"/>
      <c r="XL59" s="12"/>
      <c r="XM59" s="12"/>
      <c r="XN59" s="12"/>
      <c r="XO59" s="12"/>
      <c r="XP59" s="12"/>
      <c r="XQ59" s="12"/>
      <c r="XR59" s="12"/>
      <c r="XS59" s="12"/>
      <c r="XT59" s="12"/>
      <c r="XU59" s="12"/>
      <c r="XV59" s="12"/>
      <c r="XW59" s="12"/>
      <c r="XX59" s="12"/>
      <c r="XY59" s="12"/>
      <c r="XZ59" s="12"/>
      <c r="YA59" s="12"/>
      <c r="YB59" s="12"/>
      <c r="YC59" s="12"/>
      <c r="YD59" s="12"/>
      <c r="YE59" s="12"/>
      <c r="YF59" s="12"/>
      <c r="YG59" s="12"/>
      <c r="YH59" s="12"/>
      <c r="YI59" s="12"/>
      <c r="YJ59" s="12"/>
      <c r="YK59" s="12"/>
      <c r="YL59" s="12"/>
      <c r="YM59" s="12"/>
      <c r="YN59" s="12"/>
      <c r="YO59" s="12"/>
      <c r="YP59" s="12"/>
      <c r="YQ59" s="12"/>
      <c r="YR59" s="12"/>
      <c r="YS59" s="12"/>
      <c r="YT59" s="12"/>
      <c r="YU59" s="12"/>
      <c r="YV59" s="12"/>
      <c r="YW59" s="12"/>
      <c r="YX59" s="12"/>
      <c r="YY59" s="12"/>
      <c r="YZ59" s="12"/>
      <c r="ZA59" s="12"/>
      <c r="ZB59" s="12"/>
      <c r="ZC59" s="12"/>
      <c r="ZD59" s="12"/>
      <c r="ZE59" s="12"/>
      <c r="ZF59" s="12"/>
      <c r="ZG59" s="12"/>
      <c r="ZH59" s="12"/>
      <c r="ZI59" s="12"/>
      <c r="ZJ59" s="12"/>
      <c r="ZK59" s="12"/>
      <c r="ZL59" s="12"/>
      <c r="ZM59" s="12"/>
      <c r="ZN59" s="12"/>
      <c r="ZO59" s="12"/>
      <c r="ZP59" s="12"/>
      <c r="ZQ59" s="12"/>
      <c r="ZR59" s="12"/>
      <c r="ZS59" s="12"/>
      <c r="ZT59" s="12"/>
      <c r="ZU59" s="12"/>
      <c r="ZV59" s="12"/>
      <c r="ZW59" s="12"/>
      <c r="ZX59" s="12"/>
      <c r="ZY59" s="12"/>
      <c r="ZZ59" s="12"/>
      <c r="AAA59" s="12"/>
      <c r="AAB59" s="12"/>
      <c r="AAC59" s="12"/>
      <c r="AAD59" s="12"/>
      <c r="AAE59" s="12"/>
      <c r="AAF59" s="12"/>
      <c r="AAG59" s="12"/>
      <c r="AAH59" s="12"/>
      <c r="AAI59" s="12"/>
      <c r="AAJ59" s="12"/>
      <c r="AAK59" s="12"/>
      <c r="AAL59" s="12"/>
      <c r="AAM59" s="12"/>
      <c r="AAN59" s="12"/>
      <c r="AAO59" s="12"/>
      <c r="AAP59" s="12"/>
      <c r="AAQ59" s="12"/>
      <c r="AAR59" s="12"/>
      <c r="AAS59" s="12"/>
      <c r="AAT59" s="12"/>
      <c r="AAU59" s="12"/>
      <c r="AAV59" s="12"/>
      <c r="AAW59" s="12"/>
      <c r="AAX59" s="12"/>
      <c r="AAY59" s="12"/>
      <c r="AAZ59" s="12"/>
      <c r="ABA59" s="12"/>
      <c r="ABB59" s="12"/>
      <c r="ABC59" s="12"/>
      <c r="ABD59" s="12"/>
      <c r="ABE59" s="12"/>
      <c r="ABF59" s="12"/>
      <c r="ABG59" s="12"/>
      <c r="ABH59" s="12"/>
      <c r="ABI59" s="12"/>
      <c r="ABJ59" s="12"/>
      <c r="ABK59" s="12"/>
      <c r="ABL59" s="12"/>
      <c r="ABM59" s="12"/>
      <c r="ABN59" s="12"/>
      <c r="ABO59" s="12"/>
      <c r="ABP59" s="12"/>
      <c r="ABQ59" s="12"/>
      <c r="ABR59" s="12"/>
      <c r="ABS59" s="12"/>
      <c r="ABT59" s="12"/>
      <c r="ABU59" s="12"/>
      <c r="ABV59" s="12"/>
      <c r="ABW59" s="12"/>
      <c r="ABX59" s="12"/>
      <c r="ABY59" s="12"/>
      <c r="ABZ59" s="12"/>
      <c r="ACA59" s="12"/>
      <c r="ACB59" s="12"/>
      <c r="ACC59" s="12"/>
      <c r="ACD59" s="12"/>
      <c r="ACE59" s="12"/>
      <c r="ACF59" s="12"/>
      <c r="ACG59" s="12"/>
      <c r="ACH59" s="12"/>
      <c r="ACI59" s="12"/>
      <c r="ACJ59" s="12"/>
      <c r="ACK59" s="12"/>
      <c r="ACL59" s="12"/>
      <c r="ACM59" s="12"/>
      <c r="ACN59" s="12"/>
      <c r="ACO59" s="12"/>
      <c r="ACP59" s="12"/>
      <c r="ACQ59" s="12"/>
      <c r="ACR59" s="12"/>
      <c r="ACS59" s="12"/>
      <c r="ACT59" s="12"/>
      <c r="ACU59" s="12"/>
      <c r="ACV59" s="12"/>
      <c r="ACW59" s="12"/>
      <c r="ACX59" s="12"/>
      <c r="ACY59" s="12"/>
      <c r="ACZ59" s="12"/>
      <c r="ADA59" s="12"/>
      <c r="ADB59" s="12"/>
      <c r="ADC59" s="12"/>
      <c r="ADD59" s="12"/>
      <c r="ADE59" s="12"/>
      <c r="ADF59" s="12"/>
      <c r="ADG59" s="12"/>
      <c r="ADH59" s="12"/>
      <c r="ADI59" s="12"/>
      <c r="ADJ59" s="12"/>
      <c r="ADK59" s="12"/>
      <c r="ADL59" s="12"/>
      <c r="ADM59" s="12"/>
      <c r="ADN59" s="12"/>
      <c r="ADO59" s="12"/>
      <c r="ADP59" s="12"/>
      <c r="ADQ59" s="12"/>
      <c r="ADR59" s="12"/>
      <c r="ADS59" s="12"/>
      <c r="ADT59" s="12"/>
      <c r="ADU59" s="12"/>
      <c r="ADV59" s="12"/>
      <c r="ADW59" s="12"/>
      <c r="ADX59" s="12"/>
      <c r="ADY59" s="12"/>
      <c r="ADZ59" s="12"/>
      <c r="AEA59" s="12"/>
      <c r="AEB59" s="12"/>
      <c r="AEC59" s="12"/>
      <c r="AED59" s="12"/>
      <c r="AEE59" s="12"/>
      <c r="AEF59" s="12"/>
      <c r="AEG59" s="12"/>
      <c r="AEH59" s="12"/>
      <c r="AEI59" s="12"/>
      <c r="AEJ59" s="12"/>
      <c r="AEK59" s="12"/>
      <c r="AEL59" s="12"/>
      <c r="AEM59" s="12"/>
      <c r="AEN59" s="12"/>
      <c r="AEO59" s="12"/>
      <c r="AEP59" s="12"/>
      <c r="AEQ59" s="12"/>
      <c r="AER59" s="12"/>
      <c r="AES59" s="12"/>
      <c r="AET59" s="12"/>
      <c r="AEU59" s="12"/>
      <c r="AEV59" s="12"/>
    </row>
    <row r="60" spans="1:828" s="27" customFormat="1" ht="19" x14ac:dyDescent="0.2">
      <c r="A60" s="62" t="s">
        <v>49</v>
      </c>
      <c r="B60" s="54">
        <f>SUM(D60:D62)/D74</f>
        <v>0.32317214413446127</v>
      </c>
      <c r="C60" s="31" t="s">
        <v>50</v>
      </c>
      <c r="D60" s="29">
        <v>447</v>
      </c>
      <c r="E60" s="37">
        <f>SUM(G60:G61)/D74</f>
        <v>3.0288991633233574E-2</v>
      </c>
      <c r="F60" s="23" t="s">
        <v>68</v>
      </c>
      <c r="G60" s="29">
        <v>2198</v>
      </c>
      <c r="H60" s="50">
        <f>SUM(J60:J64)/J74</f>
        <v>0.29784038629709897</v>
      </c>
      <c r="I60" s="23" t="s">
        <v>51</v>
      </c>
      <c r="J60" s="29">
        <v>537</v>
      </c>
      <c r="K60" s="50">
        <f>SUM(M60:M61)/J74</f>
        <v>2.6919128550245239E-2</v>
      </c>
      <c r="L60" s="23" t="s">
        <v>52</v>
      </c>
      <c r="M60" s="29">
        <v>1825</v>
      </c>
      <c r="N60" s="47"/>
      <c r="O60" s="12"/>
      <c r="P60" s="48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2"/>
      <c r="FJ60" s="12"/>
      <c r="FK60" s="12"/>
      <c r="FL60" s="12"/>
      <c r="FM60" s="12"/>
      <c r="FN60" s="12"/>
      <c r="FO60" s="12"/>
      <c r="FP60" s="12"/>
      <c r="FQ60" s="12"/>
      <c r="FR60" s="12"/>
      <c r="FS60" s="12"/>
      <c r="FT60" s="12"/>
      <c r="FU60" s="12"/>
      <c r="FV60" s="12"/>
      <c r="FW60" s="12"/>
      <c r="FX60" s="12"/>
      <c r="FY60" s="12"/>
      <c r="FZ60" s="12"/>
      <c r="GA60" s="12"/>
      <c r="GB60" s="12"/>
      <c r="GC60" s="12"/>
      <c r="GD60" s="12"/>
      <c r="GE60" s="12"/>
      <c r="GF60" s="12"/>
      <c r="GG60" s="12"/>
      <c r="GH60" s="12"/>
      <c r="GI60" s="12"/>
      <c r="GJ60" s="12"/>
      <c r="GK60" s="12"/>
      <c r="GL60" s="12"/>
      <c r="GM60" s="12"/>
      <c r="GN60" s="12"/>
      <c r="GO60" s="12"/>
      <c r="GP60" s="12"/>
      <c r="GQ60" s="12"/>
      <c r="GR60" s="12"/>
      <c r="GS60" s="12"/>
      <c r="GT60" s="12"/>
      <c r="GU60" s="12"/>
      <c r="GV60" s="12"/>
      <c r="GW60" s="12"/>
      <c r="GX60" s="12"/>
      <c r="GY60" s="12"/>
      <c r="GZ60" s="12"/>
      <c r="HA60" s="12"/>
      <c r="HB60" s="12"/>
      <c r="HC60" s="12"/>
      <c r="HD60" s="12"/>
      <c r="HE60" s="12"/>
      <c r="HF60" s="12"/>
      <c r="HG60" s="12"/>
      <c r="HH60" s="12"/>
      <c r="HI60" s="12"/>
      <c r="HJ60" s="12"/>
      <c r="HK60" s="12"/>
      <c r="HL60" s="12"/>
      <c r="HM60" s="12"/>
      <c r="HN60" s="12"/>
      <c r="HO60" s="12"/>
      <c r="HP60" s="12"/>
      <c r="HQ60" s="12"/>
      <c r="HR60" s="12"/>
      <c r="HS60" s="12"/>
      <c r="HT60" s="12"/>
      <c r="HU60" s="12"/>
      <c r="HV60" s="12"/>
      <c r="HW60" s="12"/>
      <c r="HX60" s="12"/>
      <c r="HY60" s="12"/>
      <c r="HZ60" s="12"/>
      <c r="IA60" s="12"/>
      <c r="IB60" s="12"/>
      <c r="IC60" s="12"/>
      <c r="ID60" s="12"/>
      <c r="IE60" s="12"/>
      <c r="IF60" s="12"/>
      <c r="IG60" s="12"/>
      <c r="IH60" s="12"/>
      <c r="II60" s="12"/>
      <c r="IJ60" s="12"/>
      <c r="IK60" s="12"/>
      <c r="IL60" s="12"/>
      <c r="IM60" s="12"/>
      <c r="IN60" s="12"/>
      <c r="IO60" s="12"/>
      <c r="IP60" s="12"/>
      <c r="IQ60" s="12"/>
      <c r="IR60" s="12"/>
      <c r="IS60" s="12"/>
      <c r="IT60" s="12"/>
      <c r="IU60" s="12"/>
      <c r="IV60" s="12"/>
      <c r="IW60" s="12"/>
      <c r="IX60" s="12"/>
      <c r="IY60" s="12"/>
      <c r="IZ60" s="12"/>
      <c r="JA60" s="12"/>
      <c r="JB60" s="12"/>
      <c r="JC60" s="12"/>
      <c r="JD60" s="12"/>
      <c r="JE60" s="12"/>
      <c r="JF60" s="12"/>
      <c r="JG60" s="12"/>
      <c r="JH60" s="12"/>
      <c r="JI60" s="12"/>
      <c r="JJ60" s="12"/>
      <c r="JK60" s="12"/>
      <c r="JL60" s="12"/>
      <c r="JM60" s="12"/>
      <c r="JN60" s="12"/>
      <c r="JO60" s="12"/>
      <c r="JP60" s="12"/>
      <c r="JQ60" s="12"/>
      <c r="JR60" s="12"/>
      <c r="JS60" s="12"/>
      <c r="JT60" s="12"/>
      <c r="JU60" s="12"/>
      <c r="JV60" s="12"/>
      <c r="JW60" s="12"/>
      <c r="JX60" s="12"/>
      <c r="JY60" s="12"/>
      <c r="JZ60" s="12"/>
      <c r="KA60" s="12"/>
      <c r="KB60" s="12"/>
      <c r="KC60" s="12"/>
      <c r="KD60" s="12"/>
      <c r="KE60" s="12"/>
      <c r="KF60" s="12"/>
      <c r="KG60" s="12"/>
      <c r="KH60" s="12"/>
      <c r="KI60" s="12"/>
      <c r="KJ60" s="12"/>
      <c r="KK60" s="12"/>
      <c r="KL60" s="12"/>
      <c r="KM60" s="12"/>
      <c r="KN60" s="12"/>
      <c r="KO60" s="12"/>
      <c r="KP60" s="12"/>
      <c r="KQ60" s="12"/>
      <c r="KR60" s="12"/>
      <c r="KS60" s="12"/>
      <c r="KT60" s="12"/>
      <c r="KU60" s="12"/>
      <c r="KV60" s="12"/>
      <c r="KW60" s="12"/>
      <c r="KX60" s="12"/>
      <c r="KY60" s="12"/>
      <c r="KZ60" s="12"/>
      <c r="LA60" s="12"/>
      <c r="LB60" s="12"/>
      <c r="LC60" s="12"/>
      <c r="LD60" s="12"/>
      <c r="LE60" s="12"/>
      <c r="LF60" s="12"/>
      <c r="LG60" s="12"/>
      <c r="LH60" s="12"/>
      <c r="LI60" s="12"/>
      <c r="LJ60" s="12"/>
      <c r="LK60" s="12"/>
      <c r="LL60" s="12"/>
      <c r="LM60" s="12"/>
      <c r="LN60" s="12"/>
      <c r="LO60" s="12"/>
      <c r="LP60" s="12"/>
      <c r="LQ60" s="12"/>
      <c r="LR60" s="12"/>
      <c r="LS60" s="12"/>
      <c r="LT60" s="12"/>
      <c r="LU60" s="12"/>
      <c r="LV60" s="12"/>
      <c r="LW60" s="12"/>
      <c r="LX60" s="12"/>
      <c r="LY60" s="12"/>
      <c r="LZ60" s="12"/>
      <c r="MA60" s="12"/>
      <c r="MB60" s="12"/>
      <c r="MC60" s="12"/>
      <c r="MD60" s="12"/>
      <c r="ME60" s="12"/>
      <c r="MF60" s="12"/>
      <c r="MG60" s="12"/>
      <c r="MH60" s="12"/>
      <c r="MI60" s="12"/>
      <c r="MJ60" s="12"/>
      <c r="MK60" s="12"/>
      <c r="ML60" s="12"/>
      <c r="MM60" s="12"/>
      <c r="MN60" s="12"/>
      <c r="MO60" s="12"/>
      <c r="MP60" s="12"/>
      <c r="MQ60" s="12"/>
      <c r="MR60" s="12"/>
      <c r="MS60" s="12"/>
      <c r="MT60" s="12"/>
      <c r="MU60" s="12"/>
      <c r="MV60" s="12"/>
      <c r="MW60" s="12"/>
      <c r="MX60" s="12"/>
      <c r="MY60" s="12"/>
      <c r="MZ60" s="12"/>
      <c r="NA60" s="12"/>
      <c r="NB60" s="12"/>
      <c r="NC60" s="12"/>
      <c r="ND60" s="12"/>
      <c r="NE60" s="12"/>
      <c r="NF60" s="12"/>
      <c r="NG60" s="12"/>
      <c r="NH60" s="12"/>
      <c r="NI60" s="12"/>
      <c r="NJ60" s="12"/>
      <c r="NK60" s="12"/>
      <c r="NL60" s="12"/>
      <c r="NM60" s="12"/>
      <c r="NN60" s="12"/>
      <c r="NO60" s="12"/>
      <c r="NP60" s="12"/>
      <c r="NQ60" s="12"/>
      <c r="NR60" s="12"/>
      <c r="NS60" s="12"/>
      <c r="NT60" s="12"/>
      <c r="NU60" s="12"/>
      <c r="NV60" s="12"/>
      <c r="NW60" s="12"/>
      <c r="NX60" s="12"/>
      <c r="NY60" s="12"/>
      <c r="NZ60" s="12"/>
      <c r="OA60" s="12"/>
      <c r="OB60" s="12"/>
      <c r="OC60" s="12"/>
      <c r="OD60" s="12"/>
      <c r="OE60" s="12"/>
      <c r="OF60" s="12"/>
      <c r="OG60" s="12"/>
      <c r="OH60" s="12"/>
      <c r="OI60" s="12"/>
      <c r="OJ60" s="12"/>
      <c r="OK60" s="12"/>
      <c r="OL60" s="12"/>
      <c r="OM60" s="12"/>
      <c r="ON60" s="12"/>
      <c r="OO60" s="12"/>
      <c r="OP60" s="12"/>
      <c r="OQ60" s="12"/>
      <c r="OR60" s="12"/>
      <c r="OS60" s="12"/>
      <c r="OT60" s="12"/>
      <c r="OU60" s="12"/>
      <c r="OV60" s="12"/>
      <c r="OW60" s="12"/>
      <c r="OX60" s="12"/>
      <c r="OY60" s="12"/>
      <c r="OZ60" s="12"/>
      <c r="PA60" s="12"/>
      <c r="PB60" s="12"/>
      <c r="PC60" s="12"/>
      <c r="PD60" s="12"/>
      <c r="PE60" s="12"/>
      <c r="PF60" s="12"/>
      <c r="PG60" s="12"/>
      <c r="PH60" s="12"/>
      <c r="PI60" s="12"/>
      <c r="PJ60" s="12"/>
      <c r="PK60" s="12"/>
      <c r="PL60" s="12"/>
      <c r="PM60" s="12"/>
      <c r="PN60" s="12"/>
      <c r="PO60" s="12"/>
      <c r="PP60" s="12"/>
      <c r="PQ60" s="12"/>
      <c r="PR60" s="12"/>
      <c r="PS60" s="12"/>
      <c r="PT60" s="12"/>
      <c r="PU60" s="12"/>
      <c r="PV60" s="12"/>
      <c r="PW60" s="12"/>
      <c r="PX60" s="12"/>
      <c r="PY60" s="12"/>
      <c r="PZ60" s="12"/>
      <c r="QA60" s="12"/>
      <c r="QB60" s="12"/>
      <c r="QC60" s="12"/>
      <c r="QD60" s="12"/>
      <c r="QE60" s="12"/>
      <c r="QF60" s="12"/>
      <c r="QG60" s="12"/>
      <c r="QH60" s="12"/>
      <c r="QI60" s="12"/>
      <c r="QJ60" s="12"/>
      <c r="QK60" s="12"/>
      <c r="QL60" s="12"/>
      <c r="QM60" s="12"/>
      <c r="QN60" s="12"/>
      <c r="QO60" s="12"/>
      <c r="QP60" s="12"/>
      <c r="QQ60" s="12"/>
      <c r="QR60" s="12"/>
      <c r="QS60" s="12"/>
      <c r="QT60" s="12"/>
      <c r="QU60" s="12"/>
      <c r="QV60" s="12"/>
      <c r="QW60" s="12"/>
      <c r="QX60" s="12"/>
      <c r="QY60" s="12"/>
      <c r="QZ60" s="12"/>
      <c r="RA60" s="12"/>
      <c r="RB60" s="12"/>
      <c r="RC60" s="12"/>
      <c r="RD60" s="12"/>
      <c r="RE60" s="12"/>
      <c r="RF60" s="12"/>
      <c r="RG60" s="12"/>
      <c r="RH60" s="12"/>
      <c r="RI60" s="12"/>
      <c r="RJ60" s="12"/>
      <c r="RK60" s="12"/>
      <c r="RL60" s="12"/>
      <c r="RM60" s="12"/>
      <c r="RN60" s="12"/>
      <c r="RO60" s="12"/>
      <c r="RP60" s="12"/>
      <c r="RQ60" s="12"/>
      <c r="RR60" s="12"/>
      <c r="RS60" s="12"/>
      <c r="RT60" s="12"/>
      <c r="RU60" s="12"/>
      <c r="RV60" s="12"/>
      <c r="RW60" s="12"/>
      <c r="RX60" s="12"/>
      <c r="RY60" s="12"/>
      <c r="RZ60" s="12"/>
      <c r="SA60" s="12"/>
      <c r="SB60" s="12"/>
      <c r="SC60" s="12"/>
      <c r="SD60" s="12"/>
      <c r="SE60" s="12"/>
      <c r="SF60" s="12"/>
      <c r="SG60" s="12"/>
      <c r="SH60" s="12"/>
      <c r="SI60" s="12"/>
      <c r="SJ60" s="12"/>
      <c r="SK60" s="12"/>
      <c r="SL60" s="12"/>
      <c r="SM60" s="12"/>
      <c r="SN60" s="12"/>
      <c r="SO60" s="12"/>
      <c r="SP60" s="12"/>
      <c r="SQ60" s="12"/>
      <c r="SR60" s="12"/>
      <c r="SS60" s="12"/>
      <c r="ST60" s="12"/>
      <c r="SU60" s="12"/>
      <c r="SV60" s="12"/>
      <c r="SW60" s="12"/>
      <c r="SX60" s="12"/>
      <c r="SY60" s="12"/>
      <c r="SZ60" s="12"/>
      <c r="TA60" s="12"/>
      <c r="TB60" s="12"/>
      <c r="TC60" s="12"/>
      <c r="TD60" s="12"/>
      <c r="TE60" s="12"/>
      <c r="TF60" s="12"/>
      <c r="TG60" s="12"/>
      <c r="TH60" s="12"/>
      <c r="TI60" s="12"/>
      <c r="TJ60" s="12"/>
      <c r="TK60" s="12"/>
      <c r="TL60" s="12"/>
      <c r="TM60" s="12"/>
      <c r="TN60" s="12"/>
      <c r="TO60" s="12"/>
      <c r="TP60" s="12"/>
      <c r="TQ60" s="12"/>
      <c r="TR60" s="12"/>
      <c r="TS60" s="12"/>
      <c r="TT60" s="12"/>
      <c r="TU60" s="12"/>
      <c r="TV60" s="12"/>
      <c r="TW60" s="12"/>
      <c r="TX60" s="12"/>
      <c r="TY60" s="12"/>
      <c r="TZ60" s="12"/>
      <c r="UA60" s="12"/>
      <c r="UB60" s="12"/>
      <c r="UC60" s="12"/>
      <c r="UD60" s="12"/>
      <c r="UE60" s="12"/>
      <c r="UF60" s="12"/>
      <c r="UG60" s="12"/>
      <c r="UH60" s="12"/>
      <c r="UI60" s="12"/>
      <c r="UJ60" s="12"/>
      <c r="UK60" s="12"/>
      <c r="UL60" s="12"/>
      <c r="UM60" s="12"/>
      <c r="UN60" s="12"/>
      <c r="UO60" s="12"/>
      <c r="UP60" s="12"/>
      <c r="UQ60" s="12"/>
      <c r="UR60" s="12"/>
      <c r="US60" s="12"/>
      <c r="UT60" s="12"/>
      <c r="UU60" s="12"/>
      <c r="UV60" s="12"/>
      <c r="UW60" s="12"/>
      <c r="UX60" s="12"/>
      <c r="UY60" s="12"/>
      <c r="UZ60" s="12"/>
      <c r="VA60" s="12"/>
      <c r="VB60" s="12"/>
      <c r="VC60" s="12"/>
      <c r="VD60" s="12"/>
      <c r="VE60" s="12"/>
      <c r="VF60" s="12"/>
      <c r="VG60" s="12"/>
      <c r="VH60" s="12"/>
      <c r="VI60" s="12"/>
      <c r="VJ60" s="12"/>
      <c r="VK60" s="12"/>
      <c r="VL60" s="12"/>
      <c r="VM60" s="12"/>
      <c r="VN60" s="12"/>
      <c r="VO60" s="12"/>
      <c r="VP60" s="12"/>
      <c r="VQ60" s="12"/>
      <c r="VR60" s="12"/>
      <c r="VS60" s="12"/>
      <c r="VT60" s="12"/>
      <c r="VU60" s="12"/>
      <c r="VV60" s="12"/>
      <c r="VW60" s="12"/>
      <c r="VX60" s="12"/>
      <c r="VY60" s="12"/>
      <c r="VZ60" s="12"/>
      <c r="WA60" s="12"/>
      <c r="WB60" s="12"/>
      <c r="WC60" s="12"/>
      <c r="WD60" s="12"/>
      <c r="WE60" s="12"/>
      <c r="WF60" s="12"/>
      <c r="WG60" s="12"/>
      <c r="WH60" s="12"/>
      <c r="WI60" s="12"/>
      <c r="WJ60" s="12"/>
      <c r="WK60" s="12"/>
      <c r="WL60" s="12"/>
      <c r="WM60" s="12"/>
      <c r="WN60" s="12"/>
      <c r="WO60" s="12"/>
      <c r="WP60" s="12"/>
      <c r="WQ60" s="12"/>
      <c r="WR60" s="12"/>
      <c r="WS60" s="12"/>
      <c r="WT60" s="12"/>
      <c r="WU60" s="12"/>
      <c r="WV60" s="12"/>
      <c r="WW60" s="12"/>
      <c r="WX60" s="12"/>
      <c r="WY60" s="12"/>
      <c r="WZ60" s="12"/>
      <c r="XA60" s="12"/>
      <c r="XB60" s="12"/>
      <c r="XC60" s="12"/>
      <c r="XD60" s="12"/>
      <c r="XE60" s="12"/>
      <c r="XF60" s="12"/>
      <c r="XG60" s="12"/>
      <c r="XH60" s="12"/>
      <c r="XI60" s="12"/>
      <c r="XJ60" s="12"/>
      <c r="XK60" s="12"/>
      <c r="XL60" s="12"/>
      <c r="XM60" s="12"/>
      <c r="XN60" s="12"/>
      <c r="XO60" s="12"/>
      <c r="XP60" s="12"/>
      <c r="XQ60" s="12"/>
      <c r="XR60" s="12"/>
      <c r="XS60" s="12"/>
      <c r="XT60" s="12"/>
      <c r="XU60" s="12"/>
      <c r="XV60" s="12"/>
      <c r="XW60" s="12"/>
      <c r="XX60" s="12"/>
      <c r="XY60" s="12"/>
      <c r="XZ60" s="12"/>
      <c r="YA60" s="12"/>
      <c r="YB60" s="12"/>
      <c r="YC60" s="12"/>
      <c r="YD60" s="12"/>
      <c r="YE60" s="12"/>
      <c r="YF60" s="12"/>
      <c r="YG60" s="12"/>
      <c r="YH60" s="12"/>
      <c r="YI60" s="12"/>
      <c r="YJ60" s="12"/>
      <c r="YK60" s="12"/>
      <c r="YL60" s="12"/>
      <c r="YM60" s="12"/>
      <c r="YN60" s="12"/>
      <c r="YO60" s="12"/>
      <c r="YP60" s="12"/>
      <c r="YQ60" s="12"/>
      <c r="YR60" s="12"/>
      <c r="YS60" s="12"/>
      <c r="YT60" s="12"/>
      <c r="YU60" s="12"/>
      <c r="YV60" s="12"/>
      <c r="YW60" s="12"/>
      <c r="YX60" s="12"/>
      <c r="YY60" s="12"/>
      <c r="YZ60" s="12"/>
      <c r="ZA60" s="12"/>
      <c r="ZB60" s="12"/>
      <c r="ZC60" s="12"/>
      <c r="ZD60" s="12"/>
      <c r="ZE60" s="12"/>
      <c r="ZF60" s="12"/>
      <c r="ZG60" s="12"/>
      <c r="ZH60" s="12"/>
      <c r="ZI60" s="12"/>
      <c r="ZJ60" s="12"/>
      <c r="ZK60" s="12"/>
      <c r="ZL60" s="12"/>
      <c r="ZM60" s="12"/>
      <c r="ZN60" s="12"/>
      <c r="ZO60" s="12"/>
      <c r="ZP60" s="12"/>
      <c r="ZQ60" s="12"/>
      <c r="ZR60" s="12"/>
      <c r="ZS60" s="12"/>
      <c r="ZT60" s="12"/>
      <c r="ZU60" s="12"/>
      <c r="ZV60" s="12"/>
      <c r="ZW60" s="12"/>
      <c r="ZX60" s="12"/>
      <c r="ZY60" s="12"/>
      <c r="ZZ60" s="12"/>
      <c r="AAA60" s="12"/>
      <c r="AAB60" s="12"/>
      <c r="AAC60" s="12"/>
      <c r="AAD60" s="12"/>
      <c r="AAE60" s="12"/>
      <c r="AAF60" s="12"/>
      <c r="AAG60" s="12"/>
      <c r="AAH60" s="12"/>
      <c r="AAI60" s="12"/>
      <c r="AAJ60" s="12"/>
      <c r="AAK60" s="12"/>
      <c r="AAL60" s="12"/>
      <c r="AAM60" s="12"/>
      <c r="AAN60" s="12"/>
      <c r="AAO60" s="12"/>
      <c r="AAP60" s="12"/>
      <c r="AAQ60" s="12"/>
      <c r="AAR60" s="12"/>
      <c r="AAS60" s="12"/>
      <c r="AAT60" s="12"/>
      <c r="AAU60" s="12"/>
      <c r="AAV60" s="12"/>
      <c r="AAW60" s="12"/>
      <c r="AAX60" s="12"/>
      <c r="AAY60" s="12"/>
      <c r="AAZ60" s="12"/>
      <c r="ABA60" s="12"/>
      <c r="ABB60" s="12"/>
      <c r="ABC60" s="12"/>
      <c r="ABD60" s="12"/>
      <c r="ABE60" s="12"/>
      <c r="ABF60" s="12"/>
      <c r="ABG60" s="12"/>
      <c r="ABH60" s="12"/>
      <c r="ABI60" s="12"/>
      <c r="ABJ60" s="12"/>
      <c r="ABK60" s="12"/>
      <c r="ABL60" s="12"/>
      <c r="ABM60" s="12"/>
      <c r="ABN60" s="12"/>
      <c r="ABO60" s="12"/>
      <c r="ABP60" s="12"/>
      <c r="ABQ60" s="12"/>
      <c r="ABR60" s="12"/>
      <c r="ABS60" s="12"/>
      <c r="ABT60" s="12"/>
      <c r="ABU60" s="12"/>
      <c r="ABV60" s="12"/>
      <c r="ABW60" s="12"/>
      <c r="ABX60" s="12"/>
      <c r="ABY60" s="12"/>
      <c r="ABZ60" s="12"/>
      <c r="ACA60" s="12"/>
      <c r="ACB60" s="12"/>
      <c r="ACC60" s="12"/>
      <c r="ACD60" s="12"/>
      <c r="ACE60" s="12"/>
      <c r="ACF60" s="12"/>
      <c r="ACG60" s="12"/>
      <c r="ACH60" s="12"/>
      <c r="ACI60" s="12"/>
      <c r="ACJ60" s="12"/>
      <c r="ACK60" s="12"/>
      <c r="ACL60" s="12"/>
      <c r="ACM60" s="12"/>
      <c r="ACN60" s="12"/>
      <c r="ACO60" s="12"/>
      <c r="ACP60" s="12"/>
      <c r="ACQ60" s="12"/>
      <c r="ACR60" s="12"/>
      <c r="ACS60" s="12"/>
      <c r="ACT60" s="12"/>
      <c r="ACU60" s="12"/>
      <c r="ACV60" s="12"/>
      <c r="ACW60" s="12"/>
      <c r="ACX60" s="12"/>
      <c r="ACY60" s="12"/>
      <c r="ACZ60" s="12"/>
      <c r="ADA60" s="12"/>
      <c r="ADB60" s="12"/>
      <c r="ADC60" s="12"/>
      <c r="ADD60" s="12"/>
      <c r="ADE60" s="12"/>
      <c r="ADF60" s="12"/>
      <c r="ADG60" s="12"/>
      <c r="ADH60" s="12"/>
      <c r="ADI60" s="12"/>
      <c r="ADJ60" s="12"/>
      <c r="ADK60" s="12"/>
      <c r="ADL60" s="12"/>
      <c r="ADM60" s="12"/>
      <c r="ADN60" s="12"/>
      <c r="ADO60" s="12"/>
      <c r="ADP60" s="12"/>
      <c r="ADQ60" s="12"/>
      <c r="ADR60" s="12"/>
      <c r="ADS60" s="12"/>
      <c r="ADT60" s="12"/>
      <c r="ADU60" s="12"/>
      <c r="ADV60" s="12"/>
      <c r="ADW60" s="12"/>
      <c r="ADX60" s="12"/>
      <c r="ADY60" s="12"/>
      <c r="ADZ60" s="12"/>
      <c r="AEA60" s="12"/>
      <c r="AEB60" s="12"/>
      <c r="AEC60" s="12"/>
      <c r="AED60" s="12"/>
      <c r="AEE60" s="12"/>
      <c r="AEF60" s="12"/>
      <c r="AEG60" s="12"/>
      <c r="AEH60" s="12"/>
      <c r="AEI60" s="12"/>
      <c r="AEJ60" s="12"/>
      <c r="AEK60" s="12"/>
      <c r="AEL60" s="12"/>
      <c r="AEM60" s="12"/>
      <c r="AEN60" s="12"/>
      <c r="AEO60" s="12"/>
      <c r="AEP60" s="12"/>
      <c r="AEQ60" s="12"/>
      <c r="AER60" s="12"/>
      <c r="AES60" s="12"/>
      <c r="AET60" s="12"/>
      <c r="AEU60" s="12"/>
      <c r="AEV60" s="12"/>
    </row>
    <row r="61" spans="1:828" s="27" customFormat="1" ht="18" x14ac:dyDescent="0.2">
      <c r="A61" s="62"/>
      <c r="B61" s="54"/>
      <c r="C61" s="23" t="s">
        <v>53</v>
      </c>
      <c r="D61" s="29">
        <v>971</v>
      </c>
      <c r="E61" s="23"/>
      <c r="F61" s="23" t="s">
        <v>70</v>
      </c>
      <c r="G61" s="29">
        <v>1071</v>
      </c>
      <c r="H61" s="30"/>
      <c r="I61" s="23" t="s">
        <v>54</v>
      </c>
      <c r="J61" s="29">
        <v>1161</v>
      </c>
      <c r="K61" s="30"/>
      <c r="L61" s="23" t="s">
        <v>55</v>
      </c>
      <c r="M61" s="29">
        <v>1007</v>
      </c>
      <c r="N61" s="12"/>
      <c r="O61" s="12"/>
      <c r="P61" s="48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  <c r="IY61" s="12"/>
      <c r="IZ61" s="12"/>
      <c r="JA61" s="12"/>
      <c r="JB61" s="12"/>
      <c r="JC61" s="12"/>
      <c r="JD61" s="12"/>
      <c r="JE61" s="12"/>
      <c r="JF61" s="12"/>
      <c r="JG61" s="12"/>
      <c r="JH61" s="12"/>
      <c r="JI61" s="12"/>
      <c r="JJ61" s="12"/>
      <c r="JK61" s="12"/>
      <c r="JL61" s="12"/>
      <c r="JM61" s="12"/>
      <c r="JN61" s="12"/>
      <c r="JO61" s="12"/>
      <c r="JP61" s="12"/>
      <c r="JQ61" s="12"/>
      <c r="JR61" s="12"/>
      <c r="JS61" s="12"/>
      <c r="JT61" s="12"/>
      <c r="JU61" s="12"/>
      <c r="JV61" s="12"/>
      <c r="JW61" s="12"/>
      <c r="JX61" s="12"/>
      <c r="JY61" s="12"/>
      <c r="JZ61" s="12"/>
      <c r="KA61" s="12"/>
      <c r="KB61" s="12"/>
      <c r="KC61" s="12"/>
      <c r="KD61" s="12"/>
      <c r="KE61" s="12"/>
      <c r="KF61" s="12"/>
      <c r="KG61" s="12"/>
      <c r="KH61" s="12"/>
      <c r="KI61" s="12"/>
      <c r="KJ61" s="12"/>
      <c r="KK61" s="12"/>
      <c r="KL61" s="12"/>
      <c r="KM61" s="12"/>
      <c r="KN61" s="12"/>
      <c r="KO61" s="12"/>
      <c r="KP61" s="12"/>
      <c r="KQ61" s="12"/>
      <c r="KR61" s="12"/>
      <c r="KS61" s="12"/>
      <c r="KT61" s="12"/>
      <c r="KU61" s="12"/>
      <c r="KV61" s="12"/>
      <c r="KW61" s="12"/>
      <c r="KX61" s="12"/>
      <c r="KY61" s="12"/>
      <c r="KZ61" s="12"/>
      <c r="LA61" s="12"/>
      <c r="LB61" s="12"/>
      <c r="LC61" s="12"/>
      <c r="LD61" s="12"/>
      <c r="LE61" s="12"/>
      <c r="LF61" s="12"/>
      <c r="LG61" s="12"/>
      <c r="LH61" s="12"/>
      <c r="LI61" s="12"/>
      <c r="LJ61" s="12"/>
      <c r="LK61" s="12"/>
      <c r="LL61" s="12"/>
      <c r="LM61" s="12"/>
      <c r="LN61" s="12"/>
      <c r="LO61" s="12"/>
      <c r="LP61" s="12"/>
      <c r="LQ61" s="12"/>
      <c r="LR61" s="12"/>
      <c r="LS61" s="12"/>
      <c r="LT61" s="12"/>
      <c r="LU61" s="12"/>
      <c r="LV61" s="12"/>
      <c r="LW61" s="12"/>
      <c r="LX61" s="12"/>
      <c r="LY61" s="12"/>
      <c r="LZ61" s="12"/>
      <c r="MA61" s="12"/>
      <c r="MB61" s="12"/>
      <c r="MC61" s="12"/>
      <c r="MD61" s="12"/>
      <c r="ME61" s="12"/>
      <c r="MF61" s="12"/>
      <c r="MG61" s="12"/>
      <c r="MH61" s="12"/>
      <c r="MI61" s="12"/>
      <c r="MJ61" s="12"/>
      <c r="MK61" s="12"/>
      <c r="ML61" s="12"/>
      <c r="MM61" s="12"/>
      <c r="MN61" s="12"/>
      <c r="MO61" s="12"/>
      <c r="MP61" s="12"/>
      <c r="MQ61" s="12"/>
      <c r="MR61" s="12"/>
      <c r="MS61" s="12"/>
      <c r="MT61" s="12"/>
      <c r="MU61" s="12"/>
      <c r="MV61" s="12"/>
      <c r="MW61" s="12"/>
      <c r="MX61" s="12"/>
      <c r="MY61" s="12"/>
      <c r="MZ61" s="12"/>
      <c r="NA61" s="12"/>
      <c r="NB61" s="12"/>
      <c r="NC61" s="12"/>
      <c r="ND61" s="12"/>
      <c r="NE61" s="12"/>
      <c r="NF61" s="12"/>
      <c r="NG61" s="12"/>
      <c r="NH61" s="12"/>
      <c r="NI61" s="12"/>
      <c r="NJ61" s="12"/>
      <c r="NK61" s="12"/>
      <c r="NL61" s="12"/>
      <c r="NM61" s="12"/>
      <c r="NN61" s="12"/>
      <c r="NO61" s="12"/>
      <c r="NP61" s="12"/>
      <c r="NQ61" s="12"/>
      <c r="NR61" s="12"/>
      <c r="NS61" s="12"/>
      <c r="NT61" s="12"/>
      <c r="NU61" s="12"/>
      <c r="NV61" s="12"/>
      <c r="NW61" s="12"/>
      <c r="NX61" s="12"/>
      <c r="NY61" s="12"/>
      <c r="NZ61" s="12"/>
      <c r="OA61" s="12"/>
      <c r="OB61" s="12"/>
      <c r="OC61" s="12"/>
      <c r="OD61" s="12"/>
      <c r="OE61" s="12"/>
      <c r="OF61" s="12"/>
      <c r="OG61" s="12"/>
      <c r="OH61" s="12"/>
      <c r="OI61" s="12"/>
      <c r="OJ61" s="12"/>
      <c r="OK61" s="12"/>
      <c r="OL61" s="12"/>
      <c r="OM61" s="12"/>
      <c r="ON61" s="12"/>
      <c r="OO61" s="12"/>
      <c r="OP61" s="12"/>
      <c r="OQ61" s="12"/>
      <c r="OR61" s="12"/>
      <c r="OS61" s="12"/>
      <c r="OT61" s="12"/>
      <c r="OU61" s="12"/>
      <c r="OV61" s="12"/>
      <c r="OW61" s="12"/>
      <c r="OX61" s="12"/>
      <c r="OY61" s="12"/>
      <c r="OZ61" s="12"/>
      <c r="PA61" s="12"/>
      <c r="PB61" s="12"/>
      <c r="PC61" s="12"/>
      <c r="PD61" s="12"/>
      <c r="PE61" s="12"/>
      <c r="PF61" s="12"/>
      <c r="PG61" s="12"/>
      <c r="PH61" s="12"/>
      <c r="PI61" s="12"/>
      <c r="PJ61" s="12"/>
      <c r="PK61" s="12"/>
      <c r="PL61" s="12"/>
      <c r="PM61" s="12"/>
      <c r="PN61" s="12"/>
      <c r="PO61" s="12"/>
      <c r="PP61" s="12"/>
      <c r="PQ61" s="12"/>
      <c r="PR61" s="12"/>
      <c r="PS61" s="12"/>
      <c r="PT61" s="12"/>
      <c r="PU61" s="12"/>
      <c r="PV61" s="12"/>
      <c r="PW61" s="12"/>
      <c r="PX61" s="12"/>
      <c r="PY61" s="12"/>
      <c r="PZ61" s="12"/>
      <c r="QA61" s="12"/>
      <c r="QB61" s="12"/>
      <c r="QC61" s="12"/>
      <c r="QD61" s="12"/>
      <c r="QE61" s="12"/>
      <c r="QF61" s="12"/>
      <c r="QG61" s="12"/>
      <c r="QH61" s="12"/>
      <c r="QI61" s="12"/>
      <c r="QJ61" s="12"/>
      <c r="QK61" s="12"/>
      <c r="QL61" s="12"/>
      <c r="QM61" s="12"/>
      <c r="QN61" s="12"/>
      <c r="QO61" s="12"/>
      <c r="QP61" s="12"/>
      <c r="QQ61" s="12"/>
      <c r="QR61" s="12"/>
      <c r="QS61" s="12"/>
      <c r="QT61" s="12"/>
      <c r="QU61" s="12"/>
      <c r="QV61" s="12"/>
      <c r="QW61" s="12"/>
      <c r="QX61" s="12"/>
      <c r="QY61" s="12"/>
      <c r="QZ61" s="12"/>
      <c r="RA61" s="12"/>
      <c r="RB61" s="12"/>
      <c r="RC61" s="12"/>
      <c r="RD61" s="12"/>
      <c r="RE61" s="12"/>
      <c r="RF61" s="12"/>
      <c r="RG61" s="12"/>
      <c r="RH61" s="12"/>
      <c r="RI61" s="12"/>
      <c r="RJ61" s="12"/>
      <c r="RK61" s="12"/>
      <c r="RL61" s="12"/>
      <c r="RM61" s="12"/>
      <c r="RN61" s="12"/>
      <c r="RO61" s="12"/>
      <c r="RP61" s="12"/>
      <c r="RQ61" s="12"/>
      <c r="RR61" s="12"/>
      <c r="RS61" s="12"/>
      <c r="RT61" s="12"/>
      <c r="RU61" s="12"/>
      <c r="RV61" s="12"/>
      <c r="RW61" s="12"/>
      <c r="RX61" s="12"/>
      <c r="RY61" s="12"/>
      <c r="RZ61" s="12"/>
      <c r="SA61" s="12"/>
      <c r="SB61" s="12"/>
      <c r="SC61" s="12"/>
      <c r="SD61" s="12"/>
      <c r="SE61" s="12"/>
      <c r="SF61" s="12"/>
      <c r="SG61" s="12"/>
      <c r="SH61" s="12"/>
      <c r="SI61" s="12"/>
      <c r="SJ61" s="12"/>
      <c r="SK61" s="12"/>
      <c r="SL61" s="12"/>
      <c r="SM61" s="12"/>
      <c r="SN61" s="12"/>
      <c r="SO61" s="12"/>
      <c r="SP61" s="12"/>
      <c r="SQ61" s="12"/>
      <c r="SR61" s="12"/>
      <c r="SS61" s="12"/>
      <c r="ST61" s="12"/>
      <c r="SU61" s="12"/>
      <c r="SV61" s="12"/>
      <c r="SW61" s="12"/>
      <c r="SX61" s="12"/>
      <c r="SY61" s="12"/>
      <c r="SZ61" s="12"/>
      <c r="TA61" s="12"/>
      <c r="TB61" s="12"/>
      <c r="TC61" s="12"/>
      <c r="TD61" s="12"/>
      <c r="TE61" s="12"/>
      <c r="TF61" s="12"/>
      <c r="TG61" s="12"/>
      <c r="TH61" s="12"/>
      <c r="TI61" s="12"/>
      <c r="TJ61" s="12"/>
      <c r="TK61" s="12"/>
      <c r="TL61" s="12"/>
      <c r="TM61" s="12"/>
      <c r="TN61" s="12"/>
      <c r="TO61" s="12"/>
      <c r="TP61" s="12"/>
      <c r="TQ61" s="12"/>
      <c r="TR61" s="12"/>
      <c r="TS61" s="12"/>
      <c r="TT61" s="12"/>
      <c r="TU61" s="12"/>
      <c r="TV61" s="12"/>
      <c r="TW61" s="12"/>
      <c r="TX61" s="12"/>
      <c r="TY61" s="12"/>
      <c r="TZ61" s="12"/>
      <c r="UA61" s="12"/>
      <c r="UB61" s="12"/>
      <c r="UC61" s="12"/>
      <c r="UD61" s="12"/>
      <c r="UE61" s="12"/>
      <c r="UF61" s="12"/>
      <c r="UG61" s="12"/>
      <c r="UH61" s="12"/>
      <c r="UI61" s="12"/>
      <c r="UJ61" s="12"/>
      <c r="UK61" s="12"/>
      <c r="UL61" s="12"/>
      <c r="UM61" s="12"/>
      <c r="UN61" s="12"/>
      <c r="UO61" s="12"/>
      <c r="UP61" s="12"/>
      <c r="UQ61" s="12"/>
      <c r="UR61" s="12"/>
      <c r="US61" s="12"/>
      <c r="UT61" s="12"/>
      <c r="UU61" s="12"/>
      <c r="UV61" s="12"/>
      <c r="UW61" s="12"/>
      <c r="UX61" s="12"/>
      <c r="UY61" s="12"/>
      <c r="UZ61" s="12"/>
      <c r="VA61" s="12"/>
      <c r="VB61" s="12"/>
      <c r="VC61" s="12"/>
      <c r="VD61" s="12"/>
      <c r="VE61" s="12"/>
      <c r="VF61" s="12"/>
      <c r="VG61" s="12"/>
      <c r="VH61" s="12"/>
      <c r="VI61" s="12"/>
      <c r="VJ61" s="12"/>
      <c r="VK61" s="12"/>
      <c r="VL61" s="12"/>
      <c r="VM61" s="12"/>
      <c r="VN61" s="12"/>
      <c r="VO61" s="12"/>
      <c r="VP61" s="12"/>
      <c r="VQ61" s="12"/>
      <c r="VR61" s="12"/>
      <c r="VS61" s="12"/>
      <c r="VT61" s="12"/>
      <c r="VU61" s="12"/>
      <c r="VV61" s="12"/>
      <c r="VW61" s="12"/>
      <c r="VX61" s="12"/>
      <c r="VY61" s="12"/>
      <c r="VZ61" s="12"/>
      <c r="WA61" s="12"/>
      <c r="WB61" s="12"/>
      <c r="WC61" s="12"/>
      <c r="WD61" s="12"/>
      <c r="WE61" s="12"/>
      <c r="WF61" s="12"/>
      <c r="WG61" s="12"/>
      <c r="WH61" s="12"/>
      <c r="WI61" s="12"/>
      <c r="WJ61" s="12"/>
      <c r="WK61" s="12"/>
      <c r="WL61" s="12"/>
      <c r="WM61" s="12"/>
      <c r="WN61" s="12"/>
      <c r="WO61" s="12"/>
      <c r="WP61" s="12"/>
      <c r="WQ61" s="12"/>
      <c r="WR61" s="12"/>
      <c r="WS61" s="12"/>
      <c r="WT61" s="12"/>
      <c r="WU61" s="12"/>
      <c r="WV61" s="12"/>
      <c r="WW61" s="12"/>
      <c r="WX61" s="12"/>
      <c r="WY61" s="12"/>
      <c r="WZ61" s="12"/>
      <c r="XA61" s="12"/>
      <c r="XB61" s="12"/>
      <c r="XC61" s="12"/>
      <c r="XD61" s="12"/>
      <c r="XE61" s="12"/>
      <c r="XF61" s="12"/>
      <c r="XG61" s="12"/>
      <c r="XH61" s="12"/>
      <c r="XI61" s="12"/>
      <c r="XJ61" s="12"/>
      <c r="XK61" s="12"/>
      <c r="XL61" s="12"/>
      <c r="XM61" s="12"/>
      <c r="XN61" s="12"/>
      <c r="XO61" s="12"/>
      <c r="XP61" s="12"/>
      <c r="XQ61" s="12"/>
      <c r="XR61" s="12"/>
      <c r="XS61" s="12"/>
      <c r="XT61" s="12"/>
      <c r="XU61" s="12"/>
      <c r="XV61" s="12"/>
      <c r="XW61" s="12"/>
      <c r="XX61" s="12"/>
      <c r="XY61" s="12"/>
      <c r="XZ61" s="12"/>
      <c r="YA61" s="12"/>
      <c r="YB61" s="12"/>
      <c r="YC61" s="12"/>
      <c r="YD61" s="12"/>
      <c r="YE61" s="12"/>
      <c r="YF61" s="12"/>
      <c r="YG61" s="12"/>
      <c r="YH61" s="12"/>
      <c r="YI61" s="12"/>
      <c r="YJ61" s="12"/>
      <c r="YK61" s="12"/>
      <c r="YL61" s="12"/>
      <c r="YM61" s="12"/>
      <c r="YN61" s="12"/>
      <c r="YO61" s="12"/>
      <c r="YP61" s="12"/>
      <c r="YQ61" s="12"/>
      <c r="YR61" s="12"/>
      <c r="YS61" s="12"/>
      <c r="YT61" s="12"/>
      <c r="YU61" s="12"/>
      <c r="YV61" s="12"/>
      <c r="YW61" s="12"/>
      <c r="YX61" s="12"/>
      <c r="YY61" s="12"/>
      <c r="YZ61" s="12"/>
      <c r="ZA61" s="12"/>
      <c r="ZB61" s="12"/>
      <c r="ZC61" s="12"/>
      <c r="ZD61" s="12"/>
      <c r="ZE61" s="12"/>
      <c r="ZF61" s="12"/>
      <c r="ZG61" s="12"/>
      <c r="ZH61" s="12"/>
      <c r="ZI61" s="12"/>
      <c r="ZJ61" s="12"/>
      <c r="ZK61" s="12"/>
      <c r="ZL61" s="12"/>
      <c r="ZM61" s="12"/>
      <c r="ZN61" s="12"/>
      <c r="ZO61" s="12"/>
      <c r="ZP61" s="12"/>
      <c r="ZQ61" s="12"/>
      <c r="ZR61" s="12"/>
      <c r="ZS61" s="12"/>
      <c r="ZT61" s="12"/>
      <c r="ZU61" s="12"/>
      <c r="ZV61" s="12"/>
      <c r="ZW61" s="12"/>
      <c r="ZX61" s="12"/>
      <c r="ZY61" s="12"/>
      <c r="ZZ61" s="12"/>
      <c r="AAA61" s="12"/>
      <c r="AAB61" s="12"/>
      <c r="AAC61" s="12"/>
      <c r="AAD61" s="12"/>
      <c r="AAE61" s="12"/>
      <c r="AAF61" s="12"/>
      <c r="AAG61" s="12"/>
      <c r="AAH61" s="12"/>
      <c r="AAI61" s="12"/>
      <c r="AAJ61" s="12"/>
      <c r="AAK61" s="12"/>
      <c r="AAL61" s="12"/>
      <c r="AAM61" s="12"/>
      <c r="AAN61" s="12"/>
      <c r="AAO61" s="12"/>
      <c r="AAP61" s="12"/>
      <c r="AAQ61" s="12"/>
      <c r="AAR61" s="12"/>
      <c r="AAS61" s="12"/>
      <c r="AAT61" s="12"/>
      <c r="AAU61" s="12"/>
      <c r="AAV61" s="12"/>
      <c r="AAW61" s="12"/>
      <c r="AAX61" s="12"/>
      <c r="AAY61" s="12"/>
      <c r="AAZ61" s="12"/>
      <c r="ABA61" s="12"/>
      <c r="ABB61" s="12"/>
      <c r="ABC61" s="12"/>
      <c r="ABD61" s="12"/>
      <c r="ABE61" s="12"/>
      <c r="ABF61" s="12"/>
      <c r="ABG61" s="12"/>
      <c r="ABH61" s="12"/>
      <c r="ABI61" s="12"/>
      <c r="ABJ61" s="12"/>
      <c r="ABK61" s="12"/>
      <c r="ABL61" s="12"/>
      <c r="ABM61" s="12"/>
      <c r="ABN61" s="12"/>
      <c r="ABO61" s="12"/>
      <c r="ABP61" s="12"/>
      <c r="ABQ61" s="12"/>
      <c r="ABR61" s="12"/>
      <c r="ABS61" s="12"/>
      <c r="ABT61" s="12"/>
      <c r="ABU61" s="12"/>
      <c r="ABV61" s="12"/>
      <c r="ABW61" s="12"/>
      <c r="ABX61" s="12"/>
      <c r="ABY61" s="12"/>
      <c r="ABZ61" s="12"/>
      <c r="ACA61" s="12"/>
      <c r="ACB61" s="12"/>
      <c r="ACC61" s="12"/>
      <c r="ACD61" s="12"/>
      <c r="ACE61" s="12"/>
      <c r="ACF61" s="12"/>
      <c r="ACG61" s="12"/>
      <c r="ACH61" s="12"/>
      <c r="ACI61" s="12"/>
      <c r="ACJ61" s="12"/>
      <c r="ACK61" s="12"/>
      <c r="ACL61" s="12"/>
      <c r="ACM61" s="12"/>
      <c r="ACN61" s="12"/>
      <c r="ACO61" s="12"/>
      <c r="ACP61" s="12"/>
      <c r="ACQ61" s="12"/>
      <c r="ACR61" s="12"/>
      <c r="ACS61" s="12"/>
      <c r="ACT61" s="12"/>
      <c r="ACU61" s="12"/>
      <c r="ACV61" s="12"/>
      <c r="ACW61" s="12"/>
      <c r="ACX61" s="12"/>
      <c r="ACY61" s="12"/>
      <c r="ACZ61" s="12"/>
      <c r="ADA61" s="12"/>
      <c r="ADB61" s="12"/>
      <c r="ADC61" s="12"/>
      <c r="ADD61" s="12"/>
      <c r="ADE61" s="12"/>
      <c r="ADF61" s="12"/>
      <c r="ADG61" s="12"/>
      <c r="ADH61" s="12"/>
      <c r="ADI61" s="12"/>
      <c r="ADJ61" s="12"/>
      <c r="ADK61" s="12"/>
      <c r="ADL61" s="12"/>
      <c r="ADM61" s="12"/>
      <c r="ADN61" s="12"/>
      <c r="ADO61" s="12"/>
      <c r="ADP61" s="12"/>
      <c r="ADQ61" s="12"/>
      <c r="ADR61" s="12"/>
      <c r="ADS61" s="12"/>
      <c r="ADT61" s="12"/>
      <c r="ADU61" s="12"/>
      <c r="ADV61" s="12"/>
      <c r="ADW61" s="12"/>
      <c r="ADX61" s="12"/>
      <c r="ADY61" s="12"/>
      <c r="ADZ61" s="12"/>
      <c r="AEA61" s="12"/>
      <c r="AEB61" s="12"/>
      <c r="AEC61" s="12"/>
      <c r="AED61" s="12"/>
      <c r="AEE61" s="12"/>
      <c r="AEF61" s="12"/>
      <c r="AEG61" s="12"/>
      <c r="AEH61" s="12"/>
      <c r="AEI61" s="12"/>
      <c r="AEJ61" s="12"/>
      <c r="AEK61" s="12"/>
      <c r="AEL61" s="12"/>
      <c r="AEM61" s="12"/>
      <c r="AEN61" s="12"/>
      <c r="AEO61" s="12"/>
      <c r="AEP61" s="12"/>
      <c r="AEQ61" s="12"/>
      <c r="AER61" s="12"/>
      <c r="AES61" s="12"/>
      <c r="AET61" s="12"/>
      <c r="AEU61" s="12"/>
      <c r="AEV61" s="12"/>
    </row>
    <row r="62" spans="1:828" s="27" customFormat="1" ht="18" x14ac:dyDescent="0.2">
      <c r="A62" s="62"/>
      <c r="B62" s="54"/>
      <c r="C62" s="23" t="s">
        <v>56</v>
      </c>
      <c r="D62" s="29">
        <v>33461</v>
      </c>
      <c r="E62" s="23"/>
      <c r="F62" s="23"/>
      <c r="G62" s="23"/>
      <c r="H62" s="30"/>
      <c r="I62" s="23" t="s">
        <v>57</v>
      </c>
      <c r="J62" s="29">
        <v>1178</v>
      </c>
      <c r="K62" s="30"/>
      <c r="L62" s="23"/>
      <c r="M62" s="29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  <c r="IY62" s="12"/>
      <c r="IZ62" s="12"/>
      <c r="JA62" s="12"/>
      <c r="JB62" s="12"/>
      <c r="JC62" s="12"/>
      <c r="JD62" s="12"/>
      <c r="JE62" s="12"/>
      <c r="JF62" s="12"/>
      <c r="JG62" s="12"/>
      <c r="JH62" s="12"/>
      <c r="JI62" s="12"/>
      <c r="JJ62" s="12"/>
      <c r="JK62" s="12"/>
      <c r="JL62" s="12"/>
      <c r="JM62" s="12"/>
      <c r="JN62" s="12"/>
      <c r="JO62" s="12"/>
      <c r="JP62" s="12"/>
      <c r="JQ62" s="12"/>
      <c r="JR62" s="12"/>
      <c r="JS62" s="12"/>
      <c r="JT62" s="12"/>
      <c r="JU62" s="12"/>
      <c r="JV62" s="12"/>
      <c r="JW62" s="12"/>
      <c r="JX62" s="12"/>
      <c r="JY62" s="12"/>
      <c r="JZ62" s="12"/>
      <c r="KA62" s="12"/>
      <c r="KB62" s="12"/>
      <c r="KC62" s="12"/>
      <c r="KD62" s="12"/>
      <c r="KE62" s="12"/>
      <c r="KF62" s="12"/>
      <c r="KG62" s="12"/>
      <c r="KH62" s="12"/>
      <c r="KI62" s="12"/>
      <c r="KJ62" s="12"/>
      <c r="KK62" s="12"/>
      <c r="KL62" s="12"/>
      <c r="KM62" s="12"/>
      <c r="KN62" s="12"/>
      <c r="KO62" s="12"/>
      <c r="KP62" s="12"/>
      <c r="KQ62" s="12"/>
      <c r="KR62" s="12"/>
      <c r="KS62" s="12"/>
      <c r="KT62" s="12"/>
      <c r="KU62" s="12"/>
      <c r="KV62" s="12"/>
      <c r="KW62" s="12"/>
      <c r="KX62" s="12"/>
      <c r="KY62" s="12"/>
      <c r="KZ62" s="12"/>
      <c r="LA62" s="12"/>
      <c r="LB62" s="12"/>
      <c r="LC62" s="12"/>
      <c r="LD62" s="12"/>
      <c r="LE62" s="12"/>
      <c r="LF62" s="12"/>
      <c r="LG62" s="12"/>
      <c r="LH62" s="12"/>
      <c r="LI62" s="12"/>
      <c r="LJ62" s="12"/>
      <c r="LK62" s="12"/>
      <c r="LL62" s="12"/>
      <c r="LM62" s="12"/>
      <c r="LN62" s="12"/>
      <c r="LO62" s="12"/>
      <c r="LP62" s="12"/>
      <c r="LQ62" s="12"/>
      <c r="LR62" s="12"/>
      <c r="LS62" s="12"/>
      <c r="LT62" s="12"/>
      <c r="LU62" s="12"/>
      <c r="LV62" s="12"/>
      <c r="LW62" s="12"/>
      <c r="LX62" s="12"/>
      <c r="LY62" s="12"/>
      <c r="LZ62" s="12"/>
      <c r="MA62" s="12"/>
      <c r="MB62" s="12"/>
      <c r="MC62" s="12"/>
      <c r="MD62" s="12"/>
      <c r="ME62" s="12"/>
      <c r="MF62" s="12"/>
      <c r="MG62" s="12"/>
      <c r="MH62" s="12"/>
      <c r="MI62" s="12"/>
      <c r="MJ62" s="12"/>
      <c r="MK62" s="12"/>
      <c r="ML62" s="12"/>
      <c r="MM62" s="12"/>
      <c r="MN62" s="12"/>
      <c r="MO62" s="12"/>
      <c r="MP62" s="12"/>
      <c r="MQ62" s="12"/>
      <c r="MR62" s="12"/>
      <c r="MS62" s="12"/>
      <c r="MT62" s="12"/>
      <c r="MU62" s="12"/>
      <c r="MV62" s="12"/>
      <c r="MW62" s="12"/>
      <c r="MX62" s="12"/>
      <c r="MY62" s="12"/>
      <c r="MZ62" s="12"/>
      <c r="NA62" s="12"/>
      <c r="NB62" s="12"/>
      <c r="NC62" s="12"/>
      <c r="ND62" s="12"/>
      <c r="NE62" s="12"/>
      <c r="NF62" s="12"/>
      <c r="NG62" s="12"/>
      <c r="NH62" s="12"/>
      <c r="NI62" s="12"/>
      <c r="NJ62" s="12"/>
      <c r="NK62" s="12"/>
      <c r="NL62" s="12"/>
      <c r="NM62" s="12"/>
      <c r="NN62" s="12"/>
      <c r="NO62" s="12"/>
      <c r="NP62" s="12"/>
      <c r="NQ62" s="12"/>
      <c r="NR62" s="12"/>
      <c r="NS62" s="12"/>
      <c r="NT62" s="12"/>
      <c r="NU62" s="12"/>
      <c r="NV62" s="12"/>
      <c r="NW62" s="12"/>
      <c r="NX62" s="12"/>
      <c r="NY62" s="12"/>
      <c r="NZ62" s="12"/>
      <c r="OA62" s="12"/>
      <c r="OB62" s="12"/>
      <c r="OC62" s="12"/>
      <c r="OD62" s="12"/>
      <c r="OE62" s="12"/>
      <c r="OF62" s="12"/>
      <c r="OG62" s="12"/>
      <c r="OH62" s="12"/>
      <c r="OI62" s="12"/>
      <c r="OJ62" s="12"/>
      <c r="OK62" s="12"/>
      <c r="OL62" s="12"/>
      <c r="OM62" s="12"/>
      <c r="ON62" s="12"/>
      <c r="OO62" s="12"/>
      <c r="OP62" s="12"/>
      <c r="OQ62" s="12"/>
      <c r="OR62" s="12"/>
      <c r="OS62" s="12"/>
      <c r="OT62" s="12"/>
      <c r="OU62" s="12"/>
      <c r="OV62" s="12"/>
      <c r="OW62" s="12"/>
      <c r="OX62" s="12"/>
      <c r="OY62" s="12"/>
      <c r="OZ62" s="12"/>
      <c r="PA62" s="12"/>
      <c r="PB62" s="12"/>
      <c r="PC62" s="12"/>
      <c r="PD62" s="12"/>
      <c r="PE62" s="12"/>
      <c r="PF62" s="12"/>
      <c r="PG62" s="12"/>
      <c r="PH62" s="12"/>
      <c r="PI62" s="12"/>
      <c r="PJ62" s="12"/>
      <c r="PK62" s="12"/>
      <c r="PL62" s="12"/>
      <c r="PM62" s="12"/>
      <c r="PN62" s="12"/>
      <c r="PO62" s="12"/>
      <c r="PP62" s="12"/>
      <c r="PQ62" s="12"/>
      <c r="PR62" s="12"/>
      <c r="PS62" s="12"/>
      <c r="PT62" s="12"/>
      <c r="PU62" s="12"/>
      <c r="PV62" s="12"/>
      <c r="PW62" s="12"/>
      <c r="PX62" s="12"/>
      <c r="PY62" s="12"/>
      <c r="PZ62" s="12"/>
      <c r="QA62" s="12"/>
      <c r="QB62" s="12"/>
      <c r="QC62" s="12"/>
      <c r="QD62" s="12"/>
      <c r="QE62" s="12"/>
      <c r="QF62" s="12"/>
      <c r="QG62" s="12"/>
      <c r="QH62" s="12"/>
      <c r="QI62" s="12"/>
      <c r="QJ62" s="12"/>
      <c r="QK62" s="12"/>
      <c r="QL62" s="12"/>
      <c r="QM62" s="12"/>
      <c r="QN62" s="12"/>
      <c r="QO62" s="12"/>
      <c r="QP62" s="12"/>
      <c r="QQ62" s="12"/>
      <c r="QR62" s="12"/>
      <c r="QS62" s="12"/>
      <c r="QT62" s="12"/>
      <c r="QU62" s="12"/>
      <c r="QV62" s="12"/>
      <c r="QW62" s="12"/>
      <c r="QX62" s="12"/>
      <c r="QY62" s="12"/>
      <c r="QZ62" s="12"/>
      <c r="RA62" s="12"/>
      <c r="RB62" s="12"/>
      <c r="RC62" s="12"/>
      <c r="RD62" s="12"/>
      <c r="RE62" s="12"/>
      <c r="RF62" s="12"/>
      <c r="RG62" s="12"/>
      <c r="RH62" s="12"/>
      <c r="RI62" s="12"/>
      <c r="RJ62" s="12"/>
      <c r="RK62" s="12"/>
      <c r="RL62" s="12"/>
      <c r="RM62" s="12"/>
      <c r="RN62" s="12"/>
      <c r="RO62" s="12"/>
      <c r="RP62" s="12"/>
      <c r="RQ62" s="12"/>
      <c r="RR62" s="12"/>
      <c r="RS62" s="12"/>
      <c r="RT62" s="12"/>
      <c r="RU62" s="12"/>
      <c r="RV62" s="12"/>
      <c r="RW62" s="12"/>
      <c r="RX62" s="12"/>
      <c r="RY62" s="12"/>
      <c r="RZ62" s="12"/>
      <c r="SA62" s="12"/>
      <c r="SB62" s="12"/>
      <c r="SC62" s="12"/>
      <c r="SD62" s="12"/>
      <c r="SE62" s="12"/>
      <c r="SF62" s="12"/>
      <c r="SG62" s="12"/>
      <c r="SH62" s="12"/>
      <c r="SI62" s="12"/>
      <c r="SJ62" s="12"/>
      <c r="SK62" s="12"/>
      <c r="SL62" s="12"/>
      <c r="SM62" s="12"/>
      <c r="SN62" s="12"/>
      <c r="SO62" s="12"/>
      <c r="SP62" s="12"/>
      <c r="SQ62" s="12"/>
      <c r="SR62" s="12"/>
      <c r="SS62" s="12"/>
      <c r="ST62" s="12"/>
      <c r="SU62" s="12"/>
      <c r="SV62" s="12"/>
      <c r="SW62" s="12"/>
      <c r="SX62" s="12"/>
      <c r="SY62" s="12"/>
      <c r="SZ62" s="12"/>
      <c r="TA62" s="12"/>
      <c r="TB62" s="12"/>
      <c r="TC62" s="12"/>
      <c r="TD62" s="12"/>
      <c r="TE62" s="12"/>
      <c r="TF62" s="12"/>
      <c r="TG62" s="12"/>
      <c r="TH62" s="12"/>
      <c r="TI62" s="12"/>
      <c r="TJ62" s="12"/>
      <c r="TK62" s="12"/>
      <c r="TL62" s="12"/>
      <c r="TM62" s="12"/>
      <c r="TN62" s="12"/>
      <c r="TO62" s="12"/>
      <c r="TP62" s="12"/>
      <c r="TQ62" s="12"/>
      <c r="TR62" s="12"/>
      <c r="TS62" s="12"/>
      <c r="TT62" s="12"/>
      <c r="TU62" s="12"/>
      <c r="TV62" s="12"/>
      <c r="TW62" s="12"/>
      <c r="TX62" s="12"/>
      <c r="TY62" s="12"/>
      <c r="TZ62" s="12"/>
      <c r="UA62" s="12"/>
      <c r="UB62" s="12"/>
      <c r="UC62" s="12"/>
      <c r="UD62" s="12"/>
      <c r="UE62" s="12"/>
      <c r="UF62" s="12"/>
      <c r="UG62" s="12"/>
      <c r="UH62" s="12"/>
      <c r="UI62" s="12"/>
      <c r="UJ62" s="12"/>
      <c r="UK62" s="12"/>
      <c r="UL62" s="12"/>
      <c r="UM62" s="12"/>
      <c r="UN62" s="12"/>
      <c r="UO62" s="12"/>
      <c r="UP62" s="12"/>
      <c r="UQ62" s="12"/>
      <c r="UR62" s="12"/>
      <c r="US62" s="12"/>
      <c r="UT62" s="12"/>
      <c r="UU62" s="12"/>
      <c r="UV62" s="12"/>
      <c r="UW62" s="12"/>
      <c r="UX62" s="12"/>
      <c r="UY62" s="12"/>
      <c r="UZ62" s="12"/>
      <c r="VA62" s="12"/>
      <c r="VB62" s="12"/>
      <c r="VC62" s="12"/>
      <c r="VD62" s="12"/>
      <c r="VE62" s="12"/>
      <c r="VF62" s="12"/>
      <c r="VG62" s="12"/>
      <c r="VH62" s="12"/>
      <c r="VI62" s="12"/>
      <c r="VJ62" s="12"/>
      <c r="VK62" s="12"/>
      <c r="VL62" s="12"/>
      <c r="VM62" s="12"/>
      <c r="VN62" s="12"/>
      <c r="VO62" s="12"/>
      <c r="VP62" s="12"/>
      <c r="VQ62" s="12"/>
      <c r="VR62" s="12"/>
      <c r="VS62" s="12"/>
      <c r="VT62" s="12"/>
      <c r="VU62" s="12"/>
      <c r="VV62" s="12"/>
      <c r="VW62" s="12"/>
      <c r="VX62" s="12"/>
      <c r="VY62" s="12"/>
      <c r="VZ62" s="12"/>
      <c r="WA62" s="12"/>
      <c r="WB62" s="12"/>
      <c r="WC62" s="12"/>
      <c r="WD62" s="12"/>
      <c r="WE62" s="12"/>
      <c r="WF62" s="12"/>
      <c r="WG62" s="12"/>
      <c r="WH62" s="12"/>
      <c r="WI62" s="12"/>
      <c r="WJ62" s="12"/>
      <c r="WK62" s="12"/>
      <c r="WL62" s="12"/>
      <c r="WM62" s="12"/>
      <c r="WN62" s="12"/>
      <c r="WO62" s="12"/>
      <c r="WP62" s="12"/>
      <c r="WQ62" s="12"/>
      <c r="WR62" s="12"/>
      <c r="WS62" s="12"/>
      <c r="WT62" s="12"/>
      <c r="WU62" s="12"/>
      <c r="WV62" s="12"/>
      <c r="WW62" s="12"/>
      <c r="WX62" s="12"/>
      <c r="WY62" s="12"/>
      <c r="WZ62" s="12"/>
      <c r="XA62" s="12"/>
      <c r="XB62" s="12"/>
      <c r="XC62" s="12"/>
      <c r="XD62" s="12"/>
      <c r="XE62" s="12"/>
      <c r="XF62" s="12"/>
      <c r="XG62" s="12"/>
      <c r="XH62" s="12"/>
      <c r="XI62" s="12"/>
      <c r="XJ62" s="12"/>
      <c r="XK62" s="12"/>
      <c r="XL62" s="12"/>
      <c r="XM62" s="12"/>
      <c r="XN62" s="12"/>
      <c r="XO62" s="12"/>
      <c r="XP62" s="12"/>
      <c r="XQ62" s="12"/>
      <c r="XR62" s="12"/>
      <c r="XS62" s="12"/>
      <c r="XT62" s="12"/>
      <c r="XU62" s="12"/>
      <c r="XV62" s="12"/>
      <c r="XW62" s="12"/>
      <c r="XX62" s="12"/>
      <c r="XY62" s="12"/>
      <c r="XZ62" s="12"/>
      <c r="YA62" s="12"/>
      <c r="YB62" s="12"/>
      <c r="YC62" s="12"/>
      <c r="YD62" s="12"/>
      <c r="YE62" s="12"/>
      <c r="YF62" s="12"/>
      <c r="YG62" s="12"/>
      <c r="YH62" s="12"/>
      <c r="YI62" s="12"/>
      <c r="YJ62" s="12"/>
      <c r="YK62" s="12"/>
      <c r="YL62" s="12"/>
      <c r="YM62" s="12"/>
      <c r="YN62" s="12"/>
      <c r="YO62" s="12"/>
      <c r="YP62" s="12"/>
      <c r="YQ62" s="12"/>
      <c r="YR62" s="12"/>
      <c r="YS62" s="12"/>
      <c r="YT62" s="12"/>
      <c r="YU62" s="12"/>
      <c r="YV62" s="12"/>
      <c r="YW62" s="12"/>
      <c r="YX62" s="12"/>
      <c r="YY62" s="12"/>
      <c r="YZ62" s="12"/>
      <c r="ZA62" s="12"/>
      <c r="ZB62" s="12"/>
      <c r="ZC62" s="12"/>
      <c r="ZD62" s="12"/>
      <c r="ZE62" s="12"/>
      <c r="ZF62" s="12"/>
      <c r="ZG62" s="12"/>
      <c r="ZH62" s="12"/>
      <c r="ZI62" s="12"/>
      <c r="ZJ62" s="12"/>
      <c r="ZK62" s="12"/>
      <c r="ZL62" s="12"/>
      <c r="ZM62" s="12"/>
      <c r="ZN62" s="12"/>
      <c r="ZO62" s="12"/>
      <c r="ZP62" s="12"/>
      <c r="ZQ62" s="12"/>
      <c r="ZR62" s="12"/>
      <c r="ZS62" s="12"/>
      <c r="ZT62" s="12"/>
      <c r="ZU62" s="12"/>
      <c r="ZV62" s="12"/>
      <c r="ZW62" s="12"/>
      <c r="ZX62" s="12"/>
      <c r="ZY62" s="12"/>
      <c r="ZZ62" s="12"/>
      <c r="AAA62" s="12"/>
      <c r="AAB62" s="12"/>
      <c r="AAC62" s="12"/>
      <c r="AAD62" s="12"/>
      <c r="AAE62" s="12"/>
      <c r="AAF62" s="12"/>
      <c r="AAG62" s="12"/>
      <c r="AAH62" s="12"/>
      <c r="AAI62" s="12"/>
      <c r="AAJ62" s="12"/>
      <c r="AAK62" s="12"/>
      <c r="AAL62" s="12"/>
      <c r="AAM62" s="12"/>
      <c r="AAN62" s="12"/>
      <c r="AAO62" s="12"/>
      <c r="AAP62" s="12"/>
      <c r="AAQ62" s="12"/>
      <c r="AAR62" s="12"/>
      <c r="AAS62" s="12"/>
      <c r="AAT62" s="12"/>
      <c r="AAU62" s="12"/>
      <c r="AAV62" s="12"/>
      <c r="AAW62" s="12"/>
      <c r="AAX62" s="12"/>
      <c r="AAY62" s="12"/>
      <c r="AAZ62" s="12"/>
      <c r="ABA62" s="12"/>
      <c r="ABB62" s="12"/>
      <c r="ABC62" s="12"/>
      <c r="ABD62" s="12"/>
      <c r="ABE62" s="12"/>
      <c r="ABF62" s="12"/>
      <c r="ABG62" s="12"/>
      <c r="ABH62" s="12"/>
      <c r="ABI62" s="12"/>
      <c r="ABJ62" s="12"/>
      <c r="ABK62" s="12"/>
      <c r="ABL62" s="12"/>
      <c r="ABM62" s="12"/>
      <c r="ABN62" s="12"/>
      <c r="ABO62" s="12"/>
      <c r="ABP62" s="12"/>
      <c r="ABQ62" s="12"/>
      <c r="ABR62" s="12"/>
      <c r="ABS62" s="12"/>
      <c r="ABT62" s="12"/>
      <c r="ABU62" s="12"/>
      <c r="ABV62" s="12"/>
      <c r="ABW62" s="12"/>
      <c r="ABX62" s="12"/>
      <c r="ABY62" s="12"/>
      <c r="ABZ62" s="12"/>
      <c r="ACA62" s="12"/>
      <c r="ACB62" s="12"/>
      <c r="ACC62" s="12"/>
      <c r="ACD62" s="12"/>
      <c r="ACE62" s="12"/>
      <c r="ACF62" s="12"/>
      <c r="ACG62" s="12"/>
      <c r="ACH62" s="12"/>
      <c r="ACI62" s="12"/>
      <c r="ACJ62" s="12"/>
      <c r="ACK62" s="12"/>
      <c r="ACL62" s="12"/>
      <c r="ACM62" s="12"/>
      <c r="ACN62" s="12"/>
      <c r="ACO62" s="12"/>
      <c r="ACP62" s="12"/>
      <c r="ACQ62" s="12"/>
      <c r="ACR62" s="12"/>
      <c r="ACS62" s="12"/>
      <c r="ACT62" s="12"/>
      <c r="ACU62" s="12"/>
      <c r="ACV62" s="12"/>
      <c r="ACW62" s="12"/>
      <c r="ACX62" s="12"/>
      <c r="ACY62" s="12"/>
      <c r="ACZ62" s="12"/>
      <c r="ADA62" s="12"/>
      <c r="ADB62" s="12"/>
      <c r="ADC62" s="12"/>
      <c r="ADD62" s="12"/>
      <c r="ADE62" s="12"/>
      <c r="ADF62" s="12"/>
      <c r="ADG62" s="12"/>
      <c r="ADH62" s="12"/>
      <c r="ADI62" s="12"/>
      <c r="ADJ62" s="12"/>
      <c r="ADK62" s="12"/>
      <c r="ADL62" s="12"/>
      <c r="ADM62" s="12"/>
      <c r="ADN62" s="12"/>
      <c r="ADO62" s="12"/>
      <c r="ADP62" s="12"/>
      <c r="ADQ62" s="12"/>
      <c r="ADR62" s="12"/>
      <c r="ADS62" s="12"/>
      <c r="ADT62" s="12"/>
      <c r="ADU62" s="12"/>
      <c r="ADV62" s="12"/>
      <c r="ADW62" s="12"/>
      <c r="ADX62" s="12"/>
      <c r="ADY62" s="12"/>
      <c r="ADZ62" s="12"/>
      <c r="AEA62" s="12"/>
      <c r="AEB62" s="12"/>
      <c r="AEC62" s="12"/>
      <c r="AED62" s="12"/>
      <c r="AEE62" s="12"/>
      <c r="AEF62" s="12"/>
      <c r="AEG62" s="12"/>
      <c r="AEH62" s="12"/>
      <c r="AEI62" s="12"/>
      <c r="AEJ62" s="12"/>
      <c r="AEK62" s="12"/>
      <c r="AEL62" s="12"/>
      <c r="AEM62" s="12"/>
      <c r="AEN62" s="12"/>
      <c r="AEO62" s="12"/>
      <c r="AEP62" s="12"/>
      <c r="AEQ62" s="12"/>
      <c r="AER62" s="12"/>
      <c r="AES62" s="12"/>
      <c r="AET62" s="12"/>
      <c r="AEU62" s="12"/>
      <c r="AEV62" s="12"/>
    </row>
    <row r="63" spans="1:828" s="27" customFormat="1" ht="18" x14ac:dyDescent="0.2">
      <c r="A63" s="62"/>
      <c r="D63" s="29"/>
      <c r="E63" s="23"/>
      <c r="F63" s="23"/>
      <c r="G63" s="23"/>
      <c r="H63" s="30"/>
      <c r="I63" s="23" t="s">
        <v>58</v>
      </c>
      <c r="J63" s="29">
        <v>27592</v>
      </c>
      <c r="K63" s="30"/>
      <c r="L63" s="23"/>
      <c r="M63" s="29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  <c r="IY63" s="12"/>
      <c r="IZ63" s="12"/>
      <c r="JA63" s="12"/>
      <c r="JB63" s="12"/>
      <c r="JC63" s="12"/>
      <c r="JD63" s="12"/>
      <c r="JE63" s="12"/>
      <c r="JF63" s="12"/>
      <c r="JG63" s="12"/>
      <c r="JH63" s="12"/>
      <c r="JI63" s="12"/>
      <c r="JJ63" s="12"/>
      <c r="JK63" s="12"/>
      <c r="JL63" s="12"/>
      <c r="JM63" s="12"/>
      <c r="JN63" s="12"/>
      <c r="JO63" s="12"/>
      <c r="JP63" s="12"/>
      <c r="JQ63" s="12"/>
      <c r="JR63" s="12"/>
      <c r="JS63" s="12"/>
      <c r="JT63" s="12"/>
      <c r="JU63" s="12"/>
      <c r="JV63" s="12"/>
      <c r="JW63" s="12"/>
      <c r="JX63" s="12"/>
      <c r="JY63" s="12"/>
      <c r="JZ63" s="12"/>
      <c r="KA63" s="12"/>
      <c r="KB63" s="12"/>
      <c r="KC63" s="12"/>
      <c r="KD63" s="12"/>
      <c r="KE63" s="12"/>
      <c r="KF63" s="12"/>
      <c r="KG63" s="12"/>
      <c r="KH63" s="12"/>
      <c r="KI63" s="12"/>
      <c r="KJ63" s="12"/>
      <c r="KK63" s="12"/>
      <c r="KL63" s="12"/>
      <c r="KM63" s="12"/>
      <c r="KN63" s="12"/>
      <c r="KO63" s="12"/>
      <c r="KP63" s="12"/>
      <c r="KQ63" s="12"/>
      <c r="KR63" s="12"/>
      <c r="KS63" s="12"/>
      <c r="KT63" s="12"/>
      <c r="KU63" s="12"/>
      <c r="KV63" s="12"/>
      <c r="KW63" s="12"/>
      <c r="KX63" s="12"/>
      <c r="KY63" s="12"/>
      <c r="KZ63" s="12"/>
      <c r="LA63" s="12"/>
      <c r="LB63" s="12"/>
      <c r="LC63" s="12"/>
      <c r="LD63" s="12"/>
      <c r="LE63" s="12"/>
      <c r="LF63" s="12"/>
      <c r="LG63" s="12"/>
      <c r="LH63" s="12"/>
      <c r="LI63" s="12"/>
      <c r="LJ63" s="12"/>
      <c r="LK63" s="12"/>
      <c r="LL63" s="12"/>
      <c r="LM63" s="12"/>
      <c r="LN63" s="12"/>
      <c r="LO63" s="12"/>
      <c r="LP63" s="12"/>
      <c r="LQ63" s="12"/>
      <c r="LR63" s="12"/>
      <c r="LS63" s="12"/>
      <c r="LT63" s="12"/>
      <c r="LU63" s="12"/>
      <c r="LV63" s="12"/>
      <c r="LW63" s="12"/>
      <c r="LX63" s="12"/>
      <c r="LY63" s="12"/>
      <c r="LZ63" s="12"/>
      <c r="MA63" s="12"/>
      <c r="MB63" s="12"/>
      <c r="MC63" s="12"/>
      <c r="MD63" s="12"/>
      <c r="ME63" s="12"/>
      <c r="MF63" s="12"/>
      <c r="MG63" s="12"/>
      <c r="MH63" s="12"/>
      <c r="MI63" s="12"/>
      <c r="MJ63" s="12"/>
      <c r="MK63" s="12"/>
      <c r="ML63" s="12"/>
      <c r="MM63" s="12"/>
      <c r="MN63" s="12"/>
      <c r="MO63" s="12"/>
      <c r="MP63" s="12"/>
      <c r="MQ63" s="12"/>
      <c r="MR63" s="12"/>
      <c r="MS63" s="12"/>
      <c r="MT63" s="12"/>
      <c r="MU63" s="12"/>
      <c r="MV63" s="12"/>
      <c r="MW63" s="12"/>
      <c r="MX63" s="12"/>
      <c r="MY63" s="12"/>
      <c r="MZ63" s="12"/>
      <c r="NA63" s="12"/>
      <c r="NB63" s="12"/>
      <c r="NC63" s="12"/>
      <c r="ND63" s="12"/>
      <c r="NE63" s="12"/>
      <c r="NF63" s="12"/>
      <c r="NG63" s="12"/>
      <c r="NH63" s="12"/>
      <c r="NI63" s="12"/>
      <c r="NJ63" s="12"/>
      <c r="NK63" s="12"/>
      <c r="NL63" s="12"/>
      <c r="NM63" s="12"/>
      <c r="NN63" s="12"/>
      <c r="NO63" s="12"/>
      <c r="NP63" s="12"/>
      <c r="NQ63" s="12"/>
      <c r="NR63" s="12"/>
      <c r="NS63" s="12"/>
      <c r="NT63" s="12"/>
      <c r="NU63" s="12"/>
      <c r="NV63" s="12"/>
      <c r="NW63" s="12"/>
      <c r="NX63" s="12"/>
      <c r="NY63" s="12"/>
      <c r="NZ63" s="12"/>
      <c r="OA63" s="12"/>
      <c r="OB63" s="12"/>
      <c r="OC63" s="12"/>
      <c r="OD63" s="12"/>
      <c r="OE63" s="12"/>
      <c r="OF63" s="12"/>
      <c r="OG63" s="12"/>
      <c r="OH63" s="12"/>
      <c r="OI63" s="12"/>
      <c r="OJ63" s="12"/>
      <c r="OK63" s="12"/>
      <c r="OL63" s="12"/>
      <c r="OM63" s="12"/>
      <c r="ON63" s="12"/>
      <c r="OO63" s="12"/>
      <c r="OP63" s="12"/>
      <c r="OQ63" s="12"/>
      <c r="OR63" s="12"/>
      <c r="OS63" s="12"/>
      <c r="OT63" s="12"/>
      <c r="OU63" s="12"/>
      <c r="OV63" s="12"/>
      <c r="OW63" s="12"/>
      <c r="OX63" s="12"/>
      <c r="OY63" s="12"/>
      <c r="OZ63" s="12"/>
      <c r="PA63" s="12"/>
      <c r="PB63" s="12"/>
      <c r="PC63" s="12"/>
      <c r="PD63" s="12"/>
      <c r="PE63" s="12"/>
      <c r="PF63" s="12"/>
      <c r="PG63" s="12"/>
      <c r="PH63" s="12"/>
      <c r="PI63" s="12"/>
      <c r="PJ63" s="12"/>
      <c r="PK63" s="12"/>
      <c r="PL63" s="12"/>
      <c r="PM63" s="12"/>
      <c r="PN63" s="12"/>
      <c r="PO63" s="12"/>
      <c r="PP63" s="12"/>
      <c r="PQ63" s="12"/>
      <c r="PR63" s="12"/>
      <c r="PS63" s="12"/>
      <c r="PT63" s="12"/>
      <c r="PU63" s="12"/>
      <c r="PV63" s="12"/>
      <c r="PW63" s="12"/>
      <c r="PX63" s="12"/>
      <c r="PY63" s="12"/>
      <c r="PZ63" s="12"/>
      <c r="QA63" s="12"/>
      <c r="QB63" s="12"/>
      <c r="QC63" s="12"/>
      <c r="QD63" s="12"/>
      <c r="QE63" s="12"/>
      <c r="QF63" s="12"/>
      <c r="QG63" s="12"/>
      <c r="QH63" s="12"/>
      <c r="QI63" s="12"/>
      <c r="QJ63" s="12"/>
      <c r="QK63" s="12"/>
      <c r="QL63" s="12"/>
      <c r="QM63" s="12"/>
      <c r="QN63" s="12"/>
      <c r="QO63" s="12"/>
      <c r="QP63" s="12"/>
      <c r="QQ63" s="12"/>
      <c r="QR63" s="12"/>
      <c r="QS63" s="12"/>
      <c r="QT63" s="12"/>
      <c r="QU63" s="12"/>
      <c r="QV63" s="12"/>
      <c r="QW63" s="12"/>
      <c r="QX63" s="12"/>
      <c r="QY63" s="12"/>
      <c r="QZ63" s="12"/>
      <c r="RA63" s="12"/>
      <c r="RB63" s="12"/>
      <c r="RC63" s="12"/>
      <c r="RD63" s="12"/>
      <c r="RE63" s="12"/>
      <c r="RF63" s="12"/>
      <c r="RG63" s="12"/>
      <c r="RH63" s="12"/>
      <c r="RI63" s="12"/>
      <c r="RJ63" s="12"/>
      <c r="RK63" s="12"/>
      <c r="RL63" s="12"/>
      <c r="RM63" s="12"/>
      <c r="RN63" s="12"/>
      <c r="RO63" s="12"/>
      <c r="RP63" s="12"/>
      <c r="RQ63" s="12"/>
      <c r="RR63" s="12"/>
      <c r="RS63" s="12"/>
      <c r="RT63" s="12"/>
      <c r="RU63" s="12"/>
      <c r="RV63" s="12"/>
      <c r="RW63" s="12"/>
      <c r="RX63" s="12"/>
      <c r="RY63" s="12"/>
      <c r="RZ63" s="12"/>
      <c r="SA63" s="12"/>
      <c r="SB63" s="12"/>
      <c r="SC63" s="12"/>
      <c r="SD63" s="12"/>
      <c r="SE63" s="12"/>
      <c r="SF63" s="12"/>
      <c r="SG63" s="12"/>
      <c r="SH63" s="12"/>
      <c r="SI63" s="12"/>
      <c r="SJ63" s="12"/>
      <c r="SK63" s="12"/>
      <c r="SL63" s="12"/>
      <c r="SM63" s="12"/>
      <c r="SN63" s="12"/>
      <c r="SO63" s="12"/>
      <c r="SP63" s="12"/>
      <c r="SQ63" s="12"/>
      <c r="SR63" s="12"/>
      <c r="SS63" s="12"/>
      <c r="ST63" s="12"/>
      <c r="SU63" s="12"/>
      <c r="SV63" s="12"/>
      <c r="SW63" s="12"/>
      <c r="SX63" s="12"/>
      <c r="SY63" s="12"/>
      <c r="SZ63" s="12"/>
      <c r="TA63" s="12"/>
      <c r="TB63" s="12"/>
      <c r="TC63" s="12"/>
      <c r="TD63" s="12"/>
      <c r="TE63" s="12"/>
      <c r="TF63" s="12"/>
      <c r="TG63" s="12"/>
      <c r="TH63" s="12"/>
      <c r="TI63" s="12"/>
      <c r="TJ63" s="12"/>
      <c r="TK63" s="12"/>
      <c r="TL63" s="12"/>
      <c r="TM63" s="12"/>
      <c r="TN63" s="12"/>
      <c r="TO63" s="12"/>
      <c r="TP63" s="12"/>
      <c r="TQ63" s="12"/>
      <c r="TR63" s="12"/>
      <c r="TS63" s="12"/>
      <c r="TT63" s="12"/>
      <c r="TU63" s="12"/>
      <c r="TV63" s="12"/>
      <c r="TW63" s="12"/>
      <c r="TX63" s="12"/>
      <c r="TY63" s="12"/>
      <c r="TZ63" s="12"/>
      <c r="UA63" s="12"/>
      <c r="UB63" s="12"/>
      <c r="UC63" s="12"/>
      <c r="UD63" s="12"/>
      <c r="UE63" s="12"/>
      <c r="UF63" s="12"/>
      <c r="UG63" s="12"/>
      <c r="UH63" s="12"/>
      <c r="UI63" s="12"/>
      <c r="UJ63" s="12"/>
      <c r="UK63" s="12"/>
      <c r="UL63" s="12"/>
      <c r="UM63" s="12"/>
      <c r="UN63" s="12"/>
      <c r="UO63" s="12"/>
      <c r="UP63" s="12"/>
      <c r="UQ63" s="12"/>
      <c r="UR63" s="12"/>
      <c r="US63" s="12"/>
      <c r="UT63" s="12"/>
      <c r="UU63" s="12"/>
      <c r="UV63" s="12"/>
      <c r="UW63" s="12"/>
      <c r="UX63" s="12"/>
      <c r="UY63" s="12"/>
      <c r="UZ63" s="12"/>
      <c r="VA63" s="12"/>
      <c r="VB63" s="12"/>
      <c r="VC63" s="12"/>
      <c r="VD63" s="12"/>
      <c r="VE63" s="12"/>
      <c r="VF63" s="12"/>
      <c r="VG63" s="12"/>
      <c r="VH63" s="12"/>
      <c r="VI63" s="12"/>
      <c r="VJ63" s="12"/>
      <c r="VK63" s="12"/>
      <c r="VL63" s="12"/>
      <c r="VM63" s="12"/>
      <c r="VN63" s="12"/>
      <c r="VO63" s="12"/>
      <c r="VP63" s="12"/>
      <c r="VQ63" s="12"/>
      <c r="VR63" s="12"/>
      <c r="VS63" s="12"/>
      <c r="VT63" s="12"/>
      <c r="VU63" s="12"/>
      <c r="VV63" s="12"/>
      <c r="VW63" s="12"/>
      <c r="VX63" s="12"/>
      <c r="VY63" s="12"/>
      <c r="VZ63" s="12"/>
      <c r="WA63" s="12"/>
      <c r="WB63" s="12"/>
      <c r="WC63" s="12"/>
      <c r="WD63" s="12"/>
      <c r="WE63" s="12"/>
      <c r="WF63" s="12"/>
      <c r="WG63" s="12"/>
      <c r="WH63" s="12"/>
      <c r="WI63" s="12"/>
      <c r="WJ63" s="12"/>
      <c r="WK63" s="12"/>
      <c r="WL63" s="12"/>
      <c r="WM63" s="12"/>
      <c r="WN63" s="12"/>
      <c r="WO63" s="12"/>
      <c r="WP63" s="12"/>
      <c r="WQ63" s="12"/>
      <c r="WR63" s="12"/>
      <c r="WS63" s="12"/>
      <c r="WT63" s="12"/>
      <c r="WU63" s="12"/>
      <c r="WV63" s="12"/>
      <c r="WW63" s="12"/>
      <c r="WX63" s="12"/>
      <c r="WY63" s="12"/>
      <c r="WZ63" s="12"/>
      <c r="XA63" s="12"/>
      <c r="XB63" s="12"/>
      <c r="XC63" s="12"/>
      <c r="XD63" s="12"/>
      <c r="XE63" s="12"/>
      <c r="XF63" s="12"/>
      <c r="XG63" s="12"/>
      <c r="XH63" s="12"/>
      <c r="XI63" s="12"/>
      <c r="XJ63" s="12"/>
      <c r="XK63" s="12"/>
      <c r="XL63" s="12"/>
      <c r="XM63" s="12"/>
      <c r="XN63" s="12"/>
      <c r="XO63" s="12"/>
      <c r="XP63" s="12"/>
      <c r="XQ63" s="12"/>
      <c r="XR63" s="12"/>
      <c r="XS63" s="12"/>
      <c r="XT63" s="12"/>
      <c r="XU63" s="12"/>
      <c r="XV63" s="12"/>
      <c r="XW63" s="12"/>
      <c r="XX63" s="12"/>
      <c r="XY63" s="12"/>
      <c r="XZ63" s="12"/>
      <c r="YA63" s="12"/>
      <c r="YB63" s="12"/>
      <c r="YC63" s="12"/>
      <c r="YD63" s="12"/>
      <c r="YE63" s="12"/>
      <c r="YF63" s="12"/>
      <c r="YG63" s="12"/>
      <c r="YH63" s="12"/>
      <c r="YI63" s="12"/>
      <c r="YJ63" s="12"/>
      <c r="YK63" s="12"/>
      <c r="YL63" s="12"/>
      <c r="YM63" s="12"/>
      <c r="YN63" s="12"/>
      <c r="YO63" s="12"/>
      <c r="YP63" s="12"/>
      <c r="YQ63" s="12"/>
      <c r="YR63" s="12"/>
      <c r="YS63" s="12"/>
      <c r="YT63" s="12"/>
      <c r="YU63" s="12"/>
      <c r="YV63" s="12"/>
      <c r="YW63" s="12"/>
      <c r="YX63" s="12"/>
      <c r="YY63" s="12"/>
      <c r="YZ63" s="12"/>
      <c r="ZA63" s="12"/>
      <c r="ZB63" s="12"/>
      <c r="ZC63" s="12"/>
      <c r="ZD63" s="12"/>
      <c r="ZE63" s="12"/>
      <c r="ZF63" s="12"/>
      <c r="ZG63" s="12"/>
      <c r="ZH63" s="12"/>
      <c r="ZI63" s="12"/>
      <c r="ZJ63" s="12"/>
      <c r="ZK63" s="12"/>
      <c r="ZL63" s="12"/>
      <c r="ZM63" s="12"/>
      <c r="ZN63" s="12"/>
      <c r="ZO63" s="12"/>
      <c r="ZP63" s="12"/>
      <c r="ZQ63" s="12"/>
      <c r="ZR63" s="12"/>
      <c r="ZS63" s="12"/>
      <c r="ZT63" s="12"/>
      <c r="ZU63" s="12"/>
      <c r="ZV63" s="12"/>
      <c r="ZW63" s="12"/>
      <c r="ZX63" s="12"/>
      <c r="ZY63" s="12"/>
      <c r="ZZ63" s="12"/>
      <c r="AAA63" s="12"/>
      <c r="AAB63" s="12"/>
      <c r="AAC63" s="12"/>
      <c r="AAD63" s="12"/>
      <c r="AAE63" s="12"/>
      <c r="AAF63" s="12"/>
      <c r="AAG63" s="12"/>
      <c r="AAH63" s="12"/>
      <c r="AAI63" s="12"/>
      <c r="AAJ63" s="12"/>
      <c r="AAK63" s="12"/>
      <c r="AAL63" s="12"/>
      <c r="AAM63" s="12"/>
      <c r="AAN63" s="12"/>
      <c r="AAO63" s="12"/>
      <c r="AAP63" s="12"/>
      <c r="AAQ63" s="12"/>
      <c r="AAR63" s="12"/>
      <c r="AAS63" s="12"/>
      <c r="AAT63" s="12"/>
      <c r="AAU63" s="12"/>
      <c r="AAV63" s="12"/>
      <c r="AAW63" s="12"/>
      <c r="AAX63" s="12"/>
      <c r="AAY63" s="12"/>
      <c r="AAZ63" s="12"/>
      <c r="ABA63" s="12"/>
      <c r="ABB63" s="12"/>
      <c r="ABC63" s="12"/>
      <c r="ABD63" s="12"/>
      <c r="ABE63" s="12"/>
      <c r="ABF63" s="12"/>
      <c r="ABG63" s="12"/>
      <c r="ABH63" s="12"/>
      <c r="ABI63" s="12"/>
      <c r="ABJ63" s="12"/>
      <c r="ABK63" s="12"/>
      <c r="ABL63" s="12"/>
      <c r="ABM63" s="12"/>
      <c r="ABN63" s="12"/>
      <c r="ABO63" s="12"/>
      <c r="ABP63" s="12"/>
      <c r="ABQ63" s="12"/>
      <c r="ABR63" s="12"/>
      <c r="ABS63" s="12"/>
      <c r="ABT63" s="12"/>
      <c r="ABU63" s="12"/>
      <c r="ABV63" s="12"/>
      <c r="ABW63" s="12"/>
      <c r="ABX63" s="12"/>
      <c r="ABY63" s="12"/>
      <c r="ABZ63" s="12"/>
      <c r="ACA63" s="12"/>
      <c r="ACB63" s="12"/>
      <c r="ACC63" s="12"/>
      <c r="ACD63" s="12"/>
      <c r="ACE63" s="12"/>
      <c r="ACF63" s="12"/>
      <c r="ACG63" s="12"/>
      <c r="ACH63" s="12"/>
      <c r="ACI63" s="12"/>
      <c r="ACJ63" s="12"/>
      <c r="ACK63" s="12"/>
      <c r="ACL63" s="12"/>
      <c r="ACM63" s="12"/>
      <c r="ACN63" s="12"/>
      <c r="ACO63" s="12"/>
      <c r="ACP63" s="12"/>
      <c r="ACQ63" s="12"/>
      <c r="ACR63" s="12"/>
      <c r="ACS63" s="12"/>
      <c r="ACT63" s="12"/>
      <c r="ACU63" s="12"/>
      <c r="ACV63" s="12"/>
      <c r="ACW63" s="12"/>
      <c r="ACX63" s="12"/>
      <c r="ACY63" s="12"/>
      <c r="ACZ63" s="12"/>
      <c r="ADA63" s="12"/>
      <c r="ADB63" s="12"/>
      <c r="ADC63" s="12"/>
      <c r="ADD63" s="12"/>
      <c r="ADE63" s="12"/>
      <c r="ADF63" s="12"/>
      <c r="ADG63" s="12"/>
      <c r="ADH63" s="12"/>
      <c r="ADI63" s="12"/>
      <c r="ADJ63" s="12"/>
      <c r="ADK63" s="12"/>
      <c r="ADL63" s="12"/>
      <c r="ADM63" s="12"/>
      <c r="ADN63" s="12"/>
      <c r="ADO63" s="12"/>
      <c r="ADP63" s="12"/>
      <c r="ADQ63" s="12"/>
      <c r="ADR63" s="12"/>
      <c r="ADS63" s="12"/>
      <c r="ADT63" s="12"/>
      <c r="ADU63" s="12"/>
      <c r="ADV63" s="12"/>
      <c r="ADW63" s="12"/>
      <c r="ADX63" s="12"/>
      <c r="ADY63" s="12"/>
      <c r="ADZ63" s="12"/>
      <c r="AEA63" s="12"/>
      <c r="AEB63" s="12"/>
      <c r="AEC63" s="12"/>
      <c r="AED63" s="12"/>
      <c r="AEE63" s="12"/>
      <c r="AEF63" s="12"/>
      <c r="AEG63" s="12"/>
      <c r="AEH63" s="12"/>
      <c r="AEI63" s="12"/>
      <c r="AEJ63" s="12"/>
      <c r="AEK63" s="12"/>
      <c r="AEL63" s="12"/>
      <c r="AEM63" s="12"/>
      <c r="AEN63" s="12"/>
      <c r="AEO63" s="12"/>
      <c r="AEP63" s="12"/>
      <c r="AEQ63" s="12"/>
      <c r="AER63" s="12"/>
      <c r="AES63" s="12"/>
      <c r="AET63" s="12"/>
      <c r="AEU63" s="12"/>
      <c r="AEV63" s="12"/>
    </row>
    <row r="64" spans="1:828" s="27" customFormat="1" ht="18" x14ac:dyDescent="0.2">
      <c r="A64" s="62"/>
      <c r="D64" s="29"/>
      <c r="E64" s="23"/>
      <c r="F64" s="23"/>
      <c r="G64" s="23"/>
      <c r="H64" s="30"/>
      <c r="I64" s="23" t="s">
        <v>59</v>
      </c>
      <c r="J64" s="29">
        <v>866</v>
      </c>
      <c r="K64" s="30"/>
      <c r="L64" s="23"/>
      <c r="M64" s="29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  <c r="IY64" s="12"/>
      <c r="IZ64" s="12"/>
      <c r="JA64" s="12"/>
      <c r="JB64" s="12"/>
      <c r="JC64" s="12"/>
      <c r="JD64" s="12"/>
      <c r="JE64" s="12"/>
      <c r="JF64" s="12"/>
      <c r="JG64" s="12"/>
      <c r="JH64" s="12"/>
      <c r="JI64" s="12"/>
      <c r="JJ64" s="12"/>
      <c r="JK64" s="12"/>
      <c r="JL64" s="12"/>
      <c r="JM64" s="12"/>
      <c r="JN64" s="12"/>
      <c r="JO64" s="12"/>
      <c r="JP64" s="12"/>
      <c r="JQ64" s="12"/>
      <c r="JR64" s="12"/>
      <c r="JS64" s="12"/>
      <c r="JT64" s="12"/>
      <c r="JU64" s="12"/>
      <c r="JV64" s="12"/>
      <c r="JW64" s="12"/>
      <c r="JX64" s="12"/>
      <c r="JY64" s="12"/>
      <c r="JZ64" s="12"/>
      <c r="KA64" s="12"/>
      <c r="KB64" s="12"/>
      <c r="KC64" s="12"/>
      <c r="KD64" s="12"/>
      <c r="KE64" s="12"/>
      <c r="KF64" s="12"/>
      <c r="KG64" s="12"/>
      <c r="KH64" s="12"/>
      <c r="KI64" s="12"/>
      <c r="KJ64" s="12"/>
      <c r="KK64" s="12"/>
      <c r="KL64" s="12"/>
      <c r="KM64" s="12"/>
      <c r="KN64" s="12"/>
      <c r="KO64" s="12"/>
      <c r="KP64" s="12"/>
      <c r="KQ64" s="12"/>
      <c r="KR64" s="12"/>
      <c r="KS64" s="12"/>
      <c r="KT64" s="12"/>
      <c r="KU64" s="12"/>
      <c r="KV64" s="12"/>
      <c r="KW64" s="12"/>
      <c r="KX64" s="12"/>
      <c r="KY64" s="12"/>
      <c r="KZ64" s="12"/>
      <c r="LA64" s="12"/>
      <c r="LB64" s="12"/>
      <c r="LC64" s="12"/>
      <c r="LD64" s="12"/>
      <c r="LE64" s="12"/>
      <c r="LF64" s="12"/>
      <c r="LG64" s="12"/>
      <c r="LH64" s="12"/>
      <c r="LI64" s="12"/>
      <c r="LJ64" s="12"/>
      <c r="LK64" s="12"/>
      <c r="LL64" s="12"/>
      <c r="LM64" s="12"/>
      <c r="LN64" s="12"/>
      <c r="LO64" s="12"/>
      <c r="LP64" s="12"/>
      <c r="LQ64" s="12"/>
      <c r="LR64" s="12"/>
      <c r="LS64" s="12"/>
      <c r="LT64" s="12"/>
      <c r="LU64" s="12"/>
      <c r="LV64" s="12"/>
      <c r="LW64" s="12"/>
      <c r="LX64" s="12"/>
      <c r="LY64" s="12"/>
      <c r="LZ64" s="12"/>
      <c r="MA64" s="12"/>
      <c r="MB64" s="12"/>
      <c r="MC64" s="12"/>
      <c r="MD64" s="12"/>
      <c r="ME64" s="12"/>
      <c r="MF64" s="12"/>
      <c r="MG64" s="12"/>
      <c r="MH64" s="12"/>
      <c r="MI64" s="12"/>
      <c r="MJ64" s="12"/>
      <c r="MK64" s="12"/>
      <c r="ML64" s="12"/>
      <c r="MM64" s="12"/>
      <c r="MN64" s="12"/>
      <c r="MO64" s="12"/>
      <c r="MP64" s="12"/>
      <c r="MQ64" s="12"/>
      <c r="MR64" s="12"/>
      <c r="MS64" s="12"/>
      <c r="MT64" s="12"/>
      <c r="MU64" s="12"/>
      <c r="MV64" s="12"/>
      <c r="MW64" s="12"/>
      <c r="MX64" s="12"/>
      <c r="MY64" s="12"/>
      <c r="MZ64" s="12"/>
      <c r="NA64" s="12"/>
      <c r="NB64" s="12"/>
      <c r="NC64" s="12"/>
      <c r="ND64" s="12"/>
      <c r="NE64" s="12"/>
      <c r="NF64" s="12"/>
      <c r="NG64" s="12"/>
      <c r="NH64" s="12"/>
      <c r="NI64" s="12"/>
      <c r="NJ64" s="12"/>
      <c r="NK64" s="12"/>
      <c r="NL64" s="12"/>
      <c r="NM64" s="12"/>
      <c r="NN64" s="12"/>
      <c r="NO64" s="12"/>
      <c r="NP64" s="12"/>
      <c r="NQ64" s="12"/>
      <c r="NR64" s="12"/>
      <c r="NS64" s="12"/>
      <c r="NT64" s="12"/>
      <c r="NU64" s="12"/>
      <c r="NV64" s="12"/>
      <c r="NW64" s="12"/>
      <c r="NX64" s="12"/>
      <c r="NY64" s="12"/>
      <c r="NZ64" s="12"/>
      <c r="OA64" s="12"/>
      <c r="OB64" s="12"/>
      <c r="OC64" s="12"/>
      <c r="OD64" s="12"/>
      <c r="OE64" s="12"/>
      <c r="OF64" s="12"/>
      <c r="OG64" s="12"/>
      <c r="OH64" s="12"/>
      <c r="OI64" s="12"/>
      <c r="OJ64" s="12"/>
      <c r="OK64" s="12"/>
      <c r="OL64" s="12"/>
      <c r="OM64" s="12"/>
      <c r="ON64" s="12"/>
      <c r="OO64" s="12"/>
      <c r="OP64" s="12"/>
      <c r="OQ64" s="12"/>
      <c r="OR64" s="12"/>
      <c r="OS64" s="12"/>
      <c r="OT64" s="12"/>
      <c r="OU64" s="12"/>
      <c r="OV64" s="12"/>
      <c r="OW64" s="12"/>
      <c r="OX64" s="12"/>
      <c r="OY64" s="12"/>
      <c r="OZ64" s="12"/>
      <c r="PA64" s="12"/>
      <c r="PB64" s="12"/>
      <c r="PC64" s="12"/>
      <c r="PD64" s="12"/>
      <c r="PE64" s="12"/>
      <c r="PF64" s="12"/>
      <c r="PG64" s="12"/>
      <c r="PH64" s="12"/>
      <c r="PI64" s="12"/>
      <c r="PJ64" s="12"/>
      <c r="PK64" s="12"/>
      <c r="PL64" s="12"/>
      <c r="PM64" s="12"/>
      <c r="PN64" s="12"/>
      <c r="PO64" s="12"/>
      <c r="PP64" s="12"/>
      <c r="PQ64" s="12"/>
      <c r="PR64" s="12"/>
      <c r="PS64" s="12"/>
      <c r="PT64" s="12"/>
      <c r="PU64" s="12"/>
      <c r="PV64" s="12"/>
      <c r="PW64" s="12"/>
      <c r="PX64" s="12"/>
      <c r="PY64" s="12"/>
      <c r="PZ64" s="12"/>
      <c r="QA64" s="12"/>
      <c r="QB64" s="12"/>
      <c r="QC64" s="12"/>
      <c r="QD64" s="12"/>
      <c r="QE64" s="12"/>
      <c r="QF64" s="12"/>
      <c r="QG64" s="12"/>
      <c r="QH64" s="12"/>
      <c r="QI64" s="12"/>
      <c r="QJ64" s="12"/>
      <c r="QK64" s="12"/>
      <c r="QL64" s="12"/>
      <c r="QM64" s="12"/>
      <c r="QN64" s="12"/>
      <c r="QO64" s="12"/>
      <c r="QP64" s="12"/>
      <c r="QQ64" s="12"/>
      <c r="QR64" s="12"/>
      <c r="QS64" s="12"/>
      <c r="QT64" s="12"/>
      <c r="QU64" s="12"/>
      <c r="QV64" s="12"/>
      <c r="QW64" s="12"/>
      <c r="QX64" s="12"/>
      <c r="QY64" s="12"/>
      <c r="QZ64" s="12"/>
      <c r="RA64" s="12"/>
      <c r="RB64" s="12"/>
      <c r="RC64" s="12"/>
      <c r="RD64" s="12"/>
      <c r="RE64" s="12"/>
      <c r="RF64" s="12"/>
      <c r="RG64" s="12"/>
      <c r="RH64" s="12"/>
      <c r="RI64" s="12"/>
      <c r="RJ64" s="12"/>
      <c r="RK64" s="12"/>
      <c r="RL64" s="12"/>
      <c r="RM64" s="12"/>
      <c r="RN64" s="12"/>
      <c r="RO64" s="12"/>
      <c r="RP64" s="12"/>
      <c r="RQ64" s="12"/>
      <c r="RR64" s="12"/>
      <c r="RS64" s="12"/>
      <c r="RT64" s="12"/>
      <c r="RU64" s="12"/>
      <c r="RV64" s="12"/>
      <c r="RW64" s="12"/>
      <c r="RX64" s="12"/>
      <c r="RY64" s="12"/>
      <c r="RZ64" s="12"/>
      <c r="SA64" s="12"/>
      <c r="SB64" s="12"/>
      <c r="SC64" s="12"/>
      <c r="SD64" s="12"/>
      <c r="SE64" s="12"/>
      <c r="SF64" s="12"/>
      <c r="SG64" s="12"/>
      <c r="SH64" s="12"/>
      <c r="SI64" s="12"/>
      <c r="SJ64" s="12"/>
      <c r="SK64" s="12"/>
      <c r="SL64" s="12"/>
      <c r="SM64" s="12"/>
      <c r="SN64" s="12"/>
      <c r="SO64" s="12"/>
      <c r="SP64" s="12"/>
      <c r="SQ64" s="12"/>
      <c r="SR64" s="12"/>
      <c r="SS64" s="12"/>
      <c r="ST64" s="12"/>
      <c r="SU64" s="12"/>
      <c r="SV64" s="12"/>
      <c r="SW64" s="12"/>
      <c r="SX64" s="12"/>
      <c r="SY64" s="12"/>
      <c r="SZ64" s="12"/>
      <c r="TA64" s="12"/>
      <c r="TB64" s="12"/>
      <c r="TC64" s="12"/>
      <c r="TD64" s="12"/>
      <c r="TE64" s="12"/>
      <c r="TF64" s="12"/>
      <c r="TG64" s="12"/>
      <c r="TH64" s="12"/>
      <c r="TI64" s="12"/>
      <c r="TJ64" s="12"/>
      <c r="TK64" s="12"/>
      <c r="TL64" s="12"/>
      <c r="TM64" s="12"/>
      <c r="TN64" s="12"/>
      <c r="TO64" s="12"/>
      <c r="TP64" s="12"/>
      <c r="TQ64" s="12"/>
      <c r="TR64" s="12"/>
      <c r="TS64" s="12"/>
      <c r="TT64" s="12"/>
      <c r="TU64" s="12"/>
      <c r="TV64" s="12"/>
      <c r="TW64" s="12"/>
      <c r="TX64" s="12"/>
      <c r="TY64" s="12"/>
      <c r="TZ64" s="12"/>
      <c r="UA64" s="12"/>
      <c r="UB64" s="12"/>
      <c r="UC64" s="12"/>
      <c r="UD64" s="12"/>
      <c r="UE64" s="12"/>
      <c r="UF64" s="12"/>
      <c r="UG64" s="12"/>
      <c r="UH64" s="12"/>
      <c r="UI64" s="12"/>
      <c r="UJ64" s="12"/>
      <c r="UK64" s="12"/>
      <c r="UL64" s="12"/>
      <c r="UM64" s="12"/>
      <c r="UN64" s="12"/>
      <c r="UO64" s="12"/>
      <c r="UP64" s="12"/>
      <c r="UQ64" s="12"/>
      <c r="UR64" s="12"/>
      <c r="US64" s="12"/>
      <c r="UT64" s="12"/>
      <c r="UU64" s="12"/>
      <c r="UV64" s="12"/>
      <c r="UW64" s="12"/>
      <c r="UX64" s="12"/>
      <c r="UY64" s="12"/>
      <c r="UZ64" s="12"/>
      <c r="VA64" s="12"/>
      <c r="VB64" s="12"/>
      <c r="VC64" s="12"/>
      <c r="VD64" s="12"/>
      <c r="VE64" s="12"/>
      <c r="VF64" s="12"/>
      <c r="VG64" s="12"/>
      <c r="VH64" s="12"/>
      <c r="VI64" s="12"/>
      <c r="VJ64" s="12"/>
      <c r="VK64" s="12"/>
      <c r="VL64" s="12"/>
      <c r="VM64" s="12"/>
      <c r="VN64" s="12"/>
      <c r="VO64" s="12"/>
      <c r="VP64" s="12"/>
      <c r="VQ64" s="12"/>
      <c r="VR64" s="12"/>
      <c r="VS64" s="12"/>
      <c r="VT64" s="12"/>
      <c r="VU64" s="12"/>
      <c r="VV64" s="12"/>
      <c r="VW64" s="12"/>
      <c r="VX64" s="12"/>
      <c r="VY64" s="12"/>
      <c r="VZ64" s="12"/>
      <c r="WA64" s="12"/>
      <c r="WB64" s="12"/>
      <c r="WC64" s="12"/>
      <c r="WD64" s="12"/>
      <c r="WE64" s="12"/>
      <c r="WF64" s="12"/>
      <c r="WG64" s="12"/>
      <c r="WH64" s="12"/>
      <c r="WI64" s="12"/>
      <c r="WJ64" s="12"/>
      <c r="WK64" s="12"/>
      <c r="WL64" s="12"/>
      <c r="WM64" s="12"/>
      <c r="WN64" s="12"/>
      <c r="WO64" s="12"/>
      <c r="WP64" s="12"/>
      <c r="WQ64" s="12"/>
      <c r="WR64" s="12"/>
      <c r="WS64" s="12"/>
      <c r="WT64" s="12"/>
      <c r="WU64" s="12"/>
      <c r="WV64" s="12"/>
      <c r="WW64" s="12"/>
      <c r="WX64" s="12"/>
      <c r="WY64" s="12"/>
      <c r="WZ64" s="12"/>
      <c r="XA64" s="12"/>
      <c r="XB64" s="12"/>
      <c r="XC64" s="12"/>
      <c r="XD64" s="12"/>
      <c r="XE64" s="12"/>
      <c r="XF64" s="12"/>
      <c r="XG64" s="12"/>
      <c r="XH64" s="12"/>
      <c r="XI64" s="12"/>
      <c r="XJ64" s="12"/>
      <c r="XK64" s="12"/>
      <c r="XL64" s="12"/>
      <c r="XM64" s="12"/>
      <c r="XN64" s="12"/>
      <c r="XO64" s="12"/>
      <c r="XP64" s="12"/>
      <c r="XQ64" s="12"/>
      <c r="XR64" s="12"/>
      <c r="XS64" s="12"/>
      <c r="XT64" s="12"/>
      <c r="XU64" s="12"/>
      <c r="XV64" s="12"/>
      <c r="XW64" s="12"/>
      <c r="XX64" s="12"/>
      <c r="XY64" s="12"/>
      <c r="XZ64" s="12"/>
      <c r="YA64" s="12"/>
      <c r="YB64" s="12"/>
      <c r="YC64" s="12"/>
      <c r="YD64" s="12"/>
      <c r="YE64" s="12"/>
      <c r="YF64" s="12"/>
      <c r="YG64" s="12"/>
      <c r="YH64" s="12"/>
      <c r="YI64" s="12"/>
      <c r="YJ64" s="12"/>
      <c r="YK64" s="12"/>
      <c r="YL64" s="12"/>
      <c r="YM64" s="12"/>
      <c r="YN64" s="12"/>
      <c r="YO64" s="12"/>
      <c r="YP64" s="12"/>
      <c r="YQ64" s="12"/>
      <c r="YR64" s="12"/>
      <c r="YS64" s="12"/>
      <c r="YT64" s="12"/>
      <c r="YU64" s="12"/>
      <c r="YV64" s="12"/>
      <c r="YW64" s="12"/>
      <c r="YX64" s="12"/>
      <c r="YY64" s="12"/>
      <c r="YZ64" s="12"/>
      <c r="ZA64" s="12"/>
      <c r="ZB64" s="12"/>
      <c r="ZC64" s="12"/>
      <c r="ZD64" s="12"/>
      <c r="ZE64" s="12"/>
      <c r="ZF64" s="12"/>
      <c r="ZG64" s="12"/>
      <c r="ZH64" s="12"/>
      <c r="ZI64" s="12"/>
      <c r="ZJ64" s="12"/>
      <c r="ZK64" s="12"/>
      <c r="ZL64" s="12"/>
      <c r="ZM64" s="12"/>
      <c r="ZN64" s="12"/>
      <c r="ZO64" s="12"/>
      <c r="ZP64" s="12"/>
      <c r="ZQ64" s="12"/>
      <c r="ZR64" s="12"/>
      <c r="ZS64" s="12"/>
      <c r="ZT64" s="12"/>
      <c r="ZU64" s="12"/>
      <c r="ZV64" s="12"/>
      <c r="ZW64" s="12"/>
      <c r="ZX64" s="12"/>
      <c r="ZY64" s="12"/>
      <c r="ZZ64" s="12"/>
      <c r="AAA64" s="12"/>
      <c r="AAB64" s="12"/>
      <c r="AAC64" s="12"/>
      <c r="AAD64" s="12"/>
      <c r="AAE64" s="12"/>
      <c r="AAF64" s="12"/>
      <c r="AAG64" s="12"/>
      <c r="AAH64" s="12"/>
      <c r="AAI64" s="12"/>
      <c r="AAJ64" s="12"/>
      <c r="AAK64" s="12"/>
      <c r="AAL64" s="12"/>
      <c r="AAM64" s="12"/>
      <c r="AAN64" s="12"/>
      <c r="AAO64" s="12"/>
      <c r="AAP64" s="12"/>
      <c r="AAQ64" s="12"/>
      <c r="AAR64" s="12"/>
      <c r="AAS64" s="12"/>
      <c r="AAT64" s="12"/>
      <c r="AAU64" s="12"/>
      <c r="AAV64" s="12"/>
      <c r="AAW64" s="12"/>
      <c r="AAX64" s="12"/>
      <c r="AAY64" s="12"/>
      <c r="AAZ64" s="12"/>
      <c r="ABA64" s="12"/>
      <c r="ABB64" s="12"/>
      <c r="ABC64" s="12"/>
      <c r="ABD64" s="12"/>
      <c r="ABE64" s="12"/>
      <c r="ABF64" s="12"/>
      <c r="ABG64" s="12"/>
      <c r="ABH64" s="12"/>
      <c r="ABI64" s="12"/>
      <c r="ABJ64" s="12"/>
      <c r="ABK64" s="12"/>
      <c r="ABL64" s="12"/>
      <c r="ABM64" s="12"/>
      <c r="ABN64" s="12"/>
      <c r="ABO64" s="12"/>
      <c r="ABP64" s="12"/>
      <c r="ABQ64" s="12"/>
      <c r="ABR64" s="12"/>
      <c r="ABS64" s="12"/>
      <c r="ABT64" s="12"/>
      <c r="ABU64" s="12"/>
      <c r="ABV64" s="12"/>
      <c r="ABW64" s="12"/>
      <c r="ABX64" s="12"/>
      <c r="ABY64" s="12"/>
      <c r="ABZ64" s="12"/>
      <c r="ACA64" s="12"/>
      <c r="ACB64" s="12"/>
      <c r="ACC64" s="12"/>
      <c r="ACD64" s="12"/>
      <c r="ACE64" s="12"/>
      <c r="ACF64" s="12"/>
      <c r="ACG64" s="12"/>
      <c r="ACH64" s="12"/>
      <c r="ACI64" s="12"/>
      <c r="ACJ64" s="12"/>
      <c r="ACK64" s="12"/>
      <c r="ACL64" s="12"/>
      <c r="ACM64" s="12"/>
      <c r="ACN64" s="12"/>
      <c r="ACO64" s="12"/>
      <c r="ACP64" s="12"/>
      <c r="ACQ64" s="12"/>
      <c r="ACR64" s="12"/>
      <c r="ACS64" s="12"/>
      <c r="ACT64" s="12"/>
      <c r="ACU64" s="12"/>
      <c r="ACV64" s="12"/>
      <c r="ACW64" s="12"/>
      <c r="ACX64" s="12"/>
      <c r="ACY64" s="12"/>
      <c r="ACZ64" s="12"/>
      <c r="ADA64" s="12"/>
      <c r="ADB64" s="12"/>
      <c r="ADC64" s="12"/>
      <c r="ADD64" s="12"/>
      <c r="ADE64" s="12"/>
      <c r="ADF64" s="12"/>
      <c r="ADG64" s="12"/>
      <c r="ADH64" s="12"/>
      <c r="ADI64" s="12"/>
      <c r="ADJ64" s="12"/>
      <c r="ADK64" s="12"/>
      <c r="ADL64" s="12"/>
      <c r="ADM64" s="12"/>
      <c r="ADN64" s="12"/>
      <c r="ADO64" s="12"/>
      <c r="ADP64" s="12"/>
      <c r="ADQ64" s="12"/>
      <c r="ADR64" s="12"/>
      <c r="ADS64" s="12"/>
      <c r="ADT64" s="12"/>
      <c r="ADU64" s="12"/>
      <c r="ADV64" s="12"/>
      <c r="ADW64" s="12"/>
      <c r="ADX64" s="12"/>
      <c r="ADY64" s="12"/>
      <c r="ADZ64" s="12"/>
      <c r="AEA64" s="12"/>
      <c r="AEB64" s="12"/>
      <c r="AEC64" s="12"/>
      <c r="AED64" s="12"/>
      <c r="AEE64" s="12"/>
      <c r="AEF64" s="12"/>
      <c r="AEG64" s="12"/>
      <c r="AEH64" s="12"/>
      <c r="AEI64" s="12"/>
      <c r="AEJ64" s="12"/>
      <c r="AEK64" s="12"/>
      <c r="AEL64" s="12"/>
      <c r="AEM64" s="12"/>
      <c r="AEN64" s="12"/>
      <c r="AEO64" s="12"/>
      <c r="AEP64" s="12"/>
      <c r="AEQ64" s="12"/>
      <c r="AER64" s="12"/>
      <c r="AES64" s="12"/>
      <c r="AET64" s="12"/>
      <c r="AEU64" s="12"/>
      <c r="AEV64" s="12"/>
    </row>
    <row r="65" spans="1:828" s="66" customFormat="1" ht="19" thickBot="1" x14ac:dyDescent="0.25">
      <c r="A65" s="63"/>
      <c r="B65" s="27"/>
      <c r="D65" s="65"/>
      <c r="E65" s="64"/>
      <c r="F65" s="64"/>
      <c r="G65" s="64"/>
      <c r="H65" s="67"/>
      <c r="I65" s="64"/>
      <c r="J65" s="65"/>
      <c r="K65" s="67"/>
      <c r="L65" s="64"/>
      <c r="M65" s="65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  <c r="IY65" s="12"/>
      <c r="IZ65" s="12"/>
      <c r="JA65" s="12"/>
      <c r="JB65" s="12"/>
      <c r="JC65" s="12"/>
      <c r="JD65" s="12"/>
      <c r="JE65" s="12"/>
      <c r="JF65" s="12"/>
      <c r="JG65" s="12"/>
      <c r="JH65" s="12"/>
      <c r="JI65" s="12"/>
      <c r="JJ65" s="12"/>
      <c r="JK65" s="12"/>
      <c r="JL65" s="12"/>
      <c r="JM65" s="12"/>
      <c r="JN65" s="12"/>
      <c r="JO65" s="12"/>
      <c r="JP65" s="12"/>
      <c r="JQ65" s="12"/>
      <c r="JR65" s="12"/>
      <c r="JS65" s="12"/>
      <c r="JT65" s="12"/>
      <c r="JU65" s="12"/>
      <c r="JV65" s="12"/>
      <c r="JW65" s="12"/>
      <c r="JX65" s="12"/>
      <c r="JY65" s="12"/>
      <c r="JZ65" s="12"/>
      <c r="KA65" s="12"/>
      <c r="KB65" s="12"/>
      <c r="KC65" s="12"/>
      <c r="KD65" s="12"/>
      <c r="KE65" s="12"/>
      <c r="KF65" s="12"/>
      <c r="KG65" s="12"/>
      <c r="KH65" s="12"/>
      <c r="KI65" s="12"/>
      <c r="KJ65" s="12"/>
      <c r="KK65" s="12"/>
      <c r="KL65" s="12"/>
      <c r="KM65" s="12"/>
      <c r="KN65" s="12"/>
      <c r="KO65" s="12"/>
      <c r="KP65" s="12"/>
      <c r="KQ65" s="12"/>
      <c r="KR65" s="12"/>
      <c r="KS65" s="12"/>
      <c r="KT65" s="12"/>
      <c r="KU65" s="12"/>
      <c r="KV65" s="12"/>
      <c r="KW65" s="12"/>
      <c r="KX65" s="12"/>
      <c r="KY65" s="12"/>
      <c r="KZ65" s="12"/>
      <c r="LA65" s="12"/>
      <c r="LB65" s="12"/>
      <c r="LC65" s="12"/>
      <c r="LD65" s="12"/>
      <c r="LE65" s="12"/>
      <c r="LF65" s="12"/>
      <c r="LG65" s="12"/>
      <c r="LH65" s="12"/>
      <c r="LI65" s="12"/>
      <c r="LJ65" s="12"/>
      <c r="LK65" s="12"/>
      <c r="LL65" s="12"/>
      <c r="LM65" s="12"/>
      <c r="LN65" s="12"/>
      <c r="LO65" s="12"/>
      <c r="LP65" s="12"/>
      <c r="LQ65" s="12"/>
      <c r="LR65" s="12"/>
      <c r="LS65" s="12"/>
      <c r="LT65" s="12"/>
      <c r="LU65" s="12"/>
      <c r="LV65" s="12"/>
      <c r="LW65" s="12"/>
      <c r="LX65" s="12"/>
      <c r="LY65" s="12"/>
      <c r="LZ65" s="12"/>
      <c r="MA65" s="12"/>
      <c r="MB65" s="12"/>
      <c r="MC65" s="12"/>
      <c r="MD65" s="12"/>
      <c r="ME65" s="12"/>
      <c r="MF65" s="12"/>
      <c r="MG65" s="12"/>
      <c r="MH65" s="12"/>
      <c r="MI65" s="12"/>
      <c r="MJ65" s="12"/>
      <c r="MK65" s="12"/>
      <c r="ML65" s="12"/>
      <c r="MM65" s="12"/>
      <c r="MN65" s="12"/>
      <c r="MO65" s="12"/>
      <c r="MP65" s="12"/>
      <c r="MQ65" s="12"/>
      <c r="MR65" s="12"/>
      <c r="MS65" s="12"/>
      <c r="MT65" s="12"/>
      <c r="MU65" s="12"/>
      <c r="MV65" s="12"/>
      <c r="MW65" s="12"/>
      <c r="MX65" s="12"/>
      <c r="MY65" s="12"/>
      <c r="MZ65" s="12"/>
      <c r="NA65" s="12"/>
      <c r="NB65" s="12"/>
      <c r="NC65" s="12"/>
      <c r="ND65" s="12"/>
      <c r="NE65" s="12"/>
      <c r="NF65" s="12"/>
      <c r="NG65" s="12"/>
      <c r="NH65" s="12"/>
      <c r="NI65" s="12"/>
      <c r="NJ65" s="12"/>
      <c r="NK65" s="12"/>
      <c r="NL65" s="12"/>
      <c r="NM65" s="12"/>
      <c r="NN65" s="12"/>
      <c r="NO65" s="12"/>
      <c r="NP65" s="12"/>
      <c r="NQ65" s="12"/>
      <c r="NR65" s="12"/>
      <c r="NS65" s="12"/>
      <c r="NT65" s="12"/>
      <c r="NU65" s="12"/>
      <c r="NV65" s="12"/>
      <c r="NW65" s="12"/>
      <c r="NX65" s="12"/>
      <c r="NY65" s="12"/>
      <c r="NZ65" s="12"/>
      <c r="OA65" s="12"/>
      <c r="OB65" s="12"/>
      <c r="OC65" s="12"/>
      <c r="OD65" s="12"/>
      <c r="OE65" s="12"/>
      <c r="OF65" s="12"/>
      <c r="OG65" s="12"/>
      <c r="OH65" s="12"/>
      <c r="OI65" s="12"/>
      <c r="OJ65" s="12"/>
      <c r="OK65" s="12"/>
      <c r="OL65" s="12"/>
      <c r="OM65" s="12"/>
      <c r="ON65" s="12"/>
      <c r="OO65" s="12"/>
      <c r="OP65" s="12"/>
      <c r="OQ65" s="12"/>
      <c r="OR65" s="12"/>
      <c r="OS65" s="12"/>
      <c r="OT65" s="12"/>
      <c r="OU65" s="12"/>
      <c r="OV65" s="12"/>
      <c r="OW65" s="12"/>
      <c r="OX65" s="12"/>
      <c r="OY65" s="12"/>
      <c r="OZ65" s="12"/>
      <c r="PA65" s="12"/>
      <c r="PB65" s="12"/>
      <c r="PC65" s="12"/>
      <c r="PD65" s="12"/>
      <c r="PE65" s="12"/>
      <c r="PF65" s="12"/>
      <c r="PG65" s="12"/>
      <c r="PH65" s="12"/>
      <c r="PI65" s="12"/>
      <c r="PJ65" s="12"/>
      <c r="PK65" s="12"/>
      <c r="PL65" s="12"/>
      <c r="PM65" s="12"/>
      <c r="PN65" s="12"/>
      <c r="PO65" s="12"/>
      <c r="PP65" s="12"/>
      <c r="PQ65" s="12"/>
      <c r="PR65" s="12"/>
      <c r="PS65" s="12"/>
      <c r="PT65" s="12"/>
      <c r="PU65" s="12"/>
      <c r="PV65" s="12"/>
      <c r="PW65" s="12"/>
      <c r="PX65" s="12"/>
      <c r="PY65" s="12"/>
      <c r="PZ65" s="12"/>
      <c r="QA65" s="12"/>
      <c r="QB65" s="12"/>
      <c r="QC65" s="12"/>
      <c r="QD65" s="12"/>
      <c r="QE65" s="12"/>
      <c r="QF65" s="12"/>
      <c r="QG65" s="12"/>
      <c r="QH65" s="12"/>
      <c r="QI65" s="12"/>
      <c r="QJ65" s="12"/>
      <c r="QK65" s="12"/>
      <c r="QL65" s="12"/>
      <c r="QM65" s="12"/>
      <c r="QN65" s="12"/>
      <c r="QO65" s="12"/>
      <c r="QP65" s="12"/>
      <c r="QQ65" s="12"/>
      <c r="QR65" s="12"/>
      <c r="QS65" s="12"/>
      <c r="QT65" s="12"/>
      <c r="QU65" s="12"/>
      <c r="QV65" s="12"/>
      <c r="QW65" s="12"/>
      <c r="QX65" s="12"/>
      <c r="QY65" s="12"/>
      <c r="QZ65" s="12"/>
      <c r="RA65" s="12"/>
      <c r="RB65" s="12"/>
      <c r="RC65" s="12"/>
      <c r="RD65" s="12"/>
      <c r="RE65" s="12"/>
      <c r="RF65" s="12"/>
      <c r="RG65" s="12"/>
      <c r="RH65" s="12"/>
      <c r="RI65" s="12"/>
      <c r="RJ65" s="12"/>
      <c r="RK65" s="12"/>
      <c r="RL65" s="12"/>
      <c r="RM65" s="12"/>
      <c r="RN65" s="12"/>
      <c r="RO65" s="12"/>
      <c r="RP65" s="12"/>
      <c r="RQ65" s="12"/>
      <c r="RR65" s="12"/>
      <c r="RS65" s="12"/>
      <c r="RT65" s="12"/>
      <c r="RU65" s="12"/>
      <c r="RV65" s="12"/>
      <c r="RW65" s="12"/>
      <c r="RX65" s="12"/>
      <c r="RY65" s="12"/>
      <c r="RZ65" s="12"/>
      <c r="SA65" s="12"/>
      <c r="SB65" s="12"/>
      <c r="SC65" s="12"/>
      <c r="SD65" s="12"/>
      <c r="SE65" s="12"/>
      <c r="SF65" s="12"/>
      <c r="SG65" s="12"/>
      <c r="SH65" s="12"/>
      <c r="SI65" s="12"/>
      <c r="SJ65" s="12"/>
      <c r="SK65" s="12"/>
      <c r="SL65" s="12"/>
      <c r="SM65" s="12"/>
      <c r="SN65" s="12"/>
      <c r="SO65" s="12"/>
      <c r="SP65" s="12"/>
      <c r="SQ65" s="12"/>
      <c r="SR65" s="12"/>
      <c r="SS65" s="12"/>
      <c r="ST65" s="12"/>
      <c r="SU65" s="12"/>
      <c r="SV65" s="12"/>
      <c r="SW65" s="12"/>
      <c r="SX65" s="12"/>
      <c r="SY65" s="12"/>
      <c r="SZ65" s="12"/>
      <c r="TA65" s="12"/>
      <c r="TB65" s="12"/>
      <c r="TC65" s="12"/>
      <c r="TD65" s="12"/>
      <c r="TE65" s="12"/>
      <c r="TF65" s="12"/>
      <c r="TG65" s="12"/>
      <c r="TH65" s="12"/>
      <c r="TI65" s="12"/>
      <c r="TJ65" s="12"/>
      <c r="TK65" s="12"/>
      <c r="TL65" s="12"/>
      <c r="TM65" s="12"/>
      <c r="TN65" s="12"/>
      <c r="TO65" s="12"/>
      <c r="TP65" s="12"/>
      <c r="TQ65" s="12"/>
      <c r="TR65" s="12"/>
      <c r="TS65" s="12"/>
      <c r="TT65" s="12"/>
      <c r="TU65" s="12"/>
      <c r="TV65" s="12"/>
      <c r="TW65" s="12"/>
      <c r="TX65" s="12"/>
      <c r="TY65" s="12"/>
      <c r="TZ65" s="12"/>
      <c r="UA65" s="12"/>
      <c r="UB65" s="12"/>
      <c r="UC65" s="12"/>
      <c r="UD65" s="12"/>
      <c r="UE65" s="12"/>
      <c r="UF65" s="12"/>
      <c r="UG65" s="12"/>
      <c r="UH65" s="12"/>
      <c r="UI65" s="12"/>
      <c r="UJ65" s="12"/>
      <c r="UK65" s="12"/>
      <c r="UL65" s="12"/>
      <c r="UM65" s="12"/>
      <c r="UN65" s="12"/>
      <c r="UO65" s="12"/>
      <c r="UP65" s="12"/>
      <c r="UQ65" s="12"/>
      <c r="UR65" s="12"/>
      <c r="US65" s="12"/>
      <c r="UT65" s="12"/>
      <c r="UU65" s="12"/>
      <c r="UV65" s="12"/>
      <c r="UW65" s="12"/>
      <c r="UX65" s="12"/>
      <c r="UY65" s="12"/>
      <c r="UZ65" s="12"/>
      <c r="VA65" s="12"/>
      <c r="VB65" s="12"/>
      <c r="VC65" s="12"/>
      <c r="VD65" s="12"/>
      <c r="VE65" s="12"/>
      <c r="VF65" s="12"/>
      <c r="VG65" s="12"/>
      <c r="VH65" s="12"/>
      <c r="VI65" s="12"/>
      <c r="VJ65" s="12"/>
      <c r="VK65" s="12"/>
      <c r="VL65" s="12"/>
      <c r="VM65" s="12"/>
      <c r="VN65" s="12"/>
      <c r="VO65" s="12"/>
      <c r="VP65" s="12"/>
      <c r="VQ65" s="12"/>
      <c r="VR65" s="12"/>
      <c r="VS65" s="12"/>
      <c r="VT65" s="12"/>
      <c r="VU65" s="12"/>
      <c r="VV65" s="12"/>
      <c r="VW65" s="12"/>
      <c r="VX65" s="12"/>
      <c r="VY65" s="12"/>
      <c r="VZ65" s="12"/>
      <c r="WA65" s="12"/>
      <c r="WB65" s="12"/>
      <c r="WC65" s="12"/>
      <c r="WD65" s="12"/>
      <c r="WE65" s="12"/>
      <c r="WF65" s="12"/>
      <c r="WG65" s="12"/>
      <c r="WH65" s="12"/>
      <c r="WI65" s="12"/>
      <c r="WJ65" s="12"/>
      <c r="WK65" s="12"/>
      <c r="WL65" s="12"/>
      <c r="WM65" s="12"/>
      <c r="WN65" s="12"/>
      <c r="WO65" s="12"/>
      <c r="WP65" s="12"/>
      <c r="WQ65" s="12"/>
      <c r="WR65" s="12"/>
      <c r="WS65" s="12"/>
      <c r="WT65" s="12"/>
      <c r="WU65" s="12"/>
      <c r="WV65" s="12"/>
      <c r="WW65" s="12"/>
      <c r="WX65" s="12"/>
      <c r="WY65" s="12"/>
      <c r="WZ65" s="12"/>
      <c r="XA65" s="12"/>
      <c r="XB65" s="12"/>
      <c r="XC65" s="12"/>
      <c r="XD65" s="12"/>
      <c r="XE65" s="12"/>
      <c r="XF65" s="12"/>
      <c r="XG65" s="12"/>
      <c r="XH65" s="12"/>
      <c r="XI65" s="12"/>
      <c r="XJ65" s="12"/>
      <c r="XK65" s="12"/>
      <c r="XL65" s="12"/>
      <c r="XM65" s="12"/>
      <c r="XN65" s="12"/>
      <c r="XO65" s="12"/>
      <c r="XP65" s="12"/>
      <c r="XQ65" s="12"/>
      <c r="XR65" s="12"/>
      <c r="XS65" s="12"/>
      <c r="XT65" s="12"/>
      <c r="XU65" s="12"/>
      <c r="XV65" s="12"/>
      <c r="XW65" s="12"/>
      <c r="XX65" s="12"/>
      <c r="XY65" s="12"/>
      <c r="XZ65" s="12"/>
      <c r="YA65" s="12"/>
      <c r="YB65" s="12"/>
      <c r="YC65" s="12"/>
      <c r="YD65" s="12"/>
      <c r="YE65" s="12"/>
      <c r="YF65" s="12"/>
      <c r="YG65" s="12"/>
      <c r="YH65" s="12"/>
      <c r="YI65" s="12"/>
      <c r="YJ65" s="12"/>
      <c r="YK65" s="12"/>
      <c r="YL65" s="12"/>
      <c r="YM65" s="12"/>
      <c r="YN65" s="12"/>
      <c r="YO65" s="12"/>
      <c r="YP65" s="12"/>
      <c r="YQ65" s="12"/>
      <c r="YR65" s="12"/>
      <c r="YS65" s="12"/>
      <c r="YT65" s="12"/>
      <c r="YU65" s="12"/>
      <c r="YV65" s="12"/>
      <c r="YW65" s="12"/>
      <c r="YX65" s="12"/>
      <c r="YY65" s="12"/>
      <c r="YZ65" s="12"/>
      <c r="ZA65" s="12"/>
      <c r="ZB65" s="12"/>
      <c r="ZC65" s="12"/>
      <c r="ZD65" s="12"/>
      <c r="ZE65" s="12"/>
      <c r="ZF65" s="12"/>
      <c r="ZG65" s="12"/>
      <c r="ZH65" s="12"/>
      <c r="ZI65" s="12"/>
      <c r="ZJ65" s="12"/>
      <c r="ZK65" s="12"/>
      <c r="ZL65" s="12"/>
      <c r="ZM65" s="12"/>
      <c r="ZN65" s="12"/>
      <c r="ZO65" s="12"/>
      <c r="ZP65" s="12"/>
      <c r="ZQ65" s="12"/>
      <c r="ZR65" s="12"/>
      <c r="ZS65" s="12"/>
      <c r="ZT65" s="12"/>
      <c r="ZU65" s="12"/>
      <c r="ZV65" s="12"/>
      <c r="ZW65" s="12"/>
      <c r="ZX65" s="12"/>
      <c r="ZY65" s="12"/>
      <c r="ZZ65" s="12"/>
      <c r="AAA65" s="12"/>
      <c r="AAB65" s="12"/>
      <c r="AAC65" s="12"/>
      <c r="AAD65" s="12"/>
      <c r="AAE65" s="12"/>
      <c r="AAF65" s="12"/>
      <c r="AAG65" s="12"/>
      <c r="AAH65" s="12"/>
      <c r="AAI65" s="12"/>
      <c r="AAJ65" s="12"/>
      <c r="AAK65" s="12"/>
      <c r="AAL65" s="12"/>
      <c r="AAM65" s="12"/>
      <c r="AAN65" s="12"/>
      <c r="AAO65" s="12"/>
      <c r="AAP65" s="12"/>
      <c r="AAQ65" s="12"/>
      <c r="AAR65" s="12"/>
      <c r="AAS65" s="12"/>
      <c r="AAT65" s="12"/>
      <c r="AAU65" s="12"/>
      <c r="AAV65" s="12"/>
      <c r="AAW65" s="12"/>
      <c r="AAX65" s="12"/>
      <c r="AAY65" s="12"/>
      <c r="AAZ65" s="12"/>
      <c r="ABA65" s="12"/>
      <c r="ABB65" s="12"/>
      <c r="ABC65" s="12"/>
      <c r="ABD65" s="12"/>
      <c r="ABE65" s="12"/>
      <c r="ABF65" s="12"/>
      <c r="ABG65" s="12"/>
      <c r="ABH65" s="12"/>
      <c r="ABI65" s="12"/>
      <c r="ABJ65" s="12"/>
      <c r="ABK65" s="12"/>
      <c r="ABL65" s="12"/>
      <c r="ABM65" s="12"/>
      <c r="ABN65" s="12"/>
      <c r="ABO65" s="12"/>
      <c r="ABP65" s="12"/>
      <c r="ABQ65" s="12"/>
      <c r="ABR65" s="12"/>
      <c r="ABS65" s="12"/>
      <c r="ABT65" s="12"/>
      <c r="ABU65" s="12"/>
      <c r="ABV65" s="12"/>
      <c r="ABW65" s="12"/>
      <c r="ABX65" s="12"/>
      <c r="ABY65" s="12"/>
      <c r="ABZ65" s="12"/>
      <c r="ACA65" s="12"/>
      <c r="ACB65" s="12"/>
      <c r="ACC65" s="12"/>
      <c r="ACD65" s="12"/>
      <c r="ACE65" s="12"/>
      <c r="ACF65" s="12"/>
      <c r="ACG65" s="12"/>
      <c r="ACH65" s="12"/>
      <c r="ACI65" s="12"/>
      <c r="ACJ65" s="12"/>
      <c r="ACK65" s="12"/>
      <c r="ACL65" s="12"/>
      <c r="ACM65" s="12"/>
      <c r="ACN65" s="12"/>
      <c r="ACO65" s="12"/>
      <c r="ACP65" s="12"/>
      <c r="ACQ65" s="12"/>
      <c r="ACR65" s="12"/>
      <c r="ACS65" s="12"/>
      <c r="ACT65" s="12"/>
      <c r="ACU65" s="12"/>
      <c r="ACV65" s="12"/>
      <c r="ACW65" s="12"/>
      <c r="ACX65" s="12"/>
      <c r="ACY65" s="12"/>
      <c r="ACZ65" s="12"/>
      <c r="ADA65" s="12"/>
      <c r="ADB65" s="12"/>
      <c r="ADC65" s="12"/>
      <c r="ADD65" s="12"/>
      <c r="ADE65" s="12"/>
      <c r="ADF65" s="12"/>
      <c r="ADG65" s="12"/>
      <c r="ADH65" s="12"/>
      <c r="ADI65" s="12"/>
      <c r="ADJ65" s="12"/>
      <c r="ADK65" s="12"/>
      <c r="ADL65" s="12"/>
      <c r="ADM65" s="12"/>
      <c r="ADN65" s="12"/>
      <c r="ADO65" s="12"/>
      <c r="ADP65" s="12"/>
      <c r="ADQ65" s="12"/>
      <c r="ADR65" s="12"/>
      <c r="ADS65" s="12"/>
      <c r="ADT65" s="12"/>
      <c r="ADU65" s="12"/>
      <c r="ADV65" s="12"/>
      <c r="ADW65" s="12"/>
      <c r="ADX65" s="12"/>
      <c r="ADY65" s="12"/>
      <c r="ADZ65" s="12"/>
      <c r="AEA65" s="12"/>
      <c r="AEB65" s="12"/>
      <c r="AEC65" s="12"/>
      <c r="AED65" s="12"/>
      <c r="AEE65" s="12"/>
      <c r="AEF65" s="12"/>
      <c r="AEG65" s="12"/>
      <c r="AEH65" s="12"/>
      <c r="AEI65" s="12"/>
      <c r="AEJ65" s="12"/>
      <c r="AEK65" s="12"/>
      <c r="AEL65" s="12"/>
      <c r="AEM65" s="12"/>
      <c r="AEN65" s="12"/>
      <c r="AEO65" s="12"/>
      <c r="AEP65" s="12"/>
      <c r="AEQ65" s="12"/>
      <c r="AER65" s="12"/>
      <c r="AES65" s="12"/>
      <c r="AET65" s="12"/>
      <c r="AEU65" s="12"/>
      <c r="AEV65" s="12"/>
    </row>
    <row r="66" spans="1:828" s="27" customFormat="1" ht="19" x14ac:dyDescent="0.2">
      <c r="A66" s="28" t="s">
        <v>60</v>
      </c>
      <c r="B66" s="26">
        <f t="shared" si="0"/>
        <v>8.9875564038655754E-3</v>
      </c>
      <c r="C66" s="23" t="s">
        <v>61</v>
      </c>
      <c r="D66" s="29">
        <f>961+9</f>
        <v>970</v>
      </c>
      <c r="E66" s="37">
        <f>G66/D74</f>
        <v>5.1886923568708479E-4</v>
      </c>
      <c r="F66" s="23" t="s">
        <v>62</v>
      </c>
      <c r="G66" s="29">
        <v>56</v>
      </c>
      <c r="H66" s="50">
        <f>SUM(J66:J67)/J74</f>
        <v>1.8060149804189954E-3</v>
      </c>
      <c r="I66" s="23" t="s">
        <v>63</v>
      </c>
      <c r="J66" s="29">
        <v>140</v>
      </c>
      <c r="K66" s="50">
        <f>M66/J74</f>
        <v>7.0339530816318767E-4</v>
      </c>
      <c r="L66" s="23" t="s">
        <v>64</v>
      </c>
      <c r="M66" s="29">
        <v>74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  <c r="IY66" s="12"/>
      <c r="IZ66" s="12"/>
      <c r="JA66" s="12"/>
      <c r="JB66" s="12"/>
      <c r="JC66" s="12"/>
      <c r="JD66" s="12"/>
      <c r="JE66" s="12"/>
      <c r="JF66" s="12"/>
      <c r="JG66" s="12"/>
      <c r="JH66" s="12"/>
      <c r="JI66" s="12"/>
      <c r="JJ66" s="12"/>
      <c r="JK66" s="12"/>
      <c r="JL66" s="12"/>
      <c r="JM66" s="12"/>
      <c r="JN66" s="12"/>
      <c r="JO66" s="12"/>
      <c r="JP66" s="12"/>
      <c r="JQ66" s="12"/>
      <c r="JR66" s="12"/>
      <c r="JS66" s="12"/>
      <c r="JT66" s="12"/>
      <c r="JU66" s="12"/>
      <c r="JV66" s="12"/>
      <c r="JW66" s="12"/>
      <c r="JX66" s="12"/>
      <c r="JY66" s="12"/>
      <c r="JZ66" s="12"/>
      <c r="KA66" s="12"/>
      <c r="KB66" s="12"/>
      <c r="KC66" s="12"/>
      <c r="KD66" s="12"/>
      <c r="KE66" s="12"/>
      <c r="KF66" s="12"/>
      <c r="KG66" s="12"/>
      <c r="KH66" s="12"/>
      <c r="KI66" s="12"/>
      <c r="KJ66" s="12"/>
      <c r="KK66" s="12"/>
      <c r="KL66" s="12"/>
      <c r="KM66" s="12"/>
      <c r="KN66" s="12"/>
      <c r="KO66" s="12"/>
      <c r="KP66" s="12"/>
      <c r="KQ66" s="12"/>
      <c r="KR66" s="12"/>
      <c r="KS66" s="12"/>
      <c r="KT66" s="12"/>
      <c r="KU66" s="12"/>
      <c r="KV66" s="12"/>
      <c r="KW66" s="12"/>
      <c r="KX66" s="12"/>
      <c r="KY66" s="12"/>
      <c r="KZ66" s="12"/>
      <c r="LA66" s="12"/>
      <c r="LB66" s="12"/>
      <c r="LC66" s="12"/>
      <c r="LD66" s="12"/>
      <c r="LE66" s="12"/>
      <c r="LF66" s="12"/>
      <c r="LG66" s="12"/>
      <c r="LH66" s="12"/>
      <c r="LI66" s="12"/>
      <c r="LJ66" s="12"/>
      <c r="LK66" s="12"/>
      <c r="LL66" s="12"/>
      <c r="LM66" s="12"/>
      <c r="LN66" s="12"/>
      <c r="LO66" s="12"/>
      <c r="LP66" s="12"/>
      <c r="LQ66" s="12"/>
      <c r="LR66" s="12"/>
      <c r="LS66" s="12"/>
      <c r="LT66" s="12"/>
      <c r="LU66" s="12"/>
      <c r="LV66" s="12"/>
      <c r="LW66" s="12"/>
      <c r="LX66" s="12"/>
      <c r="LY66" s="12"/>
      <c r="LZ66" s="12"/>
      <c r="MA66" s="12"/>
      <c r="MB66" s="12"/>
      <c r="MC66" s="12"/>
      <c r="MD66" s="12"/>
      <c r="ME66" s="12"/>
      <c r="MF66" s="12"/>
      <c r="MG66" s="12"/>
      <c r="MH66" s="12"/>
      <c r="MI66" s="12"/>
      <c r="MJ66" s="12"/>
      <c r="MK66" s="12"/>
      <c r="ML66" s="12"/>
      <c r="MM66" s="12"/>
      <c r="MN66" s="12"/>
      <c r="MO66" s="12"/>
      <c r="MP66" s="12"/>
      <c r="MQ66" s="12"/>
      <c r="MR66" s="12"/>
      <c r="MS66" s="12"/>
      <c r="MT66" s="12"/>
      <c r="MU66" s="12"/>
      <c r="MV66" s="12"/>
      <c r="MW66" s="12"/>
      <c r="MX66" s="12"/>
      <c r="MY66" s="12"/>
      <c r="MZ66" s="12"/>
      <c r="NA66" s="12"/>
      <c r="NB66" s="12"/>
      <c r="NC66" s="12"/>
      <c r="ND66" s="12"/>
      <c r="NE66" s="12"/>
      <c r="NF66" s="12"/>
      <c r="NG66" s="12"/>
      <c r="NH66" s="12"/>
      <c r="NI66" s="12"/>
      <c r="NJ66" s="12"/>
      <c r="NK66" s="12"/>
      <c r="NL66" s="12"/>
      <c r="NM66" s="12"/>
      <c r="NN66" s="12"/>
      <c r="NO66" s="12"/>
      <c r="NP66" s="12"/>
      <c r="NQ66" s="12"/>
      <c r="NR66" s="12"/>
      <c r="NS66" s="12"/>
      <c r="NT66" s="12"/>
      <c r="NU66" s="12"/>
      <c r="NV66" s="12"/>
      <c r="NW66" s="12"/>
      <c r="NX66" s="12"/>
      <c r="NY66" s="12"/>
      <c r="NZ66" s="12"/>
      <c r="OA66" s="12"/>
      <c r="OB66" s="12"/>
      <c r="OC66" s="12"/>
      <c r="OD66" s="12"/>
      <c r="OE66" s="12"/>
      <c r="OF66" s="12"/>
      <c r="OG66" s="12"/>
      <c r="OH66" s="12"/>
      <c r="OI66" s="12"/>
      <c r="OJ66" s="12"/>
      <c r="OK66" s="12"/>
      <c r="OL66" s="12"/>
      <c r="OM66" s="12"/>
      <c r="ON66" s="12"/>
      <c r="OO66" s="12"/>
      <c r="OP66" s="12"/>
      <c r="OQ66" s="12"/>
      <c r="OR66" s="12"/>
      <c r="OS66" s="12"/>
      <c r="OT66" s="12"/>
      <c r="OU66" s="12"/>
      <c r="OV66" s="12"/>
      <c r="OW66" s="12"/>
      <c r="OX66" s="12"/>
      <c r="OY66" s="12"/>
      <c r="OZ66" s="12"/>
      <c r="PA66" s="12"/>
      <c r="PB66" s="12"/>
      <c r="PC66" s="12"/>
      <c r="PD66" s="12"/>
      <c r="PE66" s="12"/>
      <c r="PF66" s="12"/>
      <c r="PG66" s="12"/>
      <c r="PH66" s="12"/>
      <c r="PI66" s="12"/>
      <c r="PJ66" s="12"/>
      <c r="PK66" s="12"/>
      <c r="PL66" s="12"/>
      <c r="PM66" s="12"/>
      <c r="PN66" s="12"/>
      <c r="PO66" s="12"/>
      <c r="PP66" s="12"/>
      <c r="PQ66" s="12"/>
      <c r="PR66" s="12"/>
      <c r="PS66" s="12"/>
      <c r="PT66" s="12"/>
      <c r="PU66" s="12"/>
      <c r="PV66" s="12"/>
      <c r="PW66" s="12"/>
      <c r="PX66" s="12"/>
      <c r="PY66" s="12"/>
      <c r="PZ66" s="12"/>
      <c r="QA66" s="12"/>
      <c r="QB66" s="12"/>
      <c r="QC66" s="12"/>
      <c r="QD66" s="12"/>
      <c r="QE66" s="12"/>
      <c r="QF66" s="12"/>
      <c r="QG66" s="12"/>
      <c r="QH66" s="12"/>
      <c r="QI66" s="12"/>
      <c r="QJ66" s="12"/>
      <c r="QK66" s="12"/>
      <c r="QL66" s="12"/>
      <c r="QM66" s="12"/>
      <c r="QN66" s="12"/>
      <c r="QO66" s="12"/>
      <c r="QP66" s="12"/>
      <c r="QQ66" s="12"/>
      <c r="QR66" s="12"/>
      <c r="QS66" s="12"/>
      <c r="QT66" s="12"/>
      <c r="QU66" s="12"/>
      <c r="QV66" s="12"/>
      <c r="QW66" s="12"/>
      <c r="QX66" s="12"/>
      <c r="QY66" s="12"/>
      <c r="QZ66" s="12"/>
      <c r="RA66" s="12"/>
      <c r="RB66" s="12"/>
      <c r="RC66" s="12"/>
      <c r="RD66" s="12"/>
      <c r="RE66" s="12"/>
      <c r="RF66" s="12"/>
      <c r="RG66" s="12"/>
      <c r="RH66" s="12"/>
      <c r="RI66" s="12"/>
      <c r="RJ66" s="12"/>
      <c r="RK66" s="12"/>
      <c r="RL66" s="12"/>
      <c r="RM66" s="12"/>
      <c r="RN66" s="12"/>
      <c r="RO66" s="12"/>
      <c r="RP66" s="12"/>
      <c r="RQ66" s="12"/>
      <c r="RR66" s="12"/>
      <c r="RS66" s="12"/>
      <c r="RT66" s="12"/>
      <c r="RU66" s="12"/>
      <c r="RV66" s="12"/>
      <c r="RW66" s="12"/>
      <c r="RX66" s="12"/>
      <c r="RY66" s="12"/>
      <c r="RZ66" s="12"/>
      <c r="SA66" s="12"/>
      <c r="SB66" s="12"/>
      <c r="SC66" s="12"/>
      <c r="SD66" s="12"/>
      <c r="SE66" s="12"/>
      <c r="SF66" s="12"/>
      <c r="SG66" s="12"/>
      <c r="SH66" s="12"/>
      <c r="SI66" s="12"/>
      <c r="SJ66" s="12"/>
      <c r="SK66" s="12"/>
      <c r="SL66" s="12"/>
      <c r="SM66" s="12"/>
      <c r="SN66" s="12"/>
      <c r="SO66" s="12"/>
      <c r="SP66" s="12"/>
      <c r="SQ66" s="12"/>
      <c r="SR66" s="12"/>
      <c r="SS66" s="12"/>
      <c r="ST66" s="12"/>
      <c r="SU66" s="12"/>
      <c r="SV66" s="12"/>
      <c r="SW66" s="12"/>
      <c r="SX66" s="12"/>
      <c r="SY66" s="12"/>
      <c r="SZ66" s="12"/>
      <c r="TA66" s="12"/>
      <c r="TB66" s="12"/>
      <c r="TC66" s="12"/>
      <c r="TD66" s="12"/>
      <c r="TE66" s="12"/>
      <c r="TF66" s="12"/>
      <c r="TG66" s="12"/>
      <c r="TH66" s="12"/>
      <c r="TI66" s="12"/>
      <c r="TJ66" s="12"/>
      <c r="TK66" s="12"/>
      <c r="TL66" s="12"/>
      <c r="TM66" s="12"/>
      <c r="TN66" s="12"/>
      <c r="TO66" s="12"/>
      <c r="TP66" s="12"/>
      <c r="TQ66" s="12"/>
      <c r="TR66" s="12"/>
      <c r="TS66" s="12"/>
      <c r="TT66" s="12"/>
      <c r="TU66" s="12"/>
      <c r="TV66" s="12"/>
      <c r="TW66" s="12"/>
      <c r="TX66" s="12"/>
      <c r="TY66" s="12"/>
      <c r="TZ66" s="12"/>
      <c r="UA66" s="12"/>
      <c r="UB66" s="12"/>
      <c r="UC66" s="12"/>
      <c r="UD66" s="12"/>
      <c r="UE66" s="12"/>
      <c r="UF66" s="12"/>
      <c r="UG66" s="12"/>
      <c r="UH66" s="12"/>
      <c r="UI66" s="12"/>
      <c r="UJ66" s="12"/>
      <c r="UK66" s="12"/>
      <c r="UL66" s="12"/>
      <c r="UM66" s="12"/>
      <c r="UN66" s="12"/>
      <c r="UO66" s="12"/>
      <c r="UP66" s="12"/>
      <c r="UQ66" s="12"/>
      <c r="UR66" s="12"/>
      <c r="US66" s="12"/>
      <c r="UT66" s="12"/>
      <c r="UU66" s="12"/>
      <c r="UV66" s="12"/>
      <c r="UW66" s="12"/>
      <c r="UX66" s="12"/>
      <c r="UY66" s="12"/>
      <c r="UZ66" s="12"/>
      <c r="VA66" s="12"/>
      <c r="VB66" s="12"/>
      <c r="VC66" s="12"/>
      <c r="VD66" s="12"/>
      <c r="VE66" s="12"/>
      <c r="VF66" s="12"/>
      <c r="VG66" s="12"/>
      <c r="VH66" s="12"/>
      <c r="VI66" s="12"/>
      <c r="VJ66" s="12"/>
      <c r="VK66" s="12"/>
      <c r="VL66" s="12"/>
      <c r="VM66" s="12"/>
      <c r="VN66" s="12"/>
      <c r="VO66" s="12"/>
      <c r="VP66" s="12"/>
      <c r="VQ66" s="12"/>
      <c r="VR66" s="12"/>
      <c r="VS66" s="12"/>
      <c r="VT66" s="12"/>
      <c r="VU66" s="12"/>
      <c r="VV66" s="12"/>
      <c r="VW66" s="12"/>
      <c r="VX66" s="12"/>
      <c r="VY66" s="12"/>
      <c r="VZ66" s="12"/>
      <c r="WA66" s="12"/>
      <c r="WB66" s="12"/>
      <c r="WC66" s="12"/>
      <c r="WD66" s="12"/>
      <c r="WE66" s="12"/>
      <c r="WF66" s="12"/>
      <c r="WG66" s="12"/>
      <c r="WH66" s="12"/>
      <c r="WI66" s="12"/>
      <c r="WJ66" s="12"/>
      <c r="WK66" s="12"/>
      <c r="WL66" s="12"/>
      <c r="WM66" s="12"/>
      <c r="WN66" s="12"/>
      <c r="WO66" s="12"/>
      <c r="WP66" s="12"/>
      <c r="WQ66" s="12"/>
      <c r="WR66" s="12"/>
      <c r="WS66" s="12"/>
      <c r="WT66" s="12"/>
      <c r="WU66" s="12"/>
      <c r="WV66" s="12"/>
      <c r="WW66" s="12"/>
      <c r="WX66" s="12"/>
      <c r="WY66" s="12"/>
      <c r="WZ66" s="12"/>
      <c r="XA66" s="12"/>
      <c r="XB66" s="12"/>
      <c r="XC66" s="12"/>
      <c r="XD66" s="12"/>
      <c r="XE66" s="12"/>
      <c r="XF66" s="12"/>
      <c r="XG66" s="12"/>
      <c r="XH66" s="12"/>
      <c r="XI66" s="12"/>
      <c r="XJ66" s="12"/>
      <c r="XK66" s="12"/>
      <c r="XL66" s="12"/>
      <c r="XM66" s="12"/>
      <c r="XN66" s="12"/>
      <c r="XO66" s="12"/>
      <c r="XP66" s="12"/>
      <c r="XQ66" s="12"/>
      <c r="XR66" s="12"/>
      <c r="XS66" s="12"/>
      <c r="XT66" s="12"/>
      <c r="XU66" s="12"/>
      <c r="XV66" s="12"/>
      <c r="XW66" s="12"/>
      <c r="XX66" s="12"/>
      <c r="XY66" s="12"/>
      <c r="XZ66" s="12"/>
      <c r="YA66" s="12"/>
      <c r="YB66" s="12"/>
      <c r="YC66" s="12"/>
      <c r="YD66" s="12"/>
      <c r="YE66" s="12"/>
      <c r="YF66" s="12"/>
      <c r="YG66" s="12"/>
      <c r="YH66" s="12"/>
      <c r="YI66" s="12"/>
      <c r="YJ66" s="12"/>
      <c r="YK66" s="12"/>
      <c r="YL66" s="12"/>
      <c r="YM66" s="12"/>
      <c r="YN66" s="12"/>
      <c r="YO66" s="12"/>
      <c r="YP66" s="12"/>
      <c r="YQ66" s="12"/>
      <c r="YR66" s="12"/>
      <c r="YS66" s="12"/>
      <c r="YT66" s="12"/>
      <c r="YU66" s="12"/>
      <c r="YV66" s="12"/>
      <c r="YW66" s="12"/>
      <c r="YX66" s="12"/>
      <c r="YY66" s="12"/>
      <c r="YZ66" s="12"/>
      <c r="ZA66" s="12"/>
      <c r="ZB66" s="12"/>
      <c r="ZC66" s="12"/>
      <c r="ZD66" s="12"/>
      <c r="ZE66" s="12"/>
      <c r="ZF66" s="12"/>
      <c r="ZG66" s="12"/>
      <c r="ZH66" s="12"/>
      <c r="ZI66" s="12"/>
      <c r="ZJ66" s="12"/>
      <c r="ZK66" s="12"/>
      <c r="ZL66" s="12"/>
      <c r="ZM66" s="12"/>
      <c r="ZN66" s="12"/>
      <c r="ZO66" s="12"/>
      <c r="ZP66" s="12"/>
      <c r="ZQ66" s="12"/>
      <c r="ZR66" s="12"/>
      <c r="ZS66" s="12"/>
      <c r="ZT66" s="12"/>
      <c r="ZU66" s="12"/>
      <c r="ZV66" s="12"/>
      <c r="ZW66" s="12"/>
      <c r="ZX66" s="12"/>
      <c r="ZY66" s="12"/>
      <c r="ZZ66" s="12"/>
      <c r="AAA66" s="12"/>
      <c r="AAB66" s="12"/>
      <c r="AAC66" s="12"/>
      <c r="AAD66" s="12"/>
      <c r="AAE66" s="12"/>
      <c r="AAF66" s="12"/>
      <c r="AAG66" s="12"/>
      <c r="AAH66" s="12"/>
      <c r="AAI66" s="12"/>
      <c r="AAJ66" s="12"/>
      <c r="AAK66" s="12"/>
      <c r="AAL66" s="12"/>
      <c r="AAM66" s="12"/>
      <c r="AAN66" s="12"/>
      <c r="AAO66" s="12"/>
      <c r="AAP66" s="12"/>
      <c r="AAQ66" s="12"/>
      <c r="AAR66" s="12"/>
      <c r="AAS66" s="12"/>
      <c r="AAT66" s="12"/>
      <c r="AAU66" s="12"/>
      <c r="AAV66" s="12"/>
      <c r="AAW66" s="12"/>
      <c r="AAX66" s="12"/>
      <c r="AAY66" s="12"/>
      <c r="AAZ66" s="12"/>
      <c r="ABA66" s="12"/>
      <c r="ABB66" s="12"/>
      <c r="ABC66" s="12"/>
      <c r="ABD66" s="12"/>
      <c r="ABE66" s="12"/>
      <c r="ABF66" s="12"/>
      <c r="ABG66" s="12"/>
      <c r="ABH66" s="12"/>
      <c r="ABI66" s="12"/>
      <c r="ABJ66" s="12"/>
      <c r="ABK66" s="12"/>
      <c r="ABL66" s="12"/>
      <c r="ABM66" s="12"/>
      <c r="ABN66" s="12"/>
      <c r="ABO66" s="12"/>
      <c r="ABP66" s="12"/>
      <c r="ABQ66" s="12"/>
      <c r="ABR66" s="12"/>
      <c r="ABS66" s="12"/>
      <c r="ABT66" s="12"/>
      <c r="ABU66" s="12"/>
      <c r="ABV66" s="12"/>
      <c r="ABW66" s="12"/>
      <c r="ABX66" s="12"/>
      <c r="ABY66" s="12"/>
      <c r="ABZ66" s="12"/>
      <c r="ACA66" s="12"/>
      <c r="ACB66" s="12"/>
      <c r="ACC66" s="12"/>
      <c r="ACD66" s="12"/>
      <c r="ACE66" s="12"/>
      <c r="ACF66" s="12"/>
      <c r="ACG66" s="12"/>
      <c r="ACH66" s="12"/>
      <c r="ACI66" s="12"/>
      <c r="ACJ66" s="12"/>
      <c r="ACK66" s="12"/>
      <c r="ACL66" s="12"/>
      <c r="ACM66" s="12"/>
      <c r="ACN66" s="12"/>
      <c r="ACO66" s="12"/>
      <c r="ACP66" s="12"/>
      <c r="ACQ66" s="12"/>
      <c r="ACR66" s="12"/>
      <c r="ACS66" s="12"/>
      <c r="ACT66" s="12"/>
      <c r="ACU66" s="12"/>
      <c r="ACV66" s="12"/>
      <c r="ACW66" s="12"/>
      <c r="ACX66" s="12"/>
      <c r="ACY66" s="12"/>
      <c r="ACZ66" s="12"/>
      <c r="ADA66" s="12"/>
      <c r="ADB66" s="12"/>
      <c r="ADC66" s="12"/>
      <c r="ADD66" s="12"/>
      <c r="ADE66" s="12"/>
      <c r="ADF66" s="12"/>
      <c r="ADG66" s="12"/>
      <c r="ADH66" s="12"/>
      <c r="ADI66" s="12"/>
      <c r="ADJ66" s="12"/>
      <c r="ADK66" s="12"/>
      <c r="ADL66" s="12"/>
      <c r="ADM66" s="12"/>
      <c r="ADN66" s="12"/>
      <c r="ADO66" s="12"/>
      <c r="ADP66" s="12"/>
      <c r="ADQ66" s="12"/>
      <c r="ADR66" s="12"/>
      <c r="ADS66" s="12"/>
      <c r="ADT66" s="12"/>
      <c r="ADU66" s="12"/>
      <c r="ADV66" s="12"/>
      <c r="ADW66" s="12"/>
      <c r="ADX66" s="12"/>
      <c r="ADY66" s="12"/>
      <c r="ADZ66" s="12"/>
      <c r="AEA66" s="12"/>
      <c r="AEB66" s="12"/>
      <c r="AEC66" s="12"/>
      <c r="AED66" s="12"/>
      <c r="AEE66" s="12"/>
      <c r="AEF66" s="12"/>
      <c r="AEG66" s="12"/>
      <c r="AEH66" s="12"/>
      <c r="AEI66" s="12"/>
      <c r="AEJ66" s="12"/>
      <c r="AEK66" s="12"/>
      <c r="AEL66" s="12"/>
      <c r="AEM66" s="12"/>
      <c r="AEN66" s="12"/>
      <c r="AEO66" s="12"/>
      <c r="AEP66" s="12"/>
      <c r="AEQ66" s="12"/>
      <c r="AER66" s="12"/>
      <c r="AES66" s="12"/>
      <c r="AET66" s="12"/>
      <c r="AEU66" s="12"/>
      <c r="AEV66" s="12"/>
    </row>
    <row r="67" spans="1:828" s="27" customFormat="1" ht="18" x14ac:dyDescent="0.2">
      <c r="A67" s="68"/>
      <c r="B67" s="30"/>
      <c r="D67" s="29"/>
      <c r="E67" s="23"/>
      <c r="F67" s="23"/>
      <c r="G67" s="23"/>
      <c r="H67" s="30"/>
      <c r="I67" s="23" t="s">
        <v>65</v>
      </c>
      <c r="J67" s="29">
        <v>50</v>
      </c>
      <c r="K67" s="30"/>
      <c r="L67" s="23"/>
      <c r="M67" s="29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  <c r="IY67" s="12"/>
      <c r="IZ67" s="12"/>
      <c r="JA67" s="12"/>
      <c r="JB67" s="12"/>
      <c r="JC67" s="12"/>
      <c r="JD67" s="12"/>
      <c r="JE67" s="12"/>
      <c r="JF67" s="12"/>
      <c r="JG67" s="12"/>
      <c r="JH67" s="12"/>
      <c r="JI67" s="12"/>
      <c r="JJ67" s="12"/>
      <c r="JK67" s="12"/>
      <c r="JL67" s="12"/>
      <c r="JM67" s="12"/>
      <c r="JN67" s="12"/>
      <c r="JO67" s="12"/>
      <c r="JP67" s="12"/>
      <c r="JQ67" s="12"/>
      <c r="JR67" s="12"/>
      <c r="JS67" s="12"/>
      <c r="JT67" s="12"/>
      <c r="JU67" s="12"/>
      <c r="JV67" s="12"/>
      <c r="JW67" s="12"/>
      <c r="JX67" s="12"/>
      <c r="JY67" s="12"/>
      <c r="JZ67" s="12"/>
      <c r="KA67" s="12"/>
      <c r="KB67" s="12"/>
      <c r="KC67" s="12"/>
      <c r="KD67" s="12"/>
      <c r="KE67" s="12"/>
      <c r="KF67" s="12"/>
      <c r="KG67" s="12"/>
      <c r="KH67" s="12"/>
      <c r="KI67" s="12"/>
      <c r="KJ67" s="12"/>
      <c r="KK67" s="12"/>
      <c r="KL67" s="12"/>
      <c r="KM67" s="12"/>
      <c r="KN67" s="12"/>
      <c r="KO67" s="12"/>
      <c r="KP67" s="12"/>
      <c r="KQ67" s="12"/>
      <c r="KR67" s="12"/>
      <c r="KS67" s="12"/>
      <c r="KT67" s="12"/>
      <c r="KU67" s="12"/>
      <c r="KV67" s="12"/>
      <c r="KW67" s="12"/>
      <c r="KX67" s="12"/>
      <c r="KY67" s="12"/>
      <c r="KZ67" s="12"/>
      <c r="LA67" s="12"/>
      <c r="LB67" s="12"/>
      <c r="LC67" s="12"/>
      <c r="LD67" s="12"/>
      <c r="LE67" s="12"/>
      <c r="LF67" s="12"/>
      <c r="LG67" s="12"/>
      <c r="LH67" s="12"/>
      <c r="LI67" s="12"/>
      <c r="LJ67" s="12"/>
      <c r="LK67" s="12"/>
      <c r="LL67" s="12"/>
      <c r="LM67" s="12"/>
      <c r="LN67" s="12"/>
      <c r="LO67" s="12"/>
      <c r="LP67" s="12"/>
      <c r="LQ67" s="12"/>
      <c r="LR67" s="12"/>
      <c r="LS67" s="12"/>
      <c r="LT67" s="12"/>
      <c r="LU67" s="12"/>
      <c r="LV67" s="12"/>
      <c r="LW67" s="12"/>
      <c r="LX67" s="12"/>
      <c r="LY67" s="12"/>
      <c r="LZ67" s="12"/>
      <c r="MA67" s="12"/>
      <c r="MB67" s="12"/>
      <c r="MC67" s="12"/>
      <c r="MD67" s="12"/>
      <c r="ME67" s="12"/>
      <c r="MF67" s="12"/>
      <c r="MG67" s="12"/>
      <c r="MH67" s="12"/>
      <c r="MI67" s="12"/>
      <c r="MJ67" s="12"/>
      <c r="MK67" s="12"/>
      <c r="ML67" s="12"/>
      <c r="MM67" s="12"/>
      <c r="MN67" s="12"/>
      <c r="MO67" s="12"/>
      <c r="MP67" s="12"/>
      <c r="MQ67" s="12"/>
      <c r="MR67" s="12"/>
      <c r="MS67" s="12"/>
      <c r="MT67" s="12"/>
      <c r="MU67" s="12"/>
      <c r="MV67" s="12"/>
      <c r="MW67" s="12"/>
      <c r="MX67" s="12"/>
      <c r="MY67" s="12"/>
      <c r="MZ67" s="12"/>
      <c r="NA67" s="12"/>
      <c r="NB67" s="12"/>
      <c r="NC67" s="12"/>
      <c r="ND67" s="12"/>
      <c r="NE67" s="12"/>
      <c r="NF67" s="12"/>
      <c r="NG67" s="12"/>
      <c r="NH67" s="12"/>
      <c r="NI67" s="12"/>
      <c r="NJ67" s="12"/>
      <c r="NK67" s="12"/>
      <c r="NL67" s="12"/>
      <c r="NM67" s="12"/>
      <c r="NN67" s="12"/>
      <c r="NO67" s="12"/>
      <c r="NP67" s="12"/>
      <c r="NQ67" s="12"/>
      <c r="NR67" s="12"/>
      <c r="NS67" s="12"/>
      <c r="NT67" s="12"/>
      <c r="NU67" s="12"/>
      <c r="NV67" s="12"/>
      <c r="NW67" s="12"/>
      <c r="NX67" s="12"/>
      <c r="NY67" s="12"/>
      <c r="NZ67" s="12"/>
      <c r="OA67" s="12"/>
      <c r="OB67" s="12"/>
      <c r="OC67" s="12"/>
      <c r="OD67" s="12"/>
      <c r="OE67" s="12"/>
      <c r="OF67" s="12"/>
      <c r="OG67" s="12"/>
      <c r="OH67" s="12"/>
      <c r="OI67" s="12"/>
      <c r="OJ67" s="12"/>
      <c r="OK67" s="12"/>
      <c r="OL67" s="12"/>
      <c r="OM67" s="12"/>
      <c r="ON67" s="12"/>
      <c r="OO67" s="12"/>
      <c r="OP67" s="12"/>
      <c r="OQ67" s="12"/>
      <c r="OR67" s="12"/>
      <c r="OS67" s="12"/>
      <c r="OT67" s="12"/>
      <c r="OU67" s="12"/>
      <c r="OV67" s="12"/>
      <c r="OW67" s="12"/>
      <c r="OX67" s="12"/>
      <c r="OY67" s="12"/>
      <c r="OZ67" s="12"/>
      <c r="PA67" s="12"/>
      <c r="PB67" s="12"/>
      <c r="PC67" s="12"/>
      <c r="PD67" s="12"/>
      <c r="PE67" s="12"/>
      <c r="PF67" s="12"/>
      <c r="PG67" s="12"/>
      <c r="PH67" s="12"/>
      <c r="PI67" s="12"/>
      <c r="PJ67" s="12"/>
      <c r="PK67" s="12"/>
      <c r="PL67" s="12"/>
      <c r="PM67" s="12"/>
      <c r="PN67" s="12"/>
      <c r="PO67" s="12"/>
      <c r="PP67" s="12"/>
      <c r="PQ67" s="12"/>
      <c r="PR67" s="12"/>
      <c r="PS67" s="12"/>
      <c r="PT67" s="12"/>
      <c r="PU67" s="12"/>
      <c r="PV67" s="12"/>
      <c r="PW67" s="12"/>
      <c r="PX67" s="12"/>
      <c r="PY67" s="12"/>
      <c r="PZ67" s="12"/>
      <c r="QA67" s="12"/>
      <c r="QB67" s="12"/>
      <c r="QC67" s="12"/>
      <c r="QD67" s="12"/>
      <c r="QE67" s="12"/>
      <c r="QF67" s="12"/>
      <c r="QG67" s="12"/>
      <c r="QH67" s="12"/>
      <c r="QI67" s="12"/>
      <c r="QJ67" s="12"/>
      <c r="QK67" s="12"/>
      <c r="QL67" s="12"/>
      <c r="QM67" s="12"/>
      <c r="QN67" s="12"/>
      <c r="QO67" s="12"/>
      <c r="QP67" s="12"/>
      <c r="QQ67" s="12"/>
      <c r="QR67" s="12"/>
      <c r="QS67" s="12"/>
      <c r="QT67" s="12"/>
      <c r="QU67" s="12"/>
      <c r="QV67" s="12"/>
      <c r="QW67" s="12"/>
      <c r="QX67" s="12"/>
      <c r="QY67" s="12"/>
      <c r="QZ67" s="12"/>
      <c r="RA67" s="12"/>
      <c r="RB67" s="12"/>
      <c r="RC67" s="12"/>
      <c r="RD67" s="12"/>
      <c r="RE67" s="12"/>
      <c r="RF67" s="12"/>
      <c r="RG67" s="12"/>
      <c r="RH67" s="12"/>
      <c r="RI67" s="12"/>
      <c r="RJ67" s="12"/>
      <c r="RK67" s="12"/>
      <c r="RL67" s="12"/>
      <c r="RM67" s="12"/>
      <c r="RN67" s="12"/>
      <c r="RO67" s="12"/>
      <c r="RP67" s="12"/>
      <c r="RQ67" s="12"/>
      <c r="RR67" s="12"/>
      <c r="RS67" s="12"/>
      <c r="RT67" s="12"/>
      <c r="RU67" s="12"/>
      <c r="RV67" s="12"/>
      <c r="RW67" s="12"/>
      <c r="RX67" s="12"/>
      <c r="RY67" s="12"/>
      <c r="RZ67" s="12"/>
      <c r="SA67" s="12"/>
      <c r="SB67" s="12"/>
      <c r="SC67" s="12"/>
      <c r="SD67" s="12"/>
      <c r="SE67" s="12"/>
      <c r="SF67" s="12"/>
      <c r="SG67" s="12"/>
      <c r="SH67" s="12"/>
      <c r="SI67" s="12"/>
      <c r="SJ67" s="12"/>
      <c r="SK67" s="12"/>
      <c r="SL67" s="12"/>
      <c r="SM67" s="12"/>
      <c r="SN67" s="12"/>
      <c r="SO67" s="12"/>
      <c r="SP67" s="12"/>
      <c r="SQ67" s="12"/>
      <c r="SR67" s="12"/>
      <c r="SS67" s="12"/>
      <c r="ST67" s="12"/>
      <c r="SU67" s="12"/>
      <c r="SV67" s="12"/>
      <c r="SW67" s="12"/>
      <c r="SX67" s="12"/>
      <c r="SY67" s="12"/>
      <c r="SZ67" s="12"/>
      <c r="TA67" s="12"/>
      <c r="TB67" s="12"/>
      <c r="TC67" s="12"/>
      <c r="TD67" s="12"/>
      <c r="TE67" s="12"/>
      <c r="TF67" s="12"/>
      <c r="TG67" s="12"/>
      <c r="TH67" s="12"/>
      <c r="TI67" s="12"/>
      <c r="TJ67" s="12"/>
      <c r="TK67" s="12"/>
      <c r="TL67" s="12"/>
      <c r="TM67" s="12"/>
      <c r="TN67" s="12"/>
      <c r="TO67" s="12"/>
      <c r="TP67" s="12"/>
      <c r="TQ67" s="12"/>
      <c r="TR67" s="12"/>
      <c r="TS67" s="12"/>
      <c r="TT67" s="12"/>
      <c r="TU67" s="12"/>
      <c r="TV67" s="12"/>
      <c r="TW67" s="12"/>
      <c r="TX67" s="12"/>
      <c r="TY67" s="12"/>
      <c r="TZ67" s="12"/>
      <c r="UA67" s="12"/>
      <c r="UB67" s="12"/>
      <c r="UC67" s="12"/>
      <c r="UD67" s="12"/>
      <c r="UE67" s="12"/>
      <c r="UF67" s="12"/>
      <c r="UG67" s="12"/>
      <c r="UH67" s="12"/>
      <c r="UI67" s="12"/>
      <c r="UJ67" s="12"/>
      <c r="UK67" s="12"/>
      <c r="UL67" s="12"/>
      <c r="UM67" s="12"/>
      <c r="UN67" s="12"/>
      <c r="UO67" s="12"/>
      <c r="UP67" s="12"/>
      <c r="UQ67" s="12"/>
      <c r="UR67" s="12"/>
      <c r="US67" s="12"/>
      <c r="UT67" s="12"/>
      <c r="UU67" s="12"/>
      <c r="UV67" s="12"/>
      <c r="UW67" s="12"/>
      <c r="UX67" s="12"/>
      <c r="UY67" s="12"/>
      <c r="UZ67" s="12"/>
      <c r="VA67" s="12"/>
      <c r="VB67" s="12"/>
      <c r="VC67" s="12"/>
      <c r="VD67" s="12"/>
      <c r="VE67" s="12"/>
      <c r="VF67" s="12"/>
      <c r="VG67" s="12"/>
      <c r="VH67" s="12"/>
      <c r="VI67" s="12"/>
      <c r="VJ67" s="12"/>
      <c r="VK67" s="12"/>
      <c r="VL67" s="12"/>
      <c r="VM67" s="12"/>
      <c r="VN67" s="12"/>
      <c r="VO67" s="12"/>
      <c r="VP67" s="12"/>
      <c r="VQ67" s="12"/>
      <c r="VR67" s="12"/>
      <c r="VS67" s="12"/>
      <c r="VT67" s="12"/>
      <c r="VU67" s="12"/>
      <c r="VV67" s="12"/>
      <c r="VW67" s="12"/>
      <c r="VX67" s="12"/>
      <c r="VY67" s="12"/>
      <c r="VZ67" s="12"/>
      <c r="WA67" s="12"/>
      <c r="WB67" s="12"/>
      <c r="WC67" s="12"/>
      <c r="WD67" s="12"/>
      <c r="WE67" s="12"/>
      <c r="WF67" s="12"/>
      <c r="WG67" s="12"/>
      <c r="WH67" s="12"/>
      <c r="WI67" s="12"/>
      <c r="WJ67" s="12"/>
      <c r="WK67" s="12"/>
      <c r="WL67" s="12"/>
      <c r="WM67" s="12"/>
      <c r="WN67" s="12"/>
      <c r="WO67" s="12"/>
      <c r="WP67" s="12"/>
      <c r="WQ67" s="12"/>
      <c r="WR67" s="12"/>
      <c r="WS67" s="12"/>
      <c r="WT67" s="12"/>
      <c r="WU67" s="12"/>
      <c r="WV67" s="12"/>
      <c r="WW67" s="12"/>
      <c r="WX67" s="12"/>
      <c r="WY67" s="12"/>
      <c r="WZ67" s="12"/>
      <c r="XA67" s="12"/>
      <c r="XB67" s="12"/>
      <c r="XC67" s="12"/>
      <c r="XD67" s="12"/>
      <c r="XE67" s="12"/>
      <c r="XF67" s="12"/>
      <c r="XG67" s="12"/>
      <c r="XH67" s="12"/>
      <c r="XI67" s="12"/>
      <c r="XJ67" s="12"/>
      <c r="XK67" s="12"/>
      <c r="XL67" s="12"/>
      <c r="XM67" s="12"/>
      <c r="XN67" s="12"/>
      <c r="XO67" s="12"/>
      <c r="XP67" s="12"/>
      <c r="XQ67" s="12"/>
      <c r="XR67" s="12"/>
      <c r="XS67" s="12"/>
      <c r="XT67" s="12"/>
      <c r="XU67" s="12"/>
      <c r="XV67" s="12"/>
      <c r="XW67" s="12"/>
      <c r="XX67" s="12"/>
      <c r="XY67" s="12"/>
      <c r="XZ67" s="12"/>
      <c r="YA67" s="12"/>
      <c r="YB67" s="12"/>
      <c r="YC67" s="12"/>
      <c r="YD67" s="12"/>
      <c r="YE67" s="12"/>
      <c r="YF67" s="12"/>
      <c r="YG67" s="12"/>
      <c r="YH67" s="12"/>
      <c r="YI67" s="12"/>
      <c r="YJ67" s="12"/>
      <c r="YK67" s="12"/>
      <c r="YL67" s="12"/>
      <c r="YM67" s="12"/>
      <c r="YN67" s="12"/>
      <c r="YO67" s="12"/>
      <c r="YP67" s="12"/>
      <c r="YQ67" s="12"/>
      <c r="YR67" s="12"/>
      <c r="YS67" s="12"/>
      <c r="YT67" s="12"/>
      <c r="YU67" s="12"/>
      <c r="YV67" s="12"/>
      <c r="YW67" s="12"/>
      <c r="YX67" s="12"/>
      <c r="YY67" s="12"/>
      <c r="YZ67" s="12"/>
      <c r="ZA67" s="12"/>
      <c r="ZB67" s="12"/>
      <c r="ZC67" s="12"/>
      <c r="ZD67" s="12"/>
      <c r="ZE67" s="12"/>
      <c r="ZF67" s="12"/>
      <c r="ZG67" s="12"/>
      <c r="ZH67" s="12"/>
      <c r="ZI67" s="12"/>
      <c r="ZJ67" s="12"/>
      <c r="ZK67" s="12"/>
      <c r="ZL67" s="12"/>
      <c r="ZM67" s="12"/>
      <c r="ZN67" s="12"/>
      <c r="ZO67" s="12"/>
      <c r="ZP67" s="12"/>
      <c r="ZQ67" s="12"/>
      <c r="ZR67" s="12"/>
      <c r="ZS67" s="12"/>
      <c r="ZT67" s="12"/>
      <c r="ZU67" s="12"/>
      <c r="ZV67" s="12"/>
      <c r="ZW67" s="12"/>
      <c r="ZX67" s="12"/>
      <c r="ZY67" s="12"/>
      <c r="ZZ67" s="12"/>
      <c r="AAA67" s="12"/>
      <c r="AAB67" s="12"/>
      <c r="AAC67" s="12"/>
      <c r="AAD67" s="12"/>
      <c r="AAE67" s="12"/>
      <c r="AAF67" s="12"/>
      <c r="AAG67" s="12"/>
      <c r="AAH67" s="12"/>
      <c r="AAI67" s="12"/>
      <c r="AAJ67" s="12"/>
      <c r="AAK67" s="12"/>
      <c r="AAL67" s="12"/>
      <c r="AAM67" s="12"/>
      <c r="AAN67" s="12"/>
      <c r="AAO67" s="12"/>
      <c r="AAP67" s="12"/>
      <c r="AAQ67" s="12"/>
      <c r="AAR67" s="12"/>
      <c r="AAS67" s="12"/>
      <c r="AAT67" s="12"/>
      <c r="AAU67" s="12"/>
      <c r="AAV67" s="12"/>
      <c r="AAW67" s="12"/>
      <c r="AAX67" s="12"/>
      <c r="AAY67" s="12"/>
      <c r="AAZ67" s="12"/>
      <c r="ABA67" s="12"/>
      <c r="ABB67" s="12"/>
      <c r="ABC67" s="12"/>
      <c r="ABD67" s="12"/>
      <c r="ABE67" s="12"/>
      <c r="ABF67" s="12"/>
      <c r="ABG67" s="12"/>
      <c r="ABH67" s="12"/>
      <c r="ABI67" s="12"/>
      <c r="ABJ67" s="12"/>
      <c r="ABK67" s="12"/>
      <c r="ABL67" s="12"/>
      <c r="ABM67" s="12"/>
      <c r="ABN67" s="12"/>
      <c r="ABO67" s="12"/>
      <c r="ABP67" s="12"/>
      <c r="ABQ67" s="12"/>
      <c r="ABR67" s="12"/>
      <c r="ABS67" s="12"/>
      <c r="ABT67" s="12"/>
      <c r="ABU67" s="12"/>
      <c r="ABV67" s="12"/>
      <c r="ABW67" s="12"/>
      <c r="ABX67" s="12"/>
      <c r="ABY67" s="12"/>
      <c r="ABZ67" s="12"/>
      <c r="ACA67" s="12"/>
      <c r="ACB67" s="12"/>
      <c r="ACC67" s="12"/>
      <c r="ACD67" s="12"/>
      <c r="ACE67" s="12"/>
      <c r="ACF67" s="12"/>
      <c r="ACG67" s="12"/>
      <c r="ACH67" s="12"/>
      <c r="ACI67" s="12"/>
      <c r="ACJ67" s="12"/>
      <c r="ACK67" s="12"/>
      <c r="ACL67" s="12"/>
      <c r="ACM67" s="12"/>
      <c r="ACN67" s="12"/>
      <c r="ACO67" s="12"/>
      <c r="ACP67" s="12"/>
      <c r="ACQ67" s="12"/>
      <c r="ACR67" s="12"/>
      <c r="ACS67" s="12"/>
      <c r="ACT67" s="12"/>
      <c r="ACU67" s="12"/>
      <c r="ACV67" s="12"/>
      <c r="ACW67" s="12"/>
      <c r="ACX67" s="12"/>
      <c r="ACY67" s="12"/>
      <c r="ACZ67" s="12"/>
      <c r="ADA67" s="12"/>
      <c r="ADB67" s="12"/>
      <c r="ADC67" s="12"/>
      <c r="ADD67" s="12"/>
      <c r="ADE67" s="12"/>
      <c r="ADF67" s="12"/>
      <c r="ADG67" s="12"/>
      <c r="ADH67" s="12"/>
      <c r="ADI67" s="12"/>
      <c r="ADJ67" s="12"/>
      <c r="ADK67" s="12"/>
      <c r="ADL67" s="12"/>
      <c r="ADM67" s="12"/>
      <c r="ADN67" s="12"/>
      <c r="ADO67" s="12"/>
      <c r="ADP67" s="12"/>
      <c r="ADQ67" s="12"/>
      <c r="ADR67" s="12"/>
      <c r="ADS67" s="12"/>
      <c r="ADT67" s="12"/>
      <c r="ADU67" s="12"/>
      <c r="ADV67" s="12"/>
      <c r="ADW67" s="12"/>
      <c r="ADX67" s="12"/>
      <c r="ADY67" s="12"/>
      <c r="ADZ67" s="12"/>
      <c r="AEA67" s="12"/>
      <c r="AEB67" s="12"/>
      <c r="AEC67" s="12"/>
      <c r="AED67" s="12"/>
      <c r="AEE67" s="12"/>
      <c r="AEF67" s="12"/>
      <c r="AEG67" s="12"/>
      <c r="AEH67" s="12"/>
      <c r="AEI67" s="12"/>
      <c r="AEJ67" s="12"/>
      <c r="AEK67" s="12"/>
      <c r="AEL67" s="12"/>
      <c r="AEM67" s="12"/>
      <c r="AEN67" s="12"/>
      <c r="AEO67" s="12"/>
      <c r="AEP67" s="12"/>
      <c r="AEQ67" s="12"/>
      <c r="AER67" s="12"/>
      <c r="AES67" s="12"/>
      <c r="AET67" s="12"/>
      <c r="AEU67" s="12"/>
      <c r="AEV67" s="12"/>
    </row>
    <row r="68" spans="1:828" s="27" customFormat="1" ht="18" x14ac:dyDescent="0.2">
      <c r="A68" s="68"/>
      <c r="B68" s="30"/>
      <c r="C68" s="23"/>
      <c r="D68" s="29"/>
      <c r="E68" s="23"/>
      <c r="F68" s="23"/>
      <c r="G68" s="23"/>
      <c r="H68" s="30"/>
      <c r="I68" s="23"/>
      <c r="J68" s="29"/>
      <c r="K68" s="30"/>
      <c r="L68" s="23"/>
      <c r="M68" s="29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  <c r="IY68" s="12"/>
      <c r="IZ68" s="12"/>
      <c r="JA68" s="12"/>
      <c r="JB68" s="12"/>
      <c r="JC68" s="12"/>
      <c r="JD68" s="12"/>
      <c r="JE68" s="12"/>
      <c r="JF68" s="12"/>
      <c r="JG68" s="12"/>
      <c r="JH68" s="12"/>
      <c r="JI68" s="12"/>
      <c r="JJ68" s="12"/>
      <c r="JK68" s="12"/>
      <c r="JL68" s="12"/>
      <c r="JM68" s="12"/>
      <c r="JN68" s="12"/>
      <c r="JO68" s="12"/>
      <c r="JP68" s="12"/>
      <c r="JQ68" s="12"/>
      <c r="JR68" s="12"/>
      <c r="JS68" s="12"/>
      <c r="JT68" s="12"/>
      <c r="JU68" s="12"/>
      <c r="JV68" s="12"/>
      <c r="JW68" s="12"/>
      <c r="JX68" s="12"/>
      <c r="JY68" s="12"/>
      <c r="JZ68" s="12"/>
      <c r="KA68" s="12"/>
      <c r="KB68" s="12"/>
      <c r="KC68" s="12"/>
      <c r="KD68" s="12"/>
      <c r="KE68" s="12"/>
      <c r="KF68" s="12"/>
      <c r="KG68" s="12"/>
      <c r="KH68" s="12"/>
      <c r="KI68" s="12"/>
      <c r="KJ68" s="12"/>
      <c r="KK68" s="12"/>
      <c r="KL68" s="12"/>
      <c r="KM68" s="12"/>
      <c r="KN68" s="12"/>
      <c r="KO68" s="12"/>
      <c r="KP68" s="12"/>
      <c r="KQ68" s="12"/>
      <c r="KR68" s="12"/>
      <c r="KS68" s="12"/>
      <c r="KT68" s="12"/>
      <c r="KU68" s="12"/>
      <c r="KV68" s="12"/>
      <c r="KW68" s="12"/>
      <c r="KX68" s="12"/>
      <c r="KY68" s="12"/>
      <c r="KZ68" s="12"/>
      <c r="LA68" s="12"/>
      <c r="LB68" s="12"/>
      <c r="LC68" s="12"/>
      <c r="LD68" s="12"/>
      <c r="LE68" s="12"/>
      <c r="LF68" s="12"/>
      <c r="LG68" s="12"/>
      <c r="LH68" s="12"/>
      <c r="LI68" s="12"/>
      <c r="LJ68" s="12"/>
      <c r="LK68" s="12"/>
      <c r="LL68" s="12"/>
      <c r="LM68" s="12"/>
      <c r="LN68" s="12"/>
      <c r="LO68" s="12"/>
      <c r="LP68" s="12"/>
      <c r="LQ68" s="12"/>
      <c r="LR68" s="12"/>
      <c r="LS68" s="12"/>
      <c r="LT68" s="12"/>
      <c r="LU68" s="12"/>
      <c r="LV68" s="12"/>
      <c r="LW68" s="12"/>
      <c r="LX68" s="12"/>
      <c r="LY68" s="12"/>
      <c r="LZ68" s="12"/>
      <c r="MA68" s="12"/>
      <c r="MB68" s="12"/>
      <c r="MC68" s="12"/>
      <c r="MD68" s="12"/>
      <c r="ME68" s="12"/>
      <c r="MF68" s="12"/>
      <c r="MG68" s="12"/>
      <c r="MH68" s="12"/>
      <c r="MI68" s="12"/>
      <c r="MJ68" s="12"/>
      <c r="MK68" s="12"/>
      <c r="ML68" s="12"/>
      <c r="MM68" s="12"/>
      <c r="MN68" s="12"/>
      <c r="MO68" s="12"/>
      <c r="MP68" s="12"/>
      <c r="MQ68" s="12"/>
      <c r="MR68" s="12"/>
      <c r="MS68" s="12"/>
      <c r="MT68" s="12"/>
      <c r="MU68" s="12"/>
      <c r="MV68" s="12"/>
      <c r="MW68" s="12"/>
      <c r="MX68" s="12"/>
      <c r="MY68" s="12"/>
      <c r="MZ68" s="12"/>
      <c r="NA68" s="12"/>
      <c r="NB68" s="12"/>
      <c r="NC68" s="12"/>
      <c r="ND68" s="12"/>
      <c r="NE68" s="12"/>
      <c r="NF68" s="12"/>
      <c r="NG68" s="12"/>
      <c r="NH68" s="12"/>
      <c r="NI68" s="12"/>
      <c r="NJ68" s="12"/>
      <c r="NK68" s="12"/>
      <c r="NL68" s="12"/>
      <c r="NM68" s="12"/>
      <c r="NN68" s="12"/>
      <c r="NO68" s="12"/>
      <c r="NP68" s="12"/>
      <c r="NQ68" s="12"/>
      <c r="NR68" s="12"/>
      <c r="NS68" s="12"/>
      <c r="NT68" s="12"/>
      <c r="NU68" s="12"/>
      <c r="NV68" s="12"/>
      <c r="NW68" s="12"/>
      <c r="NX68" s="12"/>
      <c r="NY68" s="12"/>
      <c r="NZ68" s="12"/>
      <c r="OA68" s="12"/>
      <c r="OB68" s="12"/>
      <c r="OC68" s="12"/>
      <c r="OD68" s="12"/>
      <c r="OE68" s="12"/>
      <c r="OF68" s="12"/>
      <c r="OG68" s="12"/>
      <c r="OH68" s="12"/>
      <c r="OI68" s="12"/>
      <c r="OJ68" s="12"/>
      <c r="OK68" s="12"/>
      <c r="OL68" s="12"/>
      <c r="OM68" s="12"/>
      <c r="ON68" s="12"/>
      <c r="OO68" s="12"/>
      <c r="OP68" s="12"/>
      <c r="OQ68" s="12"/>
      <c r="OR68" s="12"/>
      <c r="OS68" s="12"/>
      <c r="OT68" s="12"/>
      <c r="OU68" s="12"/>
      <c r="OV68" s="12"/>
      <c r="OW68" s="12"/>
      <c r="OX68" s="12"/>
      <c r="OY68" s="12"/>
      <c r="OZ68" s="12"/>
      <c r="PA68" s="12"/>
      <c r="PB68" s="12"/>
      <c r="PC68" s="12"/>
      <c r="PD68" s="12"/>
      <c r="PE68" s="12"/>
      <c r="PF68" s="12"/>
      <c r="PG68" s="12"/>
      <c r="PH68" s="12"/>
      <c r="PI68" s="12"/>
      <c r="PJ68" s="12"/>
      <c r="PK68" s="12"/>
      <c r="PL68" s="12"/>
      <c r="PM68" s="12"/>
      <c r="PN68" s="12"/>
      <c r="PO68" s="12"/>
      <c r="PP68" s="12"/>
      <c r="PQ68" s="12"/>
      <c r="PR68" s="12"/>
      <c r="PS68" s="12"/>
      <c r="PT68" s="12"/>
      <c r="PU68" s="12"/>
      <c r="PV68" s="12"/>
      <c r="PW68" s="12"/>
      <c r="PX68" s="12"/>
      <c r="PY68" s="12"/>
      <c r="PZ68" s="12"/>
      <c r="QA68" s="12"/>
      <c r="QB68" s="12"/>
      <c r="QC68" s="12"/>
      <c r="QD68" s="12"/>
      <c r="QE68" s="12"/>
      <c r="QF68" s="12"/>
      <c r="QG68" s="12"/>
      <c r="QH68" s="12"/>
      <c r="QI68" s="12"/>
      <c r="QJ68" s="12"/>
      <c r="QK68" s="12"/>
      <c r="QL68" s="12"/>
      <c r="QM68" s="12"/>
      <c r="QN68" s="12"/>
      <c r="QO68" s="12"/>
      <c r="QP68" s="12"/>
      <c r="QQ68" s="12"/>
      <c r="QR68" s="12"/>
      <c r="QS68" s="12"/>
      <c r="QT68" s="12"/>
      <c r="QU68" s="12"/>
      <c r="QV68" s="12"/>
      <c r="QW68" s="12"/>
      <c r="QX68" s="12"/>
      <c r="QY68" s="12"/>
      <c r="QZ68" s="12"/>
      <c r="RA68" s="12"/>
      <c r="RB68" s="12"/>
      <c r="RC68" s="12"/>
      <c r="RD68" s="12"/>
      <c r="RE68" s="12"/>
      <c r="RF68" s="12"/>
      <c r="RG68" s="12"/>
      <c r="RH68" s="12"/>
      <c r="RI68" s="12"/>
      <c r="RJ68" s="12"/>
      <c r="RK68" s="12"/>
      <c r="RL68" s="12"/>
      <c r="RM68" s="12"/>
      <c r="RN68" s="12"/>
      <c r="RO68" s="12"/>
      <c r="RP68" s="12"/>
      <c r="RQ68" s="12"/>
      <c r="RR68" s="12"/>
      <c r="RS68" s="12"/>
      <c r="RT68" s="12"/>
      <c r="RU68" s="12"/>
      <c r="RV68" s="12"/>
      <c r="RW68" s="12"/>
      <c r="RX68" s="12"/>
      <c r="RY68" s="12"/>
      <c r="RZ68" s="12"/>
      <c r="SA68" s="12"/>
      <c r="SB68" s="12"/>
      <c r="SC68" s="12"/>
      <c r="SD68" s="12"/>
      <c r="SE68" s="12"/>
      <c r="SF68" s="12"/>
      <c r="SG68" s="12"/>
      <c r="SH68" s="12"/>
      <c r="SI68" s="12"/>
      <c r="SJ68" s="12"/>
      <c r="SK68" s="12"/>
      <c r="SL68" s="12"/>
      <c r="SM68" s="12"/>
      <c r="SN68" s="12"/>
      <c r="SO68" s="12"/>
      <c r="SP68" s="12"/>
      <c r="SQ68" s="12"/>
      <c r="SR68" s="12"/>
      <c r="SS68" s="12"/>
      <c r="ST68" s="12"/>
      <c r="SU68" s="12"/>
      <c r="SV68" s="12"/>
      <c r="SW68" s="12"/>
      <c r="SX68" s="12"/>
      <c r="SY68" s="12"/>
      <c r="SZ68" s="12"/>
      <c r="TA68" s="12"/>
      <c r="TB68" s="12"/>
      <c r="TC68" s="12"/>
      <c r="TD68" s="12"/>
      <c r="TE68" s="12"/>
      <c r="TF68" s="12"/>
      <c r="TG68" s="12"/>
      <c r="TH68" s="12"/>
      <c r="TI68" s="12"/>
      <c r="TJ68" s="12"/>
      <c r="TK68" s="12"/>
      <c r="TL68" s="12"/>
      <c r="TM68" s="12"/>
      <c r="TN68" s="12"/>
      <c r="TO68" s="12"/>
      <c r="TP68" s="12"/>
      <c r="TQ68" s="12"/>
      <c r="TR68" s="12"/>
      <c r="TS68" s="12"/>
      <c r="TT68" s="12"/>
      <c r="TU68" s="12"/>
      <c r="TV68" s="12"/>
      <c r="TW68" s="12"/>
      <c r="TX68" s="12"/>
      <c r="TY68" s="12"/>
      <c r="TZ68" s="12"/>
      <c r="UA68" s="12"/>
      <c r="UB68" s="12"/>
      <c r="UC68" s="12"/>
      <c r="UD68" s="12"/>
      <c r="UE68" s="12"/>
      <c r="UF68" s="12"/>
      <c r="UG68" s="12"/>
      <c r="UH68" s="12"/>
      <c r="UI68" s="12"/>
      <c r="UJ68" s="12"/>
      <c r="UK68" s="12"/>
      <c r="UL68" s="12"/>
      <c r="UM68" s="12"/>
      <c r="UN68" s="12"/>
      <c r="UO68" s="12"/>
      <c r="UP68" s="12"/>
      <c r="UQ68" s="12"/>
      <c r="UR68" s="12"/>
      <c r="US68" s="12"/>
      <c r="UT68" s="12"/>
      <c r="UU68" s="12"/>
      <c r="UV68" s="12"/>
      <c r="UW68" s="12"/>
      <c r="UX68" s="12"/>
      <c r="UY68" s="12"/>
      <c r="UZ68" s="12"/>
      <c r="VA68" s="12"/>
      <c r="VB68" s="12"/>
      <c r="VC68" s="12"/>
      <c r="VD68" s="12"/>
      <c r="VE68" s="12"/>
      <c r="VF68" s="12"/>
      <c r="VG68" s="12"/>
      <c r="VH68" s="12"/>
      <c r="VI68" s="12"/>
      <c r="VJ68" s="12"/>
      <c r="VK68" s="12"/>
      <c r="VL68" s="12"/>
      <c r="VM68" s="12"/>
      <c r="VN68" s="12"/>
      <c r="VO68" s="12"/>
      <c r="VP68" s="12"/>
      <c r="VQ68" s="12"/>
      <c r="VR68" s="12"/>
      <c r="VS68" s="12"/>
      <c r="VT68" s="12"/>
      <c r="VU68" s="12"/>
      <c r="VV68" s="12"/>
      <c r="VW68" s="12"/>
      <c r="VX68" s="12"/>
      <c r="VY68" s="12"/>
      <c r="VZ68" s="12"/>
      <c r="WA68" s="12"/>
      <c r="WB68" s="12"/>
      <c r="WC68" s="12"/>
      <c r="WD68" s="12"/>
      <c r="WE68" s="12"/>
      <c r="WF68" s="12"/>
      <c r="WG68" s="12"/>
      <c r="WH68" s="12"/>
      <c r="WI68" s="12"/>
      <c r="WJ68" s="12"/>
      <c r="WK68" s="12"/>
      <c r="WL68" s="12"/>
      <c r="WM68" s="12"/>
      <c r="WN68" s="12"/>
      <c r="WO68" s="12"/>
      <c r="WP68" s="12"/>
      <c r="WQ68" s="12"/>
      <c r="WR68" s="12"/>
      <c r="WS68" s="12"/>
      <c r="WT68" s="12"/>
      <c r="WU68" s="12"/>
      <c r="WV68" s="12"/>
      <c r="WW68" s="12"/>
      <c r="WX68" s="12"/>
      <c r="WY68" s="12"/>
      <c r="WZ68" s="12"/>
      <c r="XA68" s="12"/>
      <c r="XB68" s="12"/>
      <c r="XC68" s="12"/>
      <c r="XD68" s="12"/>
      <c r="XE68" s="12"/>
      <c r="XF68" s="12"/>
      <c r="XG68" s="12"/>
      <c r="XH68" s="12"/>
      <c r="XI68" s="12"/>
      <c r="XJ68" s="12"/>
      <c r="XK68" s="12"/>
      <c r="XL68" s="12"/>
      <c r="XM68" s="12"/>
      <c r="XN68" s="12"/>
      <c r="XO68" s="12"/>
      <c r="XP68" s="12"/>
      <c r="XQ68" s="12"/>
      <c r="XR68" s="12"/>
      <c r="XS68" s="12"/>
      <c r="XT68" s="12"/>
      <c r="XU68" s="12"/>
      <c r="XV68" s="12"/>
      <c r="XW68" s="12"/>
      <c r="XX68" s="12"/>
      <c r="XY68" s="12"/>
      <c r="XZ68" s="12"/>
      <c r="YA68" s="12"/>
      <c r="YB68" s="12"/>
      <c r="YC68" s="12"/>
      <c r="YD68" s="12"/>
      <c r="YE68" s="12"/>
      <c r="YF68" s="12"/>
      <c r="YG68" s="12"/>
      <c r="YH68" s="12"/>
      <c r="YI68" s="12"/>
      <c r="YJ68" s="12"/>
      <c r="YK68" s="12"/>
      <c r="YL68" s="12"/>
      <c r="YM68" s="12"/>
      <c r="YN68" s="12"/>
      <c r="YO68" s="12"/>
      <c r="YP68" s="12"/>
      <c r="YQ68" s="12"/>
      <c r="YR68" s="12"/>
      <c r="YS68" s="12"/>
      <c r="YT68" s="12"/>
      <c r="YU68" s="12"/>
      <c r="YV68" s="12"/>
      <c r="YW68" s="12"/>
      <c r="YX68" s="12"/>
      <c r="YY68" s="12"/>
      <c r="YZ68" s="12"/>
      <c r="ZA68" s="12"/>
      <c r="ZB68" s="12"/>
      <c r="ZC68" s="12"/>
      <c r="ZD68" s="12"/>
      <c r="ZE68" s="12"/>
      <c r="ZF68" s="12"/>
      <c r="ZG68" s="12"/>
      <c r="ZH68" s="12"/>
      <c r="ZI68" s="12"/>
      <c r="ZJ68" s="12"/>
      <c r="ZK68" s="12"/>
      <c r="ZL68" s="12"/>
      <c r="ZM68" s="12"/>
      <c r="ZN68" s="12"/>
      <c r="ZO68" s="12"/>
      <c r="ZP68" s="12"/>
      <c r="ZQ68" s="12"/>
      <c r="ZR68" s="12"/>
      <c r="ZS68" s="12"/>
      <c r="ZT68" s="12"/>
      <c r="ZU68" s="12"/>
      <c r="ZV68" s="12"/>
      <c r="ZW68" s="12"/>
      <c r="ZX68" s="12"/>
      <c r="ZY68" s="12"/>
      <c r="ZZ68" s="12"/>
      <c r="AAA68" s="12"/>
      <c r="AAB68" s="12"/>
      <c r="AAC68" s="12"/>
      <c r="AAD68" s="12"/>
      <c r="AAE68" s="12"/>
      <c r="AAF68" s="12"/>
      <c r="AAG68" s="12"/>
      <c r="AAH68" s="12"/>
      <c r="AAI68" s="12"/>
      <c r="AAJ68" s="12"/>
      <c r="AAK68" s="12"/>
      <c r="AAL68" s="12"/>
      <c r="AAM68" s="12"/>
      <c r="AAN68" s="12"/>
      <c r="AAO68" s="12"/>
      <c r="AAP68" s="12"/>
      <c r="AAQ68" s="12"/>
      <c r="AAR68" s="12"/>
      <c r="AAS68" s="12"/>
      <c r="AAT68" s="12"/>
      <c r="AAU68" s="12"/>
      <c r="AAV68" s="12"/>
      <c r="AAW68" s="12"/>
      <c r="AAX68" s="12"/>
      <c r="AAY68" s="12"/>
      <c r="AAZ68" s="12"/>
      <c r="ABA68" s="12"/>
      <c r="ABB68" s="12"/>
      <c r="ABC68" s="12"/>
      <c r="ABD68" s="12"/>
      <c r="ABE68" s="12"/>
      <c r="ABF68" s="12"/>
      <c r="ABG68" s="12"/>
      <c r="ABH68" s="12"/>
      <c r="ABI68" s="12"/>
      <c r="ABJ68" s="12"/>
      <c r="ABK68" s="12"/>
      <c r="ABL68" s="12"/>
      <c r="ABM68" s="12"/>
      <c r="ABN68" s="12"/>
      <c r="ABO68" s="12"/>
      <c r="ABP68" s="12"/>
      <c r="ABQ68" s="12"/>
      <c r="ABR68" s="12"/>
      <c r="ABS68" s="12"/>
      <c r="ABT68" s="12"/>
      <c r="ABU68" s="12"/>
      <c r="ABV68" s="12"/>
      <c r="ABW68" s="12"/>
      <c r="ABX68" s="12"/>
      <c r="ABY68" s="12"/>
      <c r="ABZ68" s="12"/>
      <c r="ACA68" s="12"/>
      <c r="ACB68" s="12"/>
      <c r="ACC68" s="12"/>
      <c r="ACD68" s="12"/>
      <c r="ACE68" s="12"/>
      <c r="ACF68" s="12"/>
      <c r="ACG68" s="12"/>
      <c r="ACH68" s="12"/>
      <c r="ACI68" s="12"/>
      <c r="ACJ68" s="12"/>
      <c r="ACK68" s="12"/>
      <c r="ACL68" s="12"/>
      <c r="ACM68" s="12"/>
      <c r="ACN68" s="12"/>
      <c r="ACO68" s="12"/>
      <c r="ACP68" s="12"/>
      <c r="ACQ68" s="12"/>
      <c r="ACR68" s="12"/>
      <c r="ACS68" s="12"/>
      <c r="ACT68" s="12"/>
      <c r="ACU68" s="12"/>
      <c r="ACV68" s="12"/>
      <c r="ACW68" s="12"/>
      <c r="ACX68" s="12"/>
      <c r="ACY68" s="12"/>
      <c r="ACZ68" s="12"/>
      <c r="ADA68" s="12"/>
      <c r="ADB68" s="12"/>
      <c r="ADC68" s="12"/>
      <c r="ADD68" s="12"/>
      <c r="ADE68" s="12"/>
      <c r="ADF68" s="12"/>
      <c r="ADG68" s="12"/>
      <c r="ADH68" s="12"/>
      <c r="ADI68" s="12"/>
      <c r="ADJ68" s="12"/>
      <c r="ADK68" s="12"/>
      <c r="ADL68" s="12"/>
      <c r="ADM68" s="12"/>
      <c r="ADN68" s="12"/>
      <c r="ADO68" s="12"/>
      <c r="ADP68" s="12"/>
      <c r="ADQ68" s="12"/>
      <c r="ADR68" s="12"/>
      <c r="ADS68" s="12"/>
      <c r="ADT68" s="12"/>
      <c r="ADU68" s="12"/>
      <c r="ADV68" s="12"/>
      <c r="ADW68" s="12"/>
      <c r="ADX68" s="12"/>
      <c r="ADY68" s="12"/>
      <c r="ADZ68" s="12"/>
      <c r="AEA68" s="12"/>
      <c r="AEB68" s="12"/>
      <c r="AEC68" s="12"/>
      <c r="AED68" s="12"/>
      <c r="AEE68" s="12"/>
      <c r="AEF68" s="12"/>
      <c r="AEG68" s="12"/>
      <c r="AEH68" s="12"/>
      <c r="AEI68" s="12"/>
      <c r="AEJ68" s="12"/>
      <c r="AEK68" s="12"/>
      <c r="AEL68" s="12"/>
      <c r="AEM68" s="12"/>
      <c r="AEN68" s="12"/>
      <c r="AEO68" s="12"/>
      <c r="AEP68" s="12"/>
      <c r="AEQ68" s="12"/>
      <c r="AER68" s="12"/>
      <c r="AES68" s="12"/>
      <c r="AET68" s="12"/>
      <c r="AEU68" s="12"/>
      <c r="AEV68" s="12"/>
    </row>
    <row r="69" spans="1:828" s="27" customFormat="1" ht="18" x14ac:dyDescent="0.2">
      <c r="A69" s="68"/>
      <c r="B69" s="30"/>
      <c r="C69" s="23"/>
      <c r="D69" s="29"/>
      <c r="E69" s="23"/>
      <c r="F69" s="23"/>
      <c r="G69" s="23"/>
      <c r="H69" s="30"/>
      <c r="I69" s="23"/>
      <c r="J69" s="29"/>
      <c r="K69" s="30"/>
      <c r="L69" s="23"/>
      <c r="M69" s="29"/>
      <c r="N69" s="12"/>
      <c r="O69" s="12"/>
      <c r="P69" s="69"/>
      <c r="Q69" s="69"/>
      <c r="R69" s="69"/>
      <c r="S69" s="69"/>
      <c r="T69" s="69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  <c r="IY69" s="12"/>
      <c r="IZ69" s="12"/>
      <c r="JA69" s="12"/>
      <c r="JB69" s="12"/>
      <c r="JC69" s="12"/>
      <c r="JD69" s="12"/>
      <c r="JE69" s="12"/>
      <c r="JF69" s="12"/>
      <c r="JG69" s="12"/>
      <c r="JH69" s="12"/>
      <c r="JI69" s="12"/>
      <c r="JJ69" s="12"/>
      <c r="JK69" s="12"/>
      <c r="JL69" s="12"/>
      <c r="JM69" s="12"/>
      <c r="JN69" s="12"/>
      <c r="JO69" s="12"/>
      <c r="JP69" s="12"/>
      <c r="JQ69" s="12"/>
      <c r="JR69" s="12"/>
      <c r="JS69" s="12"/>
      <c r="JT69" s="12"/>
      <c r="JU69" s="12"/>
      <c r="JV69" s="12"/>
      <c r="JW69" s="12"/>
      <c r="JX69" s="12"/>
      <c r="JY69" s="12"/>
      <c r="JZ69" s="12"/>
      <c r="KA69" s="12"/>
      <c r="KB69" s="12"/>
      <c r="KC69" s="12"/>
      <c r="KD69" s="12"/>
      <c r="KE69" s="12"/>
      <c r="KF69" s="12"/>
      <c r="KG69" s="12"/>
      <c r="KH69" s="12"/>
      <c r="KI69" s="12"/>
      <c r="KJ69" s="12"/>
      <c r="KK69" s="12"/>
      <c r="KL69" s="12"/>
      <c r="KM69" s="12"/>
      <c r="KN69" s="12"/>
      <c r="KO69" s="12"/>
      <c r="KP69" s="12"/>
      <c r="KQ69" s="12"/>
      <c r="KR69" s="12"/>
      <c r="KS69" s="12"/>
      <c r="KT69" s="12"/>
      <c r="KU69" s="12"/>
      <c r="KV69" s="12"/>
      <c r="KW69" s="12"/>
      <c r="KX69" s="12"/>
      <c r="KY69" s="12"/>
      <c r="KZ69" s="12"/>
      <c r="LA69" s="12"/>
      <c r="LB69" s="12"/>
      <c r="LC69" s="12"/>
      <c r="LD69" s="12"/>
      <c r="LE69" s="12"/>
      <c r="LF69" s="12"/>
      <c r="LG69" s="12"/>
      <c r="LH69" s="12"/>
      <c r="LI69" s="12"/>
      <c r="LJ69" s="12"/>
      <c r="LK69" s="12"/>
      <c r="LL69" s="12"/>
      <c r="LM69" s="12"/>
      <c r="LN69" s="12"/>
      <c r="LO69" s="12"/>
      <c r="LP69" s="12"/>
      <c r="LQ69" s="12"/>
      <c r="LR69" s="12"/>
      <c r="LS69" s="12"/>
      <c r="LT69" s="12"/>
      <c r="LU69" s="12"/>
      <c r="LV69" s="12"/>
      <c r="LW69" s="12"/>
      <c r="LX69" s="12"/>
      <c r="LY69" s="12"/>
      <c r="LZ69" s="12"/>
      <c r="MA69" s="12"/>
      <c r="MB69" s="12"/>
      <c r="MC69" s="12"/>
      <c r="MD69" s="12"/>
      <c r="ME69" s="12"/>
      <c r="MF69" s="12"/>
      <c r="MG69" s="12"/>
      <c r="MH69" s="12"/>
      <c r="MI69" s="12"/>
      <c r="MJ69" s="12"/>
      <c r="MK69" s="12"/>
      <c r="ML69" s="12"/>
      <c r="MM69" s="12"/>
      <c r="MN69" s="12"/>
      <c r="MO69" s="12"/>
      <c r="MP69" s="12"/>
      <c r="MQ69" s="12"/>
      <c r="MR69" s="12"/>
      <c r="MS69" s="12"/>
      <c r="MT69" s="12"/>
      <c r="MU69" s="12"/>
      <c r="MV69" s="12"/>
      <c r="MW69" s="12"/>
      <c r="MX69" s="12"/>
      <c r="MY69" s="12"/>
      <c r="MZ69" s="12"/>
      <c r="NA69" s="12"/>
      <c r="NB69" s="12"/>
      <c r="NC69" s="12"/>
      <c r="ND69" s="12"/>
      <c r="NE69" s="12"/>
      <c r="NF69" s="12"/>
      <c r="NG69" s="12"/>
      <c r="NH69" s="12"/>
      <c r="NI69" s="12"/>
      <c r="NJ69" s="12"/>
      <c r="NK69" s="12"/>
      <c r="NL69" s="12"/>
      <c r="NM69" s="12"/>
      <c r="NN69" s="12"/>
      <c r="NO69" s="12"/>
      <c r="NP69" s="12"/>
      <c r="NQ69" s="12"/>
      <c r="NR69" s="12"/>
      <c r="NS69" s="12"/>
      <c r="NT69" s="12"/>
      <c r="NU69" s="12"/>
      <c r="NV69" s="12"/>
      <c r="NW69" s="12"/>
      <c r="NX69" s="12"/>
      <c r="NY69" s="12"/>
      <c r="NZ69" s="12"/>
      <c r="OA69" s="12"/>
      <c r="OB69" s="12"/>
      <c r="OC69" s="12"/>
      <c r="OD69" s="12"/>
      <c r="OE69" s="12"/>
      <c r="OF69" s="12"/>
      <c r="OG69" s="12"/>
      <c r="OH69" s="12"/>
      <c r="OI69" s="12"/>
      <c r="OJ69" s="12"/>
      <c r="OK69" s="12"/>
      <c r="OL69" s="12"/>
      <c r="OM69" s="12"/>
      <c r="ON69" s="12"/>
      <c r="OO69" s="12"/>
      <c r="OP69" s="12"/>
      <c r="OQ69" s="12"/>
      <c r="OR69" s="12"/>
      <c r="OS69" s="12"/>
      <c r="OT69" s="12"/>
      <c r="OU69" s="12"/>
      <c r="OV69" s="12"/>
      <c r="OW69" s="12"/>
      <c r="OX69" s="12"/>
      <c r="OY69" s="12"/>
      <c r="OZ69" s="12"/>
      <c r="PA69" s="12"/>
      <c r="PB69" s="12"/>
      <c r="PC69" s="12"/>
      <c r="PD69" s="12"/>
      <c r="PE69" s="12"/>
      <c r="PF69" s="12"/>
      <c r="PG69" s="12"/>
      <c r="PH69" s="12"/>
      <c r="PI69" s="12"/>
      <c r="PJ69" s="12"/>
      <c r="PK69" s="12"/>
      <c r="PL69" s="12"/>
      <c r="PM69" s="12"/>
      <c r="PN69" s="12"/>
      <c r="PO69" s="12"/>
      <c r="PP69" s="12"/>
      <c r="PQ69" s="12"/>
      <c r="PR69" s="12"/>
      <c r="PS69" s="12"/>
      <c r="PT69" s="12"/>
      <c r="PU69" s="12"/>
      <c r="PV69" s="12"/>
      <c r="PW69" s="12"/>
      <c r="PX69" s="12"/>
      <c r="PY69" s="12"/>
      <c r="PZ69" s="12"/>
      <c r="QA69" s="12"/>
      <c r="QB69" s="12"/>
      <c r="QC69" s="12"/>
      <c r="QD69" s="12"/>
      <c r="QE69" s="12"/>
      <c r="QF69" s="12"/>
      <c r="QG69" s="12"/>
      <c r="QH69" s="12"/>
      <c r="QI69" s="12"/>
      <c r="QJ69" s="12"/>
      <c r="QK69" s="12"/>
      <c r="QL69" s="12"/>
      <c r="QM69" s="12"/>
      <c r="QN69" s="12"/>
      <c r="QO69" s="12"/>
      <c r="QP69" s="12"/>
      <c r="QQ69" s="12"/>
      <c r="QR69" s="12"/>
      <c r="QS69" s="12"/>
      <c r="QT69" s="12"/>
      <c r="QU69" s="12"/>
      <c r="QV69" s="12"/>
      <c r="QW69" s="12"/>
      <c r="QX69" s="12"/>
      <c r="QY69" s="12"/>
      <c r="QZ69" s="12"/>
      <c r="RA69" s="12"/>
      <c r="RB69" s="12"/>
      <c r="RC69" s="12"/>
      <c r="RD69" s="12"/>
      <c r="RE69" s="12"/>
      <c r="RF69" s="12"/>
      <c r="RG69" s="12"/>
      <c r="RH69" s="12"/>
      <c r="RI69" s="12"/>
      <c r="RJ69" s="12"/>
      <c r="RK69" s="12"/>
      <c r="RL69" s="12"/>
      <c r="RM69" s="12"/>
      <c r="RN69" s="12"/>
      <c r="RO69" s="12"/>
      <c r="RP69" s="12"/>
      <c r="RQ69" s="12"/>
      <c r="RR69" s="12"/>
      <c r="RS69" s="12"/>
      <c r="RT69" s="12"/>
      <c r="RU69" s="12"/>
      <c r="RV69" s="12"/>
      <c r="RW69" s="12"/>
      <c r="RX69" s="12"/>
      <c r="RY69" s="12"/>
      <c r="RZ69" s="12"/>
      <c r="SA69" s="12"/>
      <c r="SB69" s="12"/>
      <c r="SC69" s="12"/>
      <c r="SD69" s="12"/>
      <c r="SE69" s="12"/>
      <c r="SF69" s="12"/>
      <c r="SG69" s="12"/>
      <c r="SH69" s="12"/>
      <c r="SI69" s="12"/>
      <c r="SJ69" s="12"/>
      <c r="SK69" s="12"/>
      <c r="SL69" s="12"/>
      <c r="SM69" s="12"/>
      <c r="SN69" s="12"/>
      <c r="SO69" s="12"/>
      <c r="SP69" s="12"/>
      <c r="SQ69" s="12"/>
      <c r="SR69" s="12"/>
      <c r="SS69" s="12"/>
      <c r="ST69" s="12"/>
      <c r="SU69" s="12"/>
      <c r="SV69" s="12"/>
      <c r="SW69" s="12"/>
      <c r="SX69" s="12"/>
      <c r="SY69" s="12"/>
      <c r="SZ69" s="12"/>
      <c r="TA69" s="12"/>
      <c r="TB69" s="12"/>
      <c r="TC69" s="12"/>
      <c r="TD69" s="12"/>
      <c r="TE69" s="12"/>
      <c r="TF69" s="12"/>
      <c r="TG69" s="12"/>
      <c r="TH69" s="12"/>
      <c r="TI69" s="12"/>
      <c r="TJ69" s="12"/>
      <c r="TK69" s="12"/>
      <c r="TL69" s="12"/>
      <c r="TM69" s="12"/>
      <c r="TN69" s="12"/>
      <c r="TO69" s="12"/>
      <c r="TP69" s="12"/>
      <c r="TQ69" s="12"/>
      <c r="TR69" s="12"/>
      <c r="TS69" s="12"/>
      <c r="TT69" s="12"/>
      <c r="TU69" s="12"/>
      <c r="TV69" s="12"/>
      <c r="TW69" s="12"/>
      <c r="TX69" s="12"/>
      <c r="TY69" s="12"/>
      <c r="TZ69" s="12"/>
      <c r="UA69" s="12"/>
      <c r="UB69" s="12"/>
      <c r="UC69" s="12"/>
      <c r="UD69" s="12"/>
      <c r="UE69" s="12"/>
      <c r="UF69" s="12"/>
      <c r="UG69" s="12"/>
      <c r="UH69" s="12"/>
      <c r="UI69" s="12"/>
      <c r="UJ69" s="12"/>
      <c r="UK69" s="12"/>
      <c r="UL69" s="12"/>
      <c r="UM69" s="12"/>
      <c r="UN69" s="12"/>
      <c r="UO69" s="12"/>
      <c r="UP69" s="12"/>
      <c r="UQ69" s="12"/>
      <c r="UR69" s="12"/>
      <c r="US69" s="12"/>
      <c r="UT69" s="12"/>
      <c r="UU69" s="12"/>
      <c r="UV69" s="12"/>
      <c r="UW69" s="12"/>
      <c r="UX69" s="12"/>
      <c r="UY69" s="12"/>
      <c r="UZ69" s="12"/>
      <c r="VA69" s="12"/>
      <c r="VB69" s="12"/>
      <c r="VC69" s="12"/>
      <c r="VD69" s="12"/>
      <c r="VE69" s="12"/>
      <c r="VF69" s="12"/>
      <c r="VG69" s="12"/>
      <c r="VH69" s="12"/>
      <c r="VI69" s="12"/>
      <c r="VJ69" s="12"/>
      <c r="VK69" s="12"/>
      <c r="VL69" s="12"/>
      <c r="VM69" s="12"/>
      <c r="VN69" s="12"/>
      <c r="VO69" s="12"/>
      <c r="VP69" s="12"/>
      <c r="VQ69" s="12"/>
      <c r="VR69" s="12"/>
      <c r="VS69" s="12"/>
      <c r="VT69" s="12"/>
      <c r="VU69" s="12"/>
      <c r="VV69" s="12"/>
      <c r="VW69" s="12"/>
      <c r="VX69" s="12"/>
      <c r="VY69" s="12"/>
      <c r="VZ69" s="12"/>
      <c r="WA69" s="12"/>
      <c r="WB69" s="12"/>
      <c r="WC69" s="12"/>
      <c r="WD69" s="12"/>
      <c r="WE69" s="12"/>
      <c r="WF69" s="12"/>
      <c r="WG69" s="12"/>
      <c r="WH69" s="12"/>
      <c r="WI69" s="12"/>
      <c r="WJ69" s="12"/>
      <c r="WK69" s="12"/>
      <c r="WL69" s="12"/>
      <c r="WM69" s="12"/>
      <c r="WN69" s="12"/>
      <c r="WO69" s="12"/>
      <c r="WP69" s="12"/>
      <c r="WQ69" s="12"/>
      <c r="WR69" s="12"/>
      <c r="WS69" s="12"/>
      <c r="WT69" s="12"/>
      <c r="WU69" s="12"/>
      <c r="WV69" s="12"/>
      <c r="WW69" s="12"/>
      <c r="WX69" s="12"/>
      <c r="WY69" s="12"/>
      <c r="WZ69" s="12"/>
      <c r="XA69" s="12"/>
      <c r="XB69" s="12"/>
      <c r="XC69" s="12"/>
      <c r="XD69" s="12"/>
      <c r="XE69" s="12"/>
      <c r="XF69" s="12"/>
      <c r="XG69" s="12"/>
      <c r="XH69" s="12"/>
      <c r="XI69" s="12"/>
      <c r="XJ69" s="12"/>
      <c r="XK69" s="12"/>
      <c r="XL69" s="12"/>
      <c r="XM69" s="12"/>
      <c r="XN69" s="12"/>
      <c r="XO69" s="12"/>
      <c r="XP69" s="12"/>
      <c r="XQ69" s="12"/>
      <c r="XR69" s="12"/>
      <c r="XS69" s="12"/>
      <c r="XT69" s="12"/>
      <c r="XU69" s="12"/>
      <c r="XV69" s="12"/>
      <c r="XW69" s="12"/>
      <c r="XX69" s="12"/>
      <c r="XY69" s="12"/>
      <c r="XZ69" s="12"/>
      <c r="YA69" s="12"/>
      <c r="YB69" s="12"/>
      <c r="YC69" s="12"/>
      <c r="YD69" s="12"/>
      <c r="YE69" s="12"/>
      <c r="YF69" s="12"/>
      <c r="YG69" s="12"/>
      <c r="YH69" s="12"/>
      <c r="YI69" s="12"/>
      <c r="YJ69" s="12"/>
      <c r="YK69" s="12"/>
      <c r="YL69" s="12"/>
      <c r="YM69" s="12"/>
      <c r="YN69" s="12"/>
      <c r="YO69" s="12"/>
      <c r="YP69" s="12"/>
      <c r="YQ69" s="12"/>
      <c r="YR69" s="12"/>
      <c r="YS69" s="12"/>
      <c r="YT69" s="12"/>
      <c r="YU69" s="12"/>
      <c r="YV69" s="12"/>
      <c r="YW69" s="12"/>
      <c r="YX69" s="12"/>
      <c r="YY69" s="12"/>
      <c r="YZ69" s="12"/>
      <c r="ZA69" s="12"/>
      <c r="ZB69" s="12"/>
      <c r="ZC69" s="12"/>
      <c r="ZD69" s="12"/>
      <c r="ZE69" s="12"/>
      <c r="ZF69" s="12"/>
      <c r="ZG69" s="12"/>
      <c r="ZH69" s="12"/>
      <c r="ZI69" s="12"/>
      <c r="ZJ69" s="12"/>
      <c r="ZK69" s="12"/>
      <c r="ZL69" s="12"/>
      <c r="ZM69" s="12"/>
      <c r="ZN69" s="12"/>
      <c r="ZO69" s="12"/>
      <c r="ZP69" s="12"/>
      <c r="ZQ69" s="12"/>
      <c r="ZR69" s="12"/>
      <c r="ZS69" s="12"/>
      <c r="ZT69" s="12"/>
      <c r="ZU69" s="12"/>
      <c r="ZV69" s="12"/>
      <c r="ZW69" s="12"/>
      <c r="ZX69" s="12"/>
      <c r="ZY69" s="12"/>
      <c r="ZZ69" s="12"/>
      <c r="AAA69" s="12"/>
      <c r="AAB69" s="12"/>
      <c r="AAC69" s="12"/>
      <c r="AAD69" s="12"/>
      <c r="AAE69" s="12"/>
      <c r="AAF69" s="12"/>
      <c r="AAG69" s="12"/>
      <c r="AAH69" s="12"/>
      <c r="AAI69" s="12"/>
      <c r="AAJ69" s="12"/>
      <c r="AAK69" s="12"/>
      <c r="AAL69" s="12"/>
      <c r="AAM69" s="12"/>
      <c r="AAN69" s="12"/>
      <c r="AAO69" s="12"/>
      <c r="AAP69" s="12"/>
      <c r="AAQ69" s="12"/>
      <c r="AAR69" s="12"/>
      <c r="AAS69" s="12"/>
      <c r="AAT69" s="12"/>
      <c r="AAU69" s="12"/>
      <c r="AAV69" s="12"/>
      <c r="AAW69" s="12"/>
      <c r="AAX69" s="12"/>
      <c r="AAY69" s="12"/>
      <c r="AAZ69" s="12"/>
      <c r="ABA69" s="12"/>
      <c r="ABB69" s="12"/>
      <c r="ABC69" s="12"/>
      <c r="ABD69" s="12"/>
      <c r="ABE69" s="12"/>
      <c r="ABF69" s="12"/>
      <c r="ABG69" s="12"/>
      <c r="ABH69" s="12"/>
      <c r="ABI69" s="12"/>
      <c r="ABJ69" s="12"/>
      <c r="ABK69" s="12"/>
      <c r="ABL69" s="12"/>
      <c r="ABM69" s="12"/>
      <c r="ABN69" s="12"/>
      <c r="ABO69" s="12"/>
      <c r="ABP69" s="12"/>
      <c r="ABQ69" s="12"/>
      <c r="ABR69" s="12"/>
      <c r="ABS69" s="12"/>
      <c r="ABT69" s="12"/>
      <c r="ABU69" s="12"/>
      <c r="ABV69" s="12"/>
      <c r="ABW69" s="12"/>
      <c r="ABX69" s="12"/>
      <c r="ABY69" s="12"/>
      <c r="ABZ69" s="12"/>
      <c r="ACA69" s="12"/>
      <c r="ACB69" s="12"/>
      <c r="ACC69" s="12"/>
      <c r="ACD69" s="12"/>
      <c r="ACE69" s="12"/>
      <c r="ACF69" s="12"/>
      <c r="ACG69" s="12"/>
      <c r="ACH69" s="12"/>
      <c r="ACI69" s="12"/>
      <c r="ACJ69" s="12"/>
      <c r="ACK69" s="12"/>
      <c r="ACL69" s="12"/>
      <c r="ACM69" s="12"/>
      <c r="ACN69" s="12"/>
      <c r="ACO69" s="12"/>
      <c r="ACP69" s="12"/>
      <c r="ACQ69" s="12"/>
      <c r="ACR69" s="12"/>
      <c r="ACS69" s="12"/>
      <c r="ACT69" s="12"/>
      <c r="ACU69" s="12"/>
      <c r="ACV69" s="12"/>
      <c r="ACW69" s="12"/>
      <c r="ACX69" s="12"/>
      <c r="ACY69" s="12"/>
      <c r="ACZ69" s="12"/>
      <c r="ADA69" s="12"/>
      <c r="ADB69" s="12"/>
      <c r="ADC69" s="12"/>
      <c r="ADD69" s="12"/>
      <c r="ADE69" s="12"/>
      <c r="ADF69" s="12"/>
      <c r="ADG69" s="12"/>
      <c r="ADH69" s="12"/>
      <c r="ADI69" s="12"/>
      <c r="ADJ69" s="12"/>
      <c r="ADK69" s="12"/>
      <c r="ADL69" s="12"/>
      <c r="ADM69" s="12"/>
      <c r="ADN69" s="12"/>
      <c r="ADO69" s="12"/>
      <c r="ADP69" s="12"/>
      <c r="ADQ69" s="12"/>
      <c r="ADR69" s="12"/>
      <c r="ADS69" s="12"/>
      <c r="ADT69" s="12"/>
      <c r="ADU69" s="12"/>
      <c r="ADV69" s="12"/>
      <c r="ADW69" s="12"/>
      <c r="ADX69" s="12"/>
      <c r="ADY69" s="12"/>
      <c r="ADZ69" s="12"/>
      <c r="AEA69" s="12"/>
      <c r="AEB69" s="12"/>
      <c r="AEC69" s="12"/>
      <c r="AED69" s="12"/>
      <c r="AEE69" s="12"/>
      <c r="AEF69" s="12"/>
      <c r="AEG69" s="12"/>
      <c r="AEH69" s="12"/>
      <c r="AEI69" s="12"/>
      <c r="AEJ69" s="12"/>
      <c r="AEK69" s="12"/>
      <c r="AEL69" s="12"/>
      <c r="AEM69" s="12"/>
      <c r="AEN69" s="12"/>
      <c r="AEO69" s="12"/>
      <c r="AEP69" s="12"/>
      <c r="AEQ69" s="12"/>
      <c r="AER69" s="12"/>
      <c r="AES69" s="12"/>
      <c r="AET69" s="12"/>
      <c r="AEU69" s="12"/>
      <c r="AEV69" s="12"/>
    </row>
    <row r="70" spans="1:828" s="27" customFormat="1" ht="19" thickBot="1" x14ac:dyDescent="0.25">
      <c r="A70" s="70"/>
      <c r="B70" s="42"/>
      <c r="C70" s="40"/>
      <c r="D70" s="41"/>
      <c r="E70" s="40"/>
      <c r="F70" s="40"/>
      <c r="G70" s="40"/>
      <c r="H70" s="42"/>
      <c r="I70" s="40"/>
      <c r="J70" s="41"/>
      <c r="K70" s="42"/>
      <c r="L70" s="40"/>
      <c r="M70" s="41"/>
      <c r="N70" s="12"/>
      <c r="O70" s="12"/>
      <c r="P70" s="69"/>
      <c r="Q70" s="69"/>
      <c r="R70" s="69"/>
      <c r="S70" s="69"/>
      <c r="T70" s="69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12"/>
      <c r="JV70" s="12"/>
      <c r="JW70" s="12"/>
      <c r="JX70" s="12"/>
      <c r="JY70" s="12"/>
      <c r="JZ70" s="12"/>
      <c r="KA70" s="12"/>
      <c r="KB70" s="12"/>
      <c r="KC70" s="12"/>
      <c r="KD70" s="12"/>
      <c r="KE70" s="12"/>
      <c r="KF70" s="12"/>
      <c r="KG70" s="12"/>
      <c r="KH70" s="12"/>
      <c r="KI70" s="12"/>
      <c r="KJ70" s="12"/>
      <c r="KK70" s="12"/>
      <c r="KL70" s="12"/>
      <c r="KM70" s="12"/>
      <c r="KN70" s="12"/>
      <c r="KO70" s="12"/>
      <c r="KP70" s="12"/>
      <c r="KQ70" s="12"/>
      <c r="KR70" s="12"/>
      <c r="KS70" s="12"/>
      <c r="KT70" s="12"/>
      <c r="KU70" s="12"/>
      <c r="KV70" s="12"/>
      <c r="KW70" s="12"/>
      <c r="KX70" s="12"/>
      <c r="KY70" s="12"/>
      <c r="KZ70" s="12"/>
      <c r="LA70" s="12"/>
      <c r="LB70" s="12"/>
      <c r="LC70" s="12"/>
      <c r="LD70" s="12"/>
      <c r="LE70" s="12"/>
      <c r="LF70" s="12"/>
      <c r="LG70" s="12"/>
      <c r="LH70" s="12"/>
      <c r="LI70" s="12"/>
      <c r="LJ70" s="12"/>
      <c r="LK70" s="12"/>
      <c r="LL70" s="12"/>
      <c r="LM70" s="12"/>
      <c r="LN70" s="12"/>
      <c r="LO70" s="12"/>
      <c r="LP70" s="12"/>
      <c r="LQ70" s="12"/>
      <c r="LR70" s="12"/>
      <c r="LS70" s="12"/>
      <c r="LT70" s="12"/>
      <c r="LU70" s="12"/>
      <c r="LV70" s="12"/>
      <c r="LW70" s="12"/>
      <c r="LX70" s="12"/>
      <c r="LY70" s="12"/>
      <c r="LZ70" s="12"/>
      <c r="MA70" s="12"/>
      <c r="MB70" s="12"/>
      <c r="MC70" s="12"/>
      <c r="MD70" s="12"/>
      <c r="ME70" s="12"/>
      <c r="MF70" s="12"/>
      <c r="MG70" s="12"/>
      <c r="MH70" s="12"/>
      <c r="MI70" s="12"/>
      <c r="MJ70" s="12"/>
      <c r="MK70" s="12"/>
      <c r="ML70" s="12"/>
      <c r="MM70" s="12"/>
      <c r="MN70" s="12"/>
      <c r="MO70" s="12"/>
      <c r="MP70" s="12"/>
      <c r="MQ70" s="12"/>
      <c r="MR70" s="12"/>
      <c r="MS70" s="12"/>
      <c r="MT70" s="12"/>
      <c r="MU70" s="12"/>
      <c r="MV70" s="12"/>
      <c r="MW70" s="12"/>
      <c r="MX70" s="12"/>
      <c r="MY70" s="12"/>
      <c r="MZ70" s="12"/>
      <c r="NA70" s="12"/>
      <c r="NB70" s="12"/>
      <c r="NC70" s="12"/>
      <c r="ND70" s="12"/>
      <c r="NE70" s="12"/>
      <c r="NF70" s="12"/>
      <c r="NG70" s="12"/>
      <c r="NH70" s="12"/>
      <c r="NI70" s="12"/>
      <c r="NJ70" s="12"/>
      <c r="NK70" s="12"/>
      <c r="NL70" s="12"/>
      <c r="NM70" s="12"/>
      <c r="NN70" s="12"/>
      <c r="NO70" s="12"/>
      <c r="NP70" s="12"/>
      <c r="NQ70" s="12"/>
      <c r="NR70" s="12"/>
      <c r="NS70" s="12"/>
      <c r="NT70" s="12"/>
      <c r="NU70" s="12"/>
      <c r="NV70" s="12"/>
      <c r="NW70" s="12"/>
      <c r="NX70" s="12"/>
      <c r="NY70" s="12"/>
      <c r="NZ70" s="12"/>
      <c r="OA70" s="12"/>
      <c r="OB70" s="12"/>
      <c r="OC70" s="12"/>
      <c r="OD70" s="12"/>
      <c r="OE70" s="12"/>
      <c r="OF70" s="12"/>
      <c r="OG70" s="12"/>
      <c r="OH70" s="12"/>
      <c r="OI70" s="12"/>
      <c r="OJ70" s="12"/>
      <c r="OK70" s="12"/>
      <c r="OL70" s="12"/>
      <c r="OM70" s="12"/>
      <c r="ON70" s="12"/>
      <c r="OO70" s="12"/>
      <c r="OP70" s="12"/>
      <c r="OQ70" s="12"/>
      <c r="OR70" s="12"/>
      <c r="OS70" s="12"/>
      <c r="OT70" s="12"/>
      <c r="OU70" s="12"/>
      <c r="OV70" s="12"/>
      <c r="OW70" s="12"/>
      <c r="OX70" s="12"/>
      <c r="OY70" s="12"/>
      <c r="OZ70" s="12"/>
      <c r="PA70" s="12"/>
      <c r="PB70" s="12"/>
      <c r="PC70" s="12"/>
      <c r="PD70" s="12"/>
      <c r="PE70" s="12"/>
      <c r="PF70" s="12"/>
      <c r="PG70" s="12"/>
      <c r="PH70" s="12"/>
      <c r="PI70" s="12"/>
      <c r="PJ70" s="12"/>
      <c r="PK70" s="12"/>
      <c r="PL70" s="12"/>
      <c r="PM70" s="12"/>
      <c r="PN70" s="12"/>
      <c r="PO70" s="12"/>
      <c r="PP70" s="12"/>
      <c r="PQ70" s="12"/>
      <c r="PR70" s="12"/>
      <c r="PS70" s="12"/>
      <c r="PT70" s="12"/>
      <c r="PU70" s="12"/>
      <c r="PV70" s="12"/>
      <c r="PW70" s="12"/>
      <c r="PX70" s="12"/>
      <c r="PY70" s="12"/>
      <c r="PZ70" s="12"/>
      <c r="QA70" s="12"/>
      <c r="QB70" s="12"/>
      <c r="QC70" s="12"/>
      <c r="QD70" s="12"/>
      <c r="QE70" s="12"/>
      <c r="QF70" s="12"/>
      <c r="QG70" s="12"/>
      <c r="QH70" s="12"/>
      <c r="QI70" s="12"/>
      <c r="QJ70" s="12"/>
      <c r="QK70" s="12"/>
      <c r="QL70" s="12"/>
      <c r="QM70" s="12"/>
      <c r="QN70" s="12"/>
      <c r="QO70" s="12"/>
      <c r="QP70" s="12"/>
      <c r="QQ70" s="12"/>
      <c r="QR70" s="12"/>
      <c r="QS70" s="12"/>
      <c r="QT70" s="12"/>
      <c r="QU70" s="12"/>
      <c r="QV70" s="12"/>
      <c r="QW70" s="12"/>
      <c r="QX70" s="12"/>
      <c r="QY70" s="12"/>
      <c r="QZ70" s="12"/>
      <c r="RA70" s="12"/>
      <c r="RB70" s="12"/>
      <c r="RC70" s="12"/>
      <c r="RD70" s="12"/>
      <c r="RE70" s="12"/>
      <c r="RF70" s="12"/>
      <c r="RG70" s="12"/>
      <c r="RH70" s="12"/>
      <c r="RI70" s="12"/>
      <c r="RJ70" s="12"/>
      <c r="RK70" s="12"/>
      <c r="RL70" s="12"/>
      <c r="RM70" s="12"/>
      <c r="RN70" s="12"/>
      <c r="RO70" s="12"/>
      <c r="RP70" s="12"/>
      <c r="RQ70" s="12"/>
      <c r="RR70" s="12"/>
      <c r="RS70" s="12"/>
      <c r="RT70" s="12"/>
      <c r="RU70" s="12"/>
      <c r="RV70" s="12"/>
      <c r="RW70" s="12"/>
      <c r="RX70" s="12"/>
      <c r="RY70" s="12"/>
      <c r="RZ70" s="12"/>
      <c r="SA70" s="12"/>
      <c r="SB70" s="12"/>
      <c r="SC70" s="12"/>
      <c r="SD70" s="12"/>
      <c r="SE70" s="12"/>
      <c r="SF70" s="12"/>
      <c r="SG70" s="12"/>
      <c r="SH70" s="12"/>
      <c r="SI70" s="12"/>
      <c r="SJ70" s="12"/>
      <c r="SK70" s="12"/>
      <c r="SL70" s="12"/>
      <c r="SM70" s="12"/>
      <c r="SN70" s="12"/>
      <c r="SO70" s="12"/>
      <c r="SP70" s="12"/>
      <c r="SQ70" s="12"/>
      <c r="SR70" s="12"/>
      <c r="SS70" s="12"/>
      <c r="ST70" s="12"/>
      <c r="SU70" s="12"/>
      <c r="SV70" s="12"/>
      <c r="SW70" s="12"/>
      <c r="SX70" s="12"/>
      <c r="SY70" s="12"/>
      <c r="SZ70" s="12"/>
      <c r="TA70" s="12"/>
      <c r="TB70" s="12"/>
      <c r="TC70" s="12"/>
      <c r="TD70" s="12"/>
      <c r="TE70" s="12"/>
      <c r="TF70" s="12"/>
      <c r="TG70" s="12"/>
      <c r="TH70" s="12"/>
      <c r="TI70" s="12"/>
      <c r="TJ70" s="12"/>
      <c r="TK70" s="12"/>
      <c r="TL70" s="12"/>
      <c r="TM70" s="12"/>
      <c r="TN70" s="12"/>
      <c r="TO70" s="12"/>
      <c r="TP70" s="12"/>
      <c r="TQ70" s="12"/>
      <c r="TR70" s="12"/>
      <c r="TS70" s="12"/>
      <c r="TT70" s="12"/>
      <c r="TU70" s="12"/>
      <c r="TV70" s="12"/>
      <c r="TW70" s="12"/>
      <c r="TX70" s="12"/>
      <c r="TY70" s="12"/>
      <c r="TZ70" s="12"/>
      <c r="UA70" s="12"/>
      <c r="UB70" s="12"/>
      <c r="UC70" s="12"/>
      <c r="UD70" s="12"/>
      <c r="UE70" s="12"/>
      <c r="UF70" s="12"/>
      <c r="UG70" s="12"/>
      <c r="UH70" s="12"/>
      <c r="UI70" s="12"/>
      <c r="UJ70" s="12"/>
      <c r="UK70" s="12"/>
      <c r="UL70" s="12"/>
      <c r="UM70" s="12"/>
      <c r="UN70" s="12"/>
      <c r="UO70" s="12"/>
      <c r="UP70" s="12"/>
      <c r="UQ70" s="12"/>
      <c r="UR70" s="12"/>
      <c r="US70" s="12"/>
      <c r="UT70" s="12"/>
      <c r="UU70" s="12"/>
      <c r="UV70" s="12"/>
      <c r="UW70" s="12"/>
      <c r="UX70" s="12"/>
      <c r="UY70" s="12"/>
      <c r="UZ70" s="12"/>
      <c r="VA70" s="12"/>
      <c r="VB70" s="12"/>
      <c r="VC70" s="12"/>
      <c r="VD70" s="12"/>
      <c r="VE70" s="12"/>
      <c r="VF70" s="12"/>
      <c r="VG70" s="12"/>
      <c r="VH70" s="12"/>
      <c r="VI70" s="12"/>
      <c r="VJ70" s="12"/>
      <c r="VK70" s="12"/>
      <c r="VL70" s="12"/>
      <c r="VM70" s="12"/>
      <c r="VN70" s="12"/>
      <c r="VO70" s="12"/>
      <c r="VP70" s="12"/>
      <c r="VQ70" s="12"/>
      <c r="VR70" s="12"/>
      <c r="VS70" s="12"/>
      <c r="VT70" s="12"/>
      <c r="VU70" s="12"/>
      <c r="VV70" s="12"/>
      <c r="VW70" s="12"/>
      <c r="VX70" s="12"/>
      <c r="VY70" s="12"/>
      <c r="VZ70" s="12"/>
      <c r="WA70" s="12"/>
      <c r="WB70" s="12"/>
      <c r="WC70" s="12"/>
      <c r="WD70" s="12"/>
      <c r="WE70" s="12"/>
      <c r="WF70" s="12"/>
      <c r="WG70" s="12"/>
      <c r="WH70" s="12"/>
      <c r="WI70" s="12"/>
      <c r="WJ70" s="12"/>
      <c r="WK70" s="12"/>
      <c r="WL70" s="12"/>
      <c r="WM70" s="12"/>
      <c r="WN70" s="12"/>
      <c r="WO70" s="12"/>
      <c r="WP70" s="12"/>
      <c r="WQ70" s="12"/>
      <c r="WR70" s="12"/>
      <c r="WS70" s="12"/>
      <c r="WT70" s="12"/>
      <c r="WU70" s="12"/>
      <c r="WV70" s="12"/>
      <c r="WW70" s="12"/>
      <c r="WX70" s="12"/>
      <c r="WY70" s="12"/>
      <c r="WZ70" s="12"/>
      <c r="XA70" s="12"/>
      <c r="XB70" s="12"/>
      <c r="XC70" s="12"/>
      <c r="XD70" s="12"/>
      <c r="XE70" s="12"/>
      <c r="XF70" s="12"/>
      <c r="XG70" s="12"/>
      <c r="XH70" s="12"/>
      <c r="XI70" s="12"/>
      <c r="XJ70" s="12"/>
      <c r="XK70" s="12"/>
      <c r="XL70" s="12"/>
      <c r="XM70" s="12"/>
      <c r="XN70" s="12"/>
      <c r="XO70" s="12"/>
      <c r="XP70" s="12"/>
      <c r="XQ70" s="12"/>
      <c r="XR70" s="12"/>
      <c r="XS70" s="12"/>
      <c r="XT70" s="12"/>
      <c r="XU70" s="12"/>
      <c r="XV70" s="12"/>
      <c r="XW70" s="12"/>
      <c r="XX70" s="12"/>
      <c r="XY70" s="12"/>
      <c r="XZ70" s="12"/>
      <c r="YA70" s="12"/>
      <c r="YB70" s="12"/>
      <c r="YC70" s="12"/>
      <c r="YD70" s="12"/>
      <c r="YE70" s="12"/>
      <c r="YF70" s="12"/>
      <c r="YG70" s="12"/>
      <c r="YH70" s="12"/>
      <c r="YI70" s="12"/>
      <c r="YJ70" s="12"/>
      <c r="YK70" s="12"/>
      <c r="YL70" s="12"/>
      <c r="YM70" s="12"/>
      <c r="YN70" s="12"/>
      <c r="YO70" s="12"/>
      <c r="YP70" s="12"/>
      <c r="YQ70" s="12"/>
      <c r="YR70" s="12"/>
      <c r="YS70" s="12"/>
      <c r="YT70" s="12"/>
      <c r="YU70" s="12"/>
      <c r="YV70" s="12"/>
      <c r="YW70" s="12"/>
      <c r="YX70" s="12"/>
      <c r="YY70" s="12"/>
      <c r="YZ70" s="12"/>
      <c r="ZA70" s="12"/>
      <c r="ZB70" s="12"/>
      <c r="ZC70" s="12"/>
      <c r="ZD70" s="12"/>
      <c r="ZE70" s="12"/>
      <c r="ZF70" s="12"/>
      <c r="ZG70" s="12"/>
      <c r="ZH70" s="12"/>
      <c r="ZI70" s="12"/>
      <c r="ZJ70" s="12"/>
      <c r="ZK70" s="12"/>
      <c r="ZL70" s="12"/>
      <c r="ZM70" s="12"/>
      <c r="ZN70" s="12"/>
      <c r="ZO70" s="12"/>
      <c r="ZP70" s="12"/>
      <c r="ZQ70" s="12"/>
      <c r="ZR70" s="12"/>
      <c r="ZS70" s="12"/>
      <c r="ZT70" s="12"/>
      <c r="ZU70" s="12"/>
      <c r="ZV70" s="12"/>
      <c r="ZW70" s="12"/>
      <c r="ZX70" s="12"/>
      <c r="ZY70" s="12"/>
      <c r="ZZ70" s="12"/>
      <c r="AAA70" s="12"/>
      <c r="AAB70" s="12"/>
      <c r="AAC70" s="12"/>
      <c r="AAD70" s="12"/>
      <c r="AAE70" s="12"/>
      <c r="AAF70" s="12"/>
      <c r="AAG70" s="12"/>
      <c r="AAH70" s="12"/>
      <c r="AAI70" s="12"/>
      <c r="AAJ70" s="12"/>
      <c r="AAK70" s="12"/>
      <c r="AAL70" s="12"/>
      <c r="AAM70" s="12"/>
      <c r="AAN70" s="12"/>
      <c r="AAO70" s="12"/>
      <c r="AAP70" s="12"/>
      <c r="AAQ70" s="12"/>
      <c r="AAR70" s="12"/>
      <c r="AAS70" s="12"/>
      <c r="AAT70" s="12"/>
      <c r="AAU70" s="12"/>
      <c r="AAV70" s="12"/>
      <c r="AAW70" s="12"/>
      <c r="AAX70" s="12"/>
      <c r="AAY70" s="12"/>
      <c r="AAZ70" s="12"/>
      <c r="ABA70" s="12"/>
      <c r="ABB70" s="12"/>
      <c r="ABC70" s="12"/>
      <c r="ABD70" s="12"/>
      <c r="ABE70" s="12"/>
      <c r="ABF70" s="12"/>
      <c r="ABG70" s="12"/>
      <c r="ABH70" s="12"/>
      <c r="ABI70" s="12"/>
      <c r="ABJ70" s="12"/>
      <c r="ABK70" s="12"/>
      <c r="ABL70" s="12"/>
      <c r="ABM70" s="12"/>
      <c r="ABN70" s="12"/>
      <c r="ABO70" s="12"/>
      <c r="ABP70" s="12"/>
      <c r="ABQ70" s="12"/>
      <c r="ABR70" s="12"/>
      <c r="ABS70" s="12"/>
      <c r="ABT70" s="12"/>
      <c r="ABU70" s="12"/>
      <c r="ABV70" s="12"/>
      <c r="ABW70" s="12"/>
      <c r="ABX70" s="12"/>
      <c r="ABY70" s="12"/>
      <c r="ABZ70" s="12"/>
      <c r="ACA70" s="12"/>
      <c r="ACB70" s="12"/>
      <c r="ACC70" s="12"/>
      <c r="ACD70" s="12"/>
      <c r="ACE70" s="12"/>
      <c r="ACF70" s="12"/>
      <c r="ACG70" s="12"/>
      <c r="ACH70" s="12"/>
      <c r="ACI70" s="12"/>
      <c r="ACJ70" s="12"/>
      <c r="ACK70" s="12"/>
      <c r="ACL70" s="12"/>
      <c r="ACM70" s="12"/>
      <c r="ACN70" s="12"/>
      <c r="ACO70" s="12"/>
      <c r="ACP70" s="12"/>
      <c r="ACQ70" s="12"/>
      <c r="ACR70" s="12"/>
      <c r="ACS70" s="12"/>
      <c r="ACT70" s="12"/>
      <c r="ACU70" s="12"/>
      <c r="ACV70" s="12"/>
      <c r="ACW70" s="12"/>
      <c r="ACX70" s="12"/>
      <c r="ACY70" s="12"/>
      <c r="ACZ70" s="12"/>
      <c r="ADA70" s="12"/>
      <c r="ADB70" s="12"/>
      <c r="ADC70" s="12"/>
      <c r="ADD70" s="12"/>
      <c r="ADE70" s="12"/>
      <c r="ADF70" s="12"/>
      <c r="ADG70" s="12"/>
      <c r="ADH70" s="12"/>
      <c r="ADI70" s="12"/>
      <c r="ADJ70" s="12"/>
      <c r="ADK70" s="12"/>
      <c r="ADL70" s="12"/>
      <c r="ADM70" s="12"/>
      <c r="ADN70" s="12"/>
      <c r="ADO70" s="12"/>
      <c r="ADP70" s="12"/>
      <c r="ADQ70" s="12"/>
      <c r="ADR70" s="12"/>
      <c r="ADS70" s="12"/>
      <c r="ADT70" s="12"/>
      <c r="ADU70" s="12"/>
      <c r="ADV70" s="12"/>
      <c r="ADW70" s="12"/>
      <c r="ADX70" s="12"/>
      <c r="ADY70" s="12"/>
      <c r="ADZ70" s="12"/>
      <c r="AEA70" s="12"/>
      <c r="AEB70" s="12"/>
      <c r="AEC70" s="12"/>
      <c r="AED70" s="12"/>
      <c r="AEE70" s="12"/>
      <c r="AEF70" s="12"/>
      <c r="AEG70" s="12"/>
      <c r="AEH70" s="12"/>
      <c r="AEI70" s="12"/>
      <c r="AEJ70" s="12"/>
      <c r="AEK70" s="12"/>
      <c r="AEL70" s="12"/>
      <c r="AEM70" s="12"/>
      <c r="AEN70" s="12"/>
      <c r="AEO70" s="12"/>
      <c r="AEP70" s="12"/>
      <c r="AEQ70" s="12"/>
      <c r="AER70" s="12"/>
      <c r="AES70" s="12"/>
      <c r="AET70" s="12"/>
      <c r="AEU70" s="12"/>
      <c r="AEV70" s="12"/>
    </row>
    <row r="71" spans="1:828" s="75" customFormat="1" ht="18" x14ac:dyDescent="0.2">
      <c r="A71" s="71" t="s">
        <v>66</v>
      </c>
      <c r="B71" s="72"/>
      <c r="C71" s="73"/>
      <c r="D71" s="74">
        <f>SUM(D5:D66)</f>
        <v>82281</v>
      </c>
      <c r="E71" s="73"/>
      <c r="F71" s="73"/>
      <c r="G71" s="73">
        <f>SUM(G34:G66)</f>
        <v>25646</v>
      </c>
      <c r="H71" s="72"/>
      <c r="I71" s="73"/>
      <c r="J71" s="74">
        <f>SUM(J2:J67)</f>
        <v>125568</v>
      </c>
      <c r="K71" s="72"/>
      <c r="L71" s="73"/>
      <c r="M71" s="74">
        <f>SUM(M2:M67)</f>
        <v>22114</v>
      </c>
      <c r="N71" s="12"/>
      <c r="O71" s="12"/>
      <c r="P71" s="69"/>
      <c r="Q71" s="69"/>
      <c r="R71" s="69"/>
      <c r="S71" s="69"/>
      <c r="T71" s="69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  <c r="IY71" s="12"/>
      <c r="IZ71" s="12"/>
      <c r="JA71" s="12"/>
      <c r="JB71" s="12"/>
      <c r="JC71" s="12"/>
      <c r="JD71" s="12"/>
      <c r="JE71" s="12"/>
      <c r="JF71" s="12"/>
      <c r="JG71" s="12"/>
      <c r="JH71" s="12"/>
      <c r="JI71" s="12"/>
      <c r="JJ71" s="12"/>
      <c r="JK71" s="12"/>
      <c r="JL71" s="12"/>
      <c r="JM71" s="12"/>
      <c r="JN71" s="12"/>
      <c r="JO71" s="12"/>
      <c r="JP71" s="12"/>
      <c r="JQ71" s="12"/>
      <c r="JR71" s="12"/>
      <c r="JS71" s="12"/>
      <c r="JT71" s="12"/>
      <c r="JU71" s="12"/>
      <c r="JV71" s="12"/>
      <c r="JW71" s="12"/>
      <c r="JX71" s="12"/>
      <c r="JY71" s="12"/>
      <c r="JZ71" s="12"/>
      <c r="KA71" s="12"/>
      <c r="KB71" s="12"/>
      <c r="KC71" s="12"/>
      <c r="KD71" s="12"/>
      <c r="KE71" s="12"/>
      <c r="KF71" s="12"/>
      <c r="KG71" s="12"/>
      <c r="KH71" s="12"/>
      <c r="KI71" s="12"/>
      <c r="KJ71" s="12"/>
      <c r="KK71" s="12"/>
      <c r="KL71" s="12"/>
      <c r="KM71" s="12"/>
      <c r="KN71" s="12"/>
      <c r="KO71" s="12"/>
      <c r="KP71" s="12"/>
      <c r="KQ71" s="12"/>
      <c r="KR71" s="12"/>
      <c r="KS71" s="12"/>
      <c r="KT71" s="12"/>
      <c r="KU71" s="12"/>
      <c r="KV71" s="12"/>
      <c r="KW71" s="12"/>
      <c r="KX71" s="12"/>
      <c r="KY71" s="12"/>
      <c r="KZ71" s="12"/>
      <c r="LA71" s="12"/>
      <c r="LB71" s="12"/>
      <c r="LC71" s="12"/>
      <c r="LD71" s="12"/>
      <c r="LE71" s="12"/>
      <c r="LF71" s="12"/>
      <c r="LG71" s="12"/>
      <c r="LH71" s="12"/>
      <c r="LI71" s="12"/>
      <c r="LJ71" s="12"/>
      <c r="LK71" s="12"/>
      <c r="LL71" s="12"/>
      <c r="LM71" s="12"/>
      <c r="LN71" s="12"/>
      <c r="LO71" s="12"/>
      <c r="LP71" s="12"/>
      <c r="LQ71" s="12"/>
      <c r="LR71" s="12"/>
      <c r="LS71" s="12"/>
      <c r="LT71" s="12"/>
      <c r="LU71" s="12"/>
      <c r="LV71" s="12"/>
      <c r="LW71" s="12"/>
      <c r="LX71" s="12"/>
      <c r="LY71" s="12"/>
      <c r="LZ71" s="12"/>
      <c r="MA71" s="12"/>
      <c r="MB71" s="12"/>
      <c r="MC71" s="12"/>
      <c r="MD71" s="12"/>
      <c r="ME71" s="12"/>
      <c r="MF71" s="12"/>
      <c r="MG71" s="12"/>
      <c r="MH71" s="12"/>
      <c r="MI71" s="12"/>
      <c r="MJ71" s="12"/>
      <c r="MK71" s="12"/>
      <c r="ML71" s="12"/>
      <c r="MM71" s="12"/>
      <c r="MN71" s="12"/>
      <c r="MO71" s="12"/>
      <c r="MP71" s="12"/>
      <c r="MQ71" s="12"/>
      <c r="MR71" s="12"/>
      <c r="MS71" s="12"/>
      <c r="MT71" s="12"/>
      <c r="MU71" s="12"/>
      <c r="MV71" s="12"/>
      <c r="MW71" s="12"/>
      <c r="MX71" s="12"/>
      <c r="MY71" s="12"/>
      <c r="MZ71" s="12"/>
      <c r="NA71" s="12"/>
      <c r="NB71" s="12"/>
      <c r="NC71" s="12"/>
      <c r="ND71" s="12"/>
      <c r="NE71" s="12"/>
      <c r="NF71" s="12"/>
      <c r="NG71" s="12"/>
      <c r="NH71" s="12"/>
      <c r="NI71" s="12"/>
      <c r="NJ71" s="12"/>
      <c r="NK71" s="12"/>
      <c r="NL71" s="12"/>
      <c r="NM71" s="12"/>
      <c r="NN71" s="12"/>
      <c r="NO71" s="12"/>
      <c r="NP71" s="12"/>
      <c r="NQ71" s="12"/>
      <c r="NR71" s="12"/>
      <c r="NS71" s="12"/>
      <c r="NT71" s="12"/>
      <c r="NU71" s="12"/>
      <c r="NV71" s="12"/>
      <c r="NW71" s="12"/>
      <c r="NX71" s="12"/>
      <c r="NY71" s="12"/>
      <c r="NZ71" s="12"/>
      <c r="OA71" s="12"/>
      <c r="OB71" s="12"/>
      <c r="OC71" s="12"/>
      <c r="OD71" s="12"/>
      <c r="OE71" s="12"/>
      <c r="OF71" s="12"/>
      <c r="OG71" s="12"/>
      <c r="OH71" s="12"/>
      <c r="OI71" s="12"/>
      <c r="OJ71" s="12"/>
      <c r="OK71" s="12"/>
      <c r="OL71" s="12"/>
      <c r="OM71" s="12"/>
      <c r="ON71" s="12"/>
      <c r="OO71" s="12"/>
      <c r="OP71" s="12"/>
      <c r="OQ71" s="12"/>
      <c r="OR71" s="12"/>
      <c r="OS71" s="12"/>
      <c r="OT71" s="12"/>
      <c r="OU71" s="12"/>
      <c r="OV71" s="12"/>
      <c r="OW71" s="12"/>
      <c r="OX71" s="12"/>
      <c r="OY71" s="12"/>
      <c r="OZ71" s="12"/>
      <c r="PA71" s="12"/>
      <c r="PB71" s="12"/>
      <c r="PC71" s="12"/>
      <c r="PD71" s="12"/>
      <c r="PE71" s="12"/>
      <c r="PF71" s="12"/>
      <c r="PG71" s="12"/>
      <c r="PH71" s="12"/>
      <c r="PI71" s="12"/>
      <c r="PJ71" s="12"/>
      <c r="PK71" s="12"/>
      <c r="PL71" s="12"/>
      <c r="PM71" s="12"/>
      <c r="PN71" s="12"/>
      <c r="PO71" s="12"/>
      <c r="PP71" s="12"/>
      <c r="PQ71" s="12"/>
      <c r="PR71" s="12"/>
      <c r="PS71" s="12"/>
      <c r="PT71" s="12"/>
      <c r="PU71" s="12"/>
      <c r="PV71" s="12"/>
      <c r="PW71" s="12"/>
      <c r="PX71" s="12"/>
      <c r="PY71" s="12"/>
      <c r="PZ71" s="12"/>
      <c r="QA71" s="12"/>
      <c r="QB71" s="12"/>
      <c r="QC71" s="12"/>
      <c r="QD71" s="12"/>
      <c r="QE71" s="12"/>
      <c r="QF71" s="12"/>
      <c r="QG71" s="12"/>
      <c r="QH71" s="12"/>
      <c r="QI71" s="12"/>
      <c r="QJ71" s="12"/>
      <c r="QK71" s="12"/>
      <c r="QL71" s="12"/>
      <c r="QM71" s="12"/>
      <c r="QN71" s="12"/>
      <c r="QO71" s="12"/>
      <c r="QP71" s="12"/>
      <c r="QQ71" s="12"/>
      <c r="QR71" s="12"/>
      <c r="QS71" s="12"/>
      <c r="QT71" s="12"/>
      <c r="QU71" s="12"/>
      <c r="QV71" s="12"/>
      <c r="QW71" s="12"/>
      <c r="QX71" s="12"/>
      <c r="QY71" s="12"/>
      <c r="QZ71" s="12"/>
      <c r="RA71" s="12"/>
      <c r="RB71" s="12"/>
      <c r="RC71" s="12"/>
      <c r="RD71" s="12"/>
      <c r="RE71" s="12"/>
      <c r="RF71" s="12"/>
      <c r="RG71" s="12"/>
      <c r="RH71" s="12"/>
      <c r="RI71" s="12"/>
      <c r="RJ71" s="12"/>
      <c r="RK71" s="12"/>
      <c r="RL71" s="12"/>
      <c r="RM71" s="12"/>
      <c r="RN71" s="12"/>
      <c r="RO71" s="12"/>
      <c r="RP71" s="12"/>
      <c r="RQ71" s="12"/>
      <c r="RR71" s="12"/>
      <c r="RS71" s="12"/>
      <c r="RT71" s="12"/>
      <c r="RU71" s="12"/>
      <c r="RV71" s="12"/>
      <c r="RW71" s="12"/>
      <c r="RX71" s="12"/>
      <c r="RY71" s="12"/>
      <c r="RZ71" s="12"/>
      <c r="SA71" s="12"/>
      <c r="SB71" s="12"/>
      <c r="SC71" s="12"/>
      <c r="SD71" s="12"/>
      <c r="SE71" s="12"/>
      <c r="SF71" s="12"/>
      <c r="SG71" s="12"/>
      <c r="SH71" s="12"/>
      <c r="SI71" s="12"/>
      <c r="SJ71" s="12"/>
      <c r="SK71" s="12"/>
      <c r="SL71" s="12"/>
      <c r="SM71" s="12"/>
      <c r="SN71" s="12"/>
      <c r="SO71" s="12"/>
      <c r="SP71" s="12"/>
      <c r="SQ71" s="12"/>
      <c r="SR71" s="12"/>
      <c r="SS71" s="12"/>
      <c r="ST71" s="12"/>
      <c r="SU71" s="12"/>
      <c r="SV71" s="12"/>
      <c r="SW71" s="12"/>
      <c r="SX71" s="12"/>
      <c r="SY71" s="12"/>
      <c r="SZ71" s="12"/>
      <c r="TA71" s="12"/>
      <c r="TB71" s="12"/>
      <c r="TC71" s="12"/>
      <c r="TD71" s="12"/>
      <c r="TE71" s="12"/>
      <c r="TF71" s="12"/>
      <c r="TG71" s="12"/>
      <c r="TH71" s="12"/>
      <c r="TI71" s="12"/>
      <c r="TJ71" s="12"/>
      <c r="TK71" s="12"/>
      <c r="TL71" s="12"/>
      <c r="TM71" s="12"/>
      <c r="TN71" s="12"/>
      <c r="TO71" s="12"/>
      <c r="TP71" s="12"/>
      <c r="TQ71" s="12"/>
      <c r="TR71" s="12"/>
      <c r="TS71" s="12"/>
      <c r="TT71" s="12"/>
      <c r="TU71" s="12"/>
      <c r="TV71" s="12"/>
      <c r="TW71" s="12"/>
      <c r="TX71" s="12"/>
      <c r="TY71" s="12"/>
      <c r="TZ71" s="12"/>
      <c r="UA71" s="12"/>
      <c r="UB71" s="12"/>
      <c r="UC71" s="12"/>
      <c r="UD71" s="12"/>
      <c r="UE71" s="12"/>
      <c r="UF71" s="12"/>
      <c r="UG71" s="12"/>
      <c r="UH71" s="12"/>
      <c r="UI71" s="12"/>
      <c r="UJ71" s="12"/>
      <c r="UK71" s="12"/>
      <c r="UL71" s="12"/>
      <c r="UM71" s="12"/>
      <c r="UN71" s="12"/>
      <c r="UO71" s="12"/>
      <c r="UP71" s="12"/>
      <c r="UQ71" s="12"/>
      <c r="UR71" s="12"/>
      <c r="US71" s="12"/>
      <c r="UT71" s="12"/>
      <c r="UU71" s="12"/>
      <c r="UV71" s="12"/>
      <c r="UW71" s="12"/>
      <c r="UX71" s="12"/>
      <c r="UY71" s="12"/>
      <c r="UZ71" s="12"/>
      <c r="VA71" s="12"/>
      <c r="VB71" s="12"/>
      <c r="VC71" s="12"/>
      <c r="VD71" s="12"/>
      <c r="VE71" s="12"/>
      <c r="VF71" s="12"/>
      <c r="VG71" s="12"/>
      <c r="VH71" s="12"/>
      <c r="VI71" s="12"/>
      <c r="VJ71" s="12"/>
      <c r="VK71" s="12"/>
      <c r="VL71" s="12"/>
      <c r="VM71" s="12"/>
      <c r="VN71" s="12"/>
      <c r="VO71" s="12"/>
      <c r="VP71" s="12"/>
      <c r="VQ71" s="12"/>
      <c r="VR71" s="12"/>
      <c r="VS71" s="12"/>
      <c r="VT71" s="12"/>
      <c r="VU71" s="12"/>
      <c r="VV71" s="12"/>
      <c r="VW71" s="12"/>
      <c r="VX71" s="12"/>
      <c r="VY71" s="12"/>
      <c r="VZ71" s="12"/>
      <c r="WA71" s="12"/>
      <c r="WB71" s="12"/>
      <c r="WC71" s="12"/>
      <c r="WD71" s="12"/>
      <c r="WE71" s="12"/>
      <c r="WF71" s="12"/>
      <c r="WG71" s="12"/>
      <c r="WH71" s="12"/>
      <c r="WI71" s="12"/>
      <c r="WJ71" s="12"/>
      <c r="WK71" s="12"/>
      <c r="WL71" s="12"/>
      <c r="WM71" s="12"/>
      <c r="WN71" s="12"/>
      <c r="WO71" s="12"/>
      <c r="WP71" s="12"/>
      <c r="WQ71" s="12"/>
      <c r="WR71" s="12"/>
      <c r="WS71" s="12"/>
      <c r="WT71" s="12"/>
      <c r="WU71" s="12"/>
      <c r="WV71" s="12"/>
      <c r="WW71" s="12"/>
      <c r="WX71" s="12"/>
      <c r="WY71" s="12"/>
      <c r="WZ71" s="12"/>
      <c r="XA71" s="12"/>
      <c r="XB71" s="12"/>
      <c r="XC71" s="12"/>
      <c r="XD71" s="12"/>
      <c r="XE71" s="12"/>
      <c r="XF71" s="12"/>
      <c r="XG71" s="12"/>
      <c r="XH71" s="12"/>
      <c r="XI71" s="12"/>
      <c r="XJ71" s="12"/>
      <c r="XK71" s="12"/>
      <c r="XL71" s="12"/>
      <c r="XM71" s="12"/>
      <c r="XN71" s="12"/>
      <c r="XO71" s="12"/>
      <c r="XP71" s="12"/>
      <c r="XQ71" s="12"/>
      <c r="XR71" s="12"/>
      <c r="XS71" s="12"/>
      <c r="XT71" s="12"/>
      <c r="XU71" s="12"/>
      <c r="XV71" s="12"/>
      <c r="XW71" s="12"/>
      <c r="XX71" s="12"/>
      <c r="XY71" s="12"/>
      <c r="XZ71" s="12"/>
      <c r="YA71" s="12"/>
      <c r="YB71" s="12"/>
      <c r="YC71" s="12"/>
      <c r="YD71" s="12"/>
      <c r="YE71" s="12"/>
      <c r="YF71" s="12"/>
      <c r="YG71" s="12"/>
      <c r="YH71" s="12"/>
      <c r="YI71" s="12"/>
      <c r="YJ71" s="12"/>
      <c r="YK71" s="12"/>
      <c r="YL71" s="12"/>
      <c r="YM71" s="12"/>
      <c r="YN71" s="12"/>
      <c r="YO71" s="12"/>
      <c r="YP71" s="12"/>
      <c r="YQ71" s="12"/>
      <c r="YR71" s="12"/>
      <c r="YS71" s="12"/>
      <c r="YT71" s="12"/>
      <c r="YU71" s="12"/>
      <c r="YV71" s="12"/>
      <c r="YW71" s="12"/>
      <c r="YX71" s="12"/>
      <c r="YY71" s="12"/>
      <c r="YZ71" s="12"/>
      <c r="ZA71" s="12"/>
      <c r="ZB71" s="12"/>
      <c r="ZC71" s="12"/>
      <c r="ZD71" s="12"/>
      <c r="ZE71" s="12"/>
      <c r="ZF71" s="12"/>
      <c r="ZG71" s="12"/>
      <c r="ZH71" s="12"/>
      <c r="ZI71" s="12"/>
      <c r="ZJ71" s="12"/>
      <c r="ZK71" s="12"/>
      <c r="ZL71" s="12"/>
      <c r="ZM71" s="12"/>
      <c r="ZN71" s="12"/>
      <c r="ZO71" s="12"/>
      <c r="ZP71" s="12"/>
      <c r="ZQ71" s="12"/>
      <c r="ZR71" s="12"/>
      <c r="ZS71" s="12"/>
      <c r="ZT71" s="12"/>
      <c r="ZU71" s="12"/>
      <c r="ZV71" s="12"/>
      <c r="ZW71" s="12"/>
      <c r="ZX71" s="12"/>
      <c r="ZY71" s="12"/>
      <c r="ZZ71" s="12"/>
      <c r="AAA71" s="12"/>
      <c r="AAB71" s="12"/>
      <c r="AAC71" s="12"/>
      <c r="AAD71" s="12"/>
      <c r="AAE71" s="12"/>
      <c r="AAF71" s="12"/>
      <c r="AAG71" s="12"/>
      <c r="AAH71" s="12"/>
      <c r="AAI71" s="12"/>
      <c r="AAJ71" s="12"/>
      <c r="AAK71" s="12"/>
      <c r="AAL71" s="12"/>
      <c r="AAM71" s="12"/>
      <c r="AAN71" s="12"/>
      <c r="AAO71" s="12"/>
      <c r="AAP71" s="12"/>
      <c r="AAQ71" s="12"/>
      <c r="AAR71" s="12"/>
      <c r="AAS71" s="12"/>
      <c r="AAT71" s="12"/>
      <c r="AAU71" s="12"/>
      <c r="AAV71" s="12"/>
      <c r="AAW71" s="12"/>
      <c r="AAX71" s="12"/>
      <c r="AAY71" s="12"/>
      <c r="AAZ71" s="12"/>
      <c r="ABA71" s="12"/>
      <c r="ABB71" s="12"/>
      <c r="ABC71" s="12"/>
      <c r="ABD71" s="12"/>
      <c r="ABE71" s="12"/>
      <c r="ABF71" s="12"/>
      <c r="ABG71" s="12"/>
      <c r="ABH71" s="12"/>
      <c r="ABI71" s="12"/>
      <c r="ABJ71" s="12"/>
      <c r="ABK71" s="12"/>
      <c r="ABL71" s="12"/>
      <c r="ABM71" s="12"/>
      <c r="ABN71" s="12"/>
      <c r="ABO71" s="12"/>
      <c r="ABP71" s="12"/>
      <c r="ABQ71" s="12"/>
      <c r="ABR71" s="12"/>
      <c r="ABS71" s="12"/>
      <c r="ABT71" s="12"/>
      <c r="ABU71" s="12"/>
      <c r="ABV71" s="12"/>
      <c r="ABW71" s="12"/>
      <c r="ABX71" s="12"/>
      <c r="ABY71" s="12"/>
      <c r="ABZ71" s="12"/>
      <c r="ACA71" s="12"/>
      <c r="ACB71" s="12"/>
      <c r="ACC71" s="12"/>
      <c r="ACD71" s="12"/>
      <c r="ACE71" s="12"/>
      <c r="ACF71" s="12"/>
      <c r="ACG71" s="12"/>
      <c r="ACH71" s="12"/>
      <c r="ACI71" s="12"/>
      <c r="ACJ71" s="12"/>
      <c r="ACK71" s="12"/>
      <c r="ACL71" s="12"/>
      <c r="ACM71" s="12"/>
      <c r="ACN71" s="12"/>
      <c r="ACO71" s="12"/>
      <c r="ACP71" s="12"/>
      <c r="ACQ71" s="12"/>
      <c r="ACR71" s="12"/>
      <c r="ACS71" s="12"/>
      <c r="ACT71" s="12"/>
      <c r="ACU71" s="12"/>
      <c r="ACV71" s="12"/>
      <c r="ACW71" s="12"/>
      <c r="ACX71" s="12"/>
      <c r="ACY71" s="12"/>
      <c r="ACZ71" s="12"/>
      <c r="ADA71" s="12"/>
      <c r="ADB71" s="12"/>
      <c r="ADC71" s="12"/>
      <c r="ADD71" s="12"/>
      <c r="ADE71" s="12"/>
      <c r="ADF71" s="12"/>
      <c r="ADG71" s="12"/>
      <c r="ADH71" s="12"/>
      <c r="ADI71" s="12"/>
      <c r="ADJ71" s="12"/>
      <c r="ADK71" s="12"/>
      <c r="ADL71" s="12"/>
      <c r="ADM71" s="12"/>
      <c r="ADN71" s="12"/>
      <c r="ADO71" s="12"/>
      <c r="ADP71" s="12"/>
      <c r="ADQ71" s="12"/>
      <c r="ADR71" s="12"/>
      <c r="ADS71" s="12"/>
      <c r="ADT71" s="12"/>
      <c r="ADU71" s="12"/>
      <c r="ADV71" s="12"/>
      <c r="ADW71" s="12"/>
      <c r="ADX71" s="12"/>
      <c r="ADY71" s="12"/>
      <c r="ADZ71" s="12"/>
      <c r="AEA71" s="12"/>
      <c r="AEB71" s="12"/>
      <c r="AEC71" s="12"/>
      <c r="AED71" s="12"/>
      <c r="AEE71" s="12"/>
      <c r="AEF71" s="12"/>
      <c r="AEG71" s="12"/>
      <c r="AEH71" s="12"/>
      <c r="AEI71" s="12"/>
      <c r="AEJ71" s="12"/>
      <c r="AEK71" s="12"/>
      <c r="AEL71" s="12"/>
      <c r="AEM71" s="12"/>
      <c r="AEN71" s="12"/>
      <c r="AEO71" s="12"/>
      <c r="AEP71" s="12"/>
      <c r="AEQ71" s="12"/>
      <c r="AER71" s="12"/>
      <c r="AES71" s="12"/>
      <c r="AET71" s="12"/>
      <c r="AEU71" s="12"/>
      <c r="AEV71" s="12"/>
    </row>
    <row r="72" spans="1:828" x14ac:dyDescent="0.2">
      <c r="D72" s="78"/>
      <c r="E72" s="79"/>
      <c r="F72" s="79"/>
      <c r="G72" s="79"/>
      <c r="K72" s="27"/>
      <c r="L72" s="27"/>
      <c r="M72" s="29"/>
    </row>
    <row r="73" spans="1:828" x14ac:dyDescent="0.2">
      <c r="K73" s="27"/>
      <c r="L73" s="27"/>
      <c r="M73" s="29"/>
    </row>
    <row r="74" spans="1:828" x14ac:dyDescent="0.2">
      <c r="D74" s="80">
        <f>D71+G71</f>
        <v>107927</v>
      </c>
      <c r="J74" s="80">
        <f>J71+M71-J2</f>
        <v>105204</v>
      </c>
      <c r="K74" s="27"/>
      <c r="L74" s="27"/>
      <c r="M74" s="29"/>
    </row>
    <row r="75" spans="1:828" x14ac:dyDescent="0.2">
      <c r="D75" s="78">
        <f>D71/D74</f>
        <v>0.76237642109944681</v>
      </c>
      <c r="K75" s="27"/>
      <c r="L75" s="27"/>
      <c r="M75" s="29"/>
    </row>
    <row r="76" spans="1:828" x14ac:dyDescent="0.2">
      <c r="J76" s="7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5FBF-568F-164E-ADA9-8E643AF3142C}">
  <dimension ref="A1:AEV76"/>
  <sheetViews>
    <sheetView tabSelected="1" topLeftCell="F54" workbookViewId="0">
      <selection activeCell="J74" sqref="J74"/>
    </sheetView>
  </sheetViews>
  <sheetFormatPr baseColWidth="10" defaultColWidth="9" defaultRowHeight="16" x14ac:dyDescent="0.2"/>
  <cols>
    <col min="1" max="1" width="47.33203125" style="76" customWidth="1"/>
    <col min="2" max="2" width="17.33203125" style="77" customWidth="1"/>
    <col min="3" max="3" width="33.5" style="12" customWidth="1"/>
    <col min="4" max="4" width="27.33203125" style="80" customWidth="1"/>
    <col min="5" max="6" width="27.33203125" style="12" customWidth="1"/>
    <col min="7" max="7" width="27" style="12" customWidth="1"/>
    <col min="8" max="8" width="15.6640625" style="77" customWidth="1"/>
    <col min="9" max="9" width="30.1640625" style="12" customWidth="1"/>
    <col min="10" max="10" width="15.5" style="80" customWidth="1"/>
    <col min="11" max="11" width="26.83203125" style="77" customWidth="1"/>
    <col min="12" max="12" width="37.6640625" style="12" customWidth="1"/>
    <col min="13" max="13" width="15.5" style="80" customWidth="1"/>
    <col min="14" max="14" width="13" style="12" customWidth="1"/>
    <col min="15" max="15" width="12.1640625" style="12" customWidth="1"/>
    <col min="16" max="20" width="9" style="69"/>
    <col min="21" max="16384" width="9" style="12"/>
  </cols>
  <sheetData>
    <row r="1" spans="1:828" s="6" customFormat="1" ht="26" thickBot="1" x14ac:dyDescent="0.25">
      <c r="A1" s="1" t="s">
        <v>0</v>
      </c>
      <c r="B1" s="2">
        <v>2007</v>
      </c>
      <c r="C1" s="3" t="s">
        <v>1</v>
      </c>
      <c r="D1" s="4" t="s">
        <v>2</v>
      </c>
      <c r="E1" s="2">
        <v>2007</v>
      </c>
      <c r="F1" s="3" t="s">
        <v>3</v>
      </c>
      <c r="G1" s="3" t="s">
        <v>4</v>
      </c>
      <c r="H1" s="2">
        <v>2017</v>
      </c>
      <c r="I1" s="3" t="s">
        <v>5</v>
      </c>
      <c r="J1" s="4" t="s">
        <v>6</v>
      </c>
      <c r="K1" s="2">
        <v>2017</v>
      </c>
      <c r="L1" s="3" t="s">
        <v>7</v>
      </c>
      <c r="M1" s="4" t="s">
        <v>8</v>
      </c>
      <c r="N1" s="5"/>
      <c r="O1" s="5"/>
      <c r="P1"/>
      <c r="Q1"/>
      <c r="R1"/>
      <c r="S1"/>
      <c r="T1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</row>
    <row r="2" spans="1:828" s="13" customFormat="1" ht="19" x14ac:dyDescent="0.2">
      <c r="A2" s="7" t="s">
        <v>9</v>
      </c>
      <c r="B2" s="8"/>
      <c r="C2" s="9" t="s">
        <v>10</v>
      </c>
      <c r="D2" s="10">
        <v>0</v>
      </c>
      <c r="E2" s="9"/>
      <c r="F2" s="9"/>
      <c r="G2" s="9"/>
      <c r="H2" s="8">
        <f>J2/J74</f>
        <v>0.35944320443325378</v>
      </c>
      <c r="I2" s="9" t="s">
        <v>11</v>
      </c>
      <c r="J2" s="11">
        <v>65382</v>
      </c>
      <c r="K2" s="8"/>
      <c r="L2" s="9"/>
      <c r="M2" s="10"/>
      <c r="N2" s="12"/>
      <c r="O2" s="12"/>
      <c r="P2"/>
      <c r="Q2"/>
      <c r="R2"/>
      <c r="S2"/>
      <c r="T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</row>
    <row r="3" spans="1:828" s="13" customFormat="1" ht="18" x14ac:dyDescent="0.2">
      <c r="A3" s="14"/>
      <c r="B3" s="15"/>
      <c r="C3" s="16"/>
      <c r="D3" s="11"/>
      <c r="E3" s="16"/>
      <c r="F3" s="16"/>
      <c r="G3" s="16"/>
      <c r="H3" s="15"/>
      <c r="I3" s="16"/>
      <c r="J3" s="11"/>
      <c r="K3" s="15"/>
      <c r="L3" s="16"/>
      <c r="M3" s="11"/>
      <c r="N3" s="12"/>
      <c r="O3" s="12"/>
      <c r="P3"/>
      <c r="Q3"/>
      <c r="R3"/>
      <c r="S3"/>
      <c r="T3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</row>
    <row r="4" spans="1:828" s="13" customFormat="1" ht="19" thickBot="1" x14ac:dyDescent="0.25">
      <c r="A4" s="17"/>
      <c r="B4" s="18"/>
      <c r="C4" s="19"/>
      <c r="D4" s="20"/>
      <c r="E4" s="19"/>
      <c r="F4" s="19"/>
      <c r="G4" s="19"/>
      <c r="H4" s="18"/>
      <c r="I4" s="19"/>
      <c r="J4" s="20"/>
      <c r="K4" s="18"/>
      <c r="L4" s="19"/>
      <c r="M4" s="20"/>
      <c r="N4" s="12"/>
      <c r="O4" s="12"/>
      <c r="P4"/>
      <c r="Q4"/>
      <c r="R4"/>
      <c r="S4"/>
      <c r="T4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</row>
    <row r="5" spans="1:828" s="27" customFormat="1" ht="19" x14ac:dyDescent="0.2">
      <c r="A5" s="21" t="s">
        <v>12</v>
      </c>
      <c r="B5" s="22">
        <f>D5/$D$74</f>
        <v>2.1595274218018656E-2</v>
      </c>
      <c r="C5" s="23" t="s">
        <v>13</v>
      </c>
      <c r="D5" s="24">
        <f>22+2654</f>
        <v>2676</v>
      </c>
      <c r="E5" s="25"/>
      <c r="F5" s="25"/>
      <c r="G5" s="25"/>
      <c r="H5" s="26">
        <f>J5/J74</f>
        <v>2.6866705516278355E-2</v>
      </c>
      <c r="I5" s="25" t="s">
        <v>14</v>
      </c>
      <c r="J5" s="24">
        <v>4887</v>
      </c>
      <c r="K5" s="26"/>
      <c r="L5" s="25"/>
      <c r="M5" s="24"/>
      <c r="N5" s="12"/>
      <c r="O5" s="12"/>
      <c r="P5"/>
      <c r="Q5"/>
      <c r="R5"/>
      <c r="S5"/>
      <c r="T5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</row>
    <row r="6" spans="1:828" s="27" customFormat="1" ht="18" x14ac:dyDescent="0.2">
      <c r="A6" s="28"/>
      <c r="B6" s="29"/>
      <c r="C6" s="23"/>
      <c r="D6" s="29"/>
      <c r="E6" s="23"/>
      <c r="F6" s="23"/>
      <c r="G6" s="23"/>
      <c r="H6" s="30"/>
      <c r="I6" s="31"/>
      <c r="J6" s="32"/>
      <c r="K6" s="30"/>
      <c r="L6" s="31"/>
      <c r="M6" s="32"/>
      <c r="N6" s="12"/>
      <c r="O6" s="12"/>
      <c r="P6"/>
      <c r="Q6"/>
      <c r="R6"/>
      <c r="S6"/>
      <c r="T6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</row>
    <row r="7" spans="1:828" s="27" customFormat="1" ht="18" x14ac:dyDescent="0.2">
      <c r="A7" s="28"/>
      <c r="B7" s="29"/>
      <c r="C7" s="23"/>
      <c r="D7" s="29"/>
      <c r="E7" s="23"/>
      <c r="F7" s="23"/>
      <c r="G7" s="23"/>
      <c r="H7" s="30"/>
      <c r="I7" s="23"/>
      <c r="J7" s="29"/>
      <c r="K7" s="30"/>
      <c r="L7" s="23"/>
      <c r="M7" s="29"/>
      <c r="N7" s="12"/>
      <c r="O7" s="12"/>
      <c r="P7"/>
      <c r="Q7"/>
      <c r="R7"/>
      <c r="S7"/>
      <c r="T7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</row>
    <row r="8" spans="1:828" s="27" customFormat="1" ht="18" x14ac:dyDescent="0.2">
      <c r="A8" s="28"/>
      <c r="B8" s="29"/>
      <c r="C8" s="23"/>
      <c r="D8" s="29"/>
      <c r="E8" s="23"/>
      <c r="F8" s="23"/>
      <c r="G8" s="23"/>
      <c r="H8" s="30"/>
      <c r="I8" s="23"/>
      <c r="J8" s="29"/>
      <c r="K8" s="30"/>
      <c r="L8" s="23"/>
      <c r="M8" s="29"/>
      <c r="N8" s="12"/>
      <c r="O8" s="12"/>
      <c r="P8"/>
      <c r="Q8"/>
      <c r="R8"/>
      <c r="S8"/>
      <c r="T8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</row>
    <row r="9" spans="1:828" s="27" customFormat="1" ht="18" x14ac:dyDescent="0.2">
      <c r="A9" s="28"/>
      <c r="B9" s="29"/>
      <c r="C9" s="23"/>
      <c r="D9" s="29"/>
      <c r="E9" s="23"/>
      <c r="F9" s="23"/>
      <c r="G9" s="23"/>
      <c r="H9" s="30"/>
      <c r="I9" s="23"/>
      <c r="J9" s="29"/>
      <c r="K9" s="30"/>
      <c r="L9" s="23"/>
      <c r="M9" s="29"/>
      <c r="N9" s="12"/>
      <c r="O9" s="12"/>
      <c r="P9"/>
      <c r="Q9"/>
      <c r="R9"/>
      <c r="S9"/>
      <c r="T9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</row>
    <row r="10" spans="1:828" s="27" customFormat="1" ht="19" thickBot="1" x14ac:dyDescent="0.25">
      <c r="A10" s="28"/>
      <c r="B10" s="29"/>
      <c r="C10" s="23"/>
      <c r="D10" s="29"/>
      <c r="E10" s="23"/>
      <c r="F10" s="23"/>
      <c r="G10" s="23"/>
      <c r="H10" s="30"/>
      <c r="I10" s="23"/>
      <c r="J10" s="29"/>
      <c r="K10" s="30"/>
      <c r="L10" s="23"/>
      <c r="M10" s="29"/>
      <c r="N10" s="12"/>
      <c r="O10" s="12"/>
      <c r="P10"/>
      <c r="Q10"/>
      <c r="R10"/>
      <c r="S10"/>
      <c r="T10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</row>
    <row r="11" spans="1:828" s="33" customFormat="1" ht="19" x14ac:dyDescent="0.2">
      <c r="A11" s="7" t="s">
        <v>15</v>
      </c>
      <c r="B11" s="26">
        <f t="shared" ref="B11:B66" si="0">D11/$D$74</f>
        <v>0.28775944994996611</v>
      </c>
      <c r="C11" s="9" t="s">
        <v>16</v>
      </c>
      <c r="D11" s="10">
        <v>35658</v>
      </c>
      <c r="E11" s="9"/>
      <c r="F11" s="9"/>
      <c r="G11" s="9"/>
      <c r="H11" s="8">
        <f>J11/J74</f>
        <v>0.15585657896183575</v>
      </c>
      <c r="I11" s="9" t="s">
        <v>17</v>
      </c>
      <c r="J11" s="10">
        <v>28350</v>
      </c>
      <c r="K11" s="8"/>
      <c r="L11" s="9"/>
      <c r="M11" s="10"/>
      <c r="N11" s="12"/>
      <c r="O11" s="12"/>
      <c r="P11"/>
      <c r="Q11"/>
      <c r="R11"/>
      <c r="S11"/>
      <c r="T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</row>
    <row r="12" spans="1:828" s="13" customFormat="1" ht="18" x14ac:dyDescent="0.2">
      <c r="A12" s="34"/>
      <c r="B12" s="16"/>
      <c r="C12" s="16"/>
      <c r="D12" s="11"/>
      <c r="E12" s="16"/>
      <c r="F12" s="16"/>
      <c r="G12" s="16"/>
      <c r="H12" s="15"/>
      <c r="I12" s="16"/>
      <c r="J12" s="11"/>
      <c r="K12" s="15"/>
      <c r="L12" s="16"/>
      <c r="M12" s="11"/>
      <c r="N12" s="12"/>
      <c r="O12" s="12"/>
      <c r="P12"/>
      <c r="Q12"/>
      <c r="R12"/>
      <c r="S12"/>
      <c r="T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</row>
    <row r="13" spans="1:828" s="13" customFormat="1" ht="18" x14ac:dyDescent="0.2">
      <c r="A13" s="34"/>
      <c r="B13" s="16"/>
      <c r="C13" s="16"/>
      <c r="D13" s="11"/>
      <c r="E13" s="16"/>
      <c r="F13" s="16"/>
      <c r="G13" s="16"/>
      <c r="H13" s="15"/>
      <c r="I13" s="35"/>
      <c r="J13" s="36"/>
      <c r="K13" s="15"/>
      <c r="L13" s="35"/>
      <c r="M13" s="36"/>
      <c r="N13" s="12"/>
      <c r="O13" s="12"/>
      <c r="P13"/>
      <c r="Q13"/>
      <c r="R13"/>
      <c r="S13"/>
      <c r="T13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</row>
    <row r="14" spans="1:828" s="13" customFormat="1" ht="18" x14ac:dyDescent="0.2">
      <c r="A14" s="34"/>
      <c r="B14" s="16"/>
      <c r="C14" s="16"/>
      <c r="D14" s="11"/>
      <c r="E14" s="16"/>
      <c r="F14" s="16"/>
      <c r="G14" s="16"/>
      <c r="H14" s="15"/>
      <c r="I14" s="35"/>
      <c r="J14" s="36"/>
      <c r="K14" s="15"/>
      <c r="L14" s="35"/>
      <c r="M14" s="36"/>
      <c r="N14" s="12"/>
      <c r="O14" s="12"/>
      <c r="P14"/>
      <c r="Q14"/>
      <c r="R14"/>
      <c r="S14"/>
      <c r="T14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</row>
    <row r="15" spans="1:828" s="13" customFormat="1" ht="18" x14ac:dyDescent="0.2">
      <c r="A15" s="34"/>
      <c r="B15" s="16"/>
      <c r="C15" s="16"/>
      <c r="D15" s="11"/>
      <c r="E15" s="16"/>
      <c r="F15" s="16"/>
      <c r="G15" s="16"/>
      <c r="H15" s="15"/>
      <c r="I15" s="35"/>
      <c r="J15" s="36"/>
      <c r="K15" s="15"/>
      <c r="L15" s="35"/>
      <c r="M15" s="36"/>
      <c r="N15" s="12"/>
      <c r="O15" s="12"/>
      <c r="P15"/>
      <c r="Q15"/>
      <c r="R15"/>
      <c r="S15"/>
      <c r="T15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</row>
    <row r="16" spans="1:828" s="13" customFormat="1" ht="18" x14ac:dyDescent="0.2">
      <c r="A16" s="34"/>
      <c r="B16" s="16"/>
      <c r="C16" s="16"/>
      <c r="D16" s="11"/>
      <c r="E16" s="16"/>
      <c r="F16" s="16"/>
      <c r="G16" s="16"/>
      <c r="H16" s="15"/>
      <c r="I16" s="35"/>
      <c r="J16" s="36"/>
      <c r="K16" s="15"/>
      <c r="L16" s="35"/>
      <c r="M16" s="36"/>
      <c r="N16" s="12"/>
      <c r="O16" s="12"/>
      <c r="P16"/>
      <c r="Q16"/>
      <c r="R16"/>
      <c r="S16"/>
      <c r="T16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</row>
    <row r="17" spans="1:828" s="13" customFormat="1" ht="18" x14ac:dyDescent="0.2">
      <c r="A17" s="34"/>
      <c r="B17" s="16"/>
      <c r="C17" s="16"/>
      <c r="D17" s="11"/>
      <c r="E17" s="16"/>
      <c r="F17" s="16"/>
      <c r="G17" s="16"/>
      <c r="H17" s="15"/>
      <c r="I17" s="35"/>
      <c r="J17" s="36"/>
      <c r="K17" s="15"/>
      <c r="L17" s="35"/>
      <c r="M17" s="36"/>
      <c r="N17" s="12"/>
      <c r="O17" s="12"/>
      <c r="P17"/>
      <c r="Q17"/>
      <c r="R17"/>
      <c r="S17"/>
      <c r="T17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</row>
    <row r="18" spans="1:828" s="13" customFormat="1" ht="18" x14ac:dyDescent="0.2">
      <c r="A18" s="34"/>
      <c r="B18" s="16"/>
      <c r="C18" s="16"/>
      <c r="D18" s="11"/>
      <c r="E18" s="16"/>
      <c r="F18" s="16"/>
      <c r="G18" s="16"/>
      <c r="H18" s="15"/>
      <c r="I18" s="35"/>
      <c r="J18" s="36"/>
      <c r="K18" s="15"/>
      <c r="L18" s="35"/>
      <c r="M18" s="36"/>
      <c r="N18" s="12"/>
      <c r="O18" s="12"/>
      <c r="P18"/>
      <c r="Q18"/>
      <c r="R18"/>
      <c r="S18"/>
      <c r="T18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</row>
    <row r="19" spans="1:828" s="13" customFormat="1" ht="19" thickBot="1" x14ac:dyDescent="0.25">
      <c r="A19" s="14"/>
      <c r="B19" s="16"/>
      <c r="C19" s="16"/>
      <c r="D19" s="11"/>
      <c r="E19" s="16"/>
      <c r="F19" s="16"/>
      <c r="G19" s="16"/>
      <c r="H19" s="15"/>
      <c r="I19" s="16"/>
      <c r="J19" s="11"/>
      <c r="K19" s="15"/>
      <c r="L19" s="16"/>
      <c r="M19" s="11"/>
      <c r="N19" s="12"/>
      <c r="O19" s="12"/>
      <c r="P19"/>
      <c r="Q19"/>
      <c r="R19"/>
      <c r="S19"/>
      <c r="T19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</row>
    <row r="20" spans="1:828" s="38" customFormat="1" ht="19" x14ac:dyDescent="0.2">
      <c r="A20" s="21" t="s">
        <v>18</v>
      </c>
      <c r="B20" s="37">
        <f t="shared" si="0"/>
        <v>5.8805965331353495E-2</v>
      </c>
      <c r="C20" s="25" t="s">
        <v>19</v>
      </c>
      <c r="D20" s="24">
        <v>7287</v>
      </c>
      <c r="E20" s="25"/>
      <c r="F20" s="25"/>
      <c r="G20" s="25"/>
      <c r="H20" s="26">
        <f>SUM(J20:J23)/J74</f>
        <v>3.7499037922352089E-2</v>
      </c>
      <c r="I20" s="25" t="s">
        <v>20</v>
      </c>
      <c r="J20" s="24">
        <v>406</v>
      </c>
      <c r="K20" s="26"/>
      <c r="L20" s="25"/>
      <c r="M20" s="24"/>
      <c r="N20" s="12"/>
      <c r="O20" s="12"/>
      <c r="P20"/>
      <c r="Q20"/>
      <c r="R20"/>
      <c r="S20"/>
      <c r="T20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</row>
    <row r="21" spans="1:828" s="27" customFormat="1" ht="18" x14ac:dyDescent="0.2">
      <c r="A21" s="28"/>
      <c r="B21" s="23"/>
      <c r="C21" s="23"/>
      <c r="D21" s="29"/>
      <c r="E21" s="23"/>
      <c r="F21" s="23"/>
      <c r="G21" s="23"/>
      <c r="H21" s="30"/>
      <c r="I21" s="23" t="s">
        <v>21</v>
      </c>
      <c r="J21" s="29">
        <v>4580</v>
      </c>
      <c r="K21" s="30"/>
      <c r="L21" s="23"/>
      <c r="M21" s="29"/>
      <c r="N21" s="12"/>
      <c r="O21" s="12"/>
      <c r="P21"/>
      <c r="Q21"/>
      <c r="R21"/>
      <c r="S21"/>
      <c r="T2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</row>
    <row r="22" spans="1:828" s="27" customFormat="1" ht="18" x14ac:dyDescent="0.2">
      <c r="A22" s="28"/>
      <c r="B22" s="23"/>
      <c r="C22" s="23"/>
      <c r="D22" s="29"/>
      <c r="E22" s="23"/>
      <c r="F22" s="23"/>
      <c r="G22" s="23"/>
      <c r="H22" s="30"/>
      <c r="I22" s="23" t="s">
        <v>22</v>
      </c>
      <c r="J22" s="29">
        <v>417</v>
      </c>
      <c r="K22" s="30"/>
      <c r="L22" s="23"/>
      <c r="M22" s="29"/>
      <c r="N22" s="12"/>
      <c r="O22" s="12"/>
      <c r="P22"/>
      <c r="Q22"/>
      <c r="R22"/>
      <c r="S22"/>
      <c r="T2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</row>
    <row r="23" spans="1:828" s="27" customFormat="1" ht="18" x14ac:dyDescent="0.2">
      <c r="A23" s="28"/>
      <c r="B23" s="23"/>
      <c r="C23" s="23"/>
      <c r="D23" s="29"/>
      <c r="E23" s="23"/>
      <c r="F23" s="23"/>
      <c r="G23" s="23"/>
      <c r="H23" s="30"/>
      <c r="I23" s="23" t="s">
        <v>23</v>
      </c>
      <c r="J23" s="29">
        <v>1418</v>
      </c>
      <c r="K23" s="30"/>
      <c r="L23" s="23"/>
      <c r="M23" s="29"/>
      <c r="N23" s="12"/>
      <c r="O23" s="12"/>
      <c r="P23"/>
      <c r="Q23"/>
      <c r="R23"/>
      <c r="S23"/>
      <c r="T23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</row>
    <row r="24" spans="1:828" s="27" customFormat="1" ht="18" x14ac:dyDescent="0.2">
      <c r="A24" s="28"/>
      <c r="B24" s="23"/>
      <c r="C24" s="23"/>
      <c r="D24" s="29"/>
      <c r="E24" s="23"/>
      <c r="F24" s="23"/>
      <c r="G24" s="23"/>
      <c r="H24" s="30"/>
      <c r="I24" s="23"/>
      <c r="J24" s="29"/>
      <c r="K24" s="30"/>
      <c r="L24" s="23"/>
      <c r="M24" s="29"/>
      <c r="N24" s="12"/>
      <c r="O24" s="12"/>
      <c r="P24"/>
      <c r="Q24"/>
      <c r="R24"/>
      <c r="S24"/>
      <c r="T24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</row>
    <row r="25" spans="1:828" s="27" customFormat="1" ht="18" x14ac:dyDescent="0.2">
      <c r="A25" s="28"/>
      <c r="B25" s="23"/>
      <c r="C25" s="23"/>
      <c r="D25" s="29"/>
      <c r="E25" s="23"/>
      <c r="F25" s="23"/>
      <c r="G25" s="23"/>
      <c r="H25" s="30"/>
      <c r="I25" s="23"/>
      <c r="J25" s="29"/>
      <c r="K25" s="30"/>
      <c r="L25" s="23"/>
      <c r="M25" s="29"/>
      <c r="N25" s="12"/>
      <c r="O25" s="12"/>
      <c r="P25"/>
      <c r="Q25"/>
      <c r="R25"/>
      <c r="S25"/>
      <c r="T25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</row>
    <row r="26" spans="1:828" s="27" customFormat="1" ht="18" x14ac:dyDescent="0.2">
      <c r="A26" s="28"/>
      <c r="B26" s="23"/>
      <c r="C26" s="23"/>
      <c r="D26" s="29"/>
      <c r="E26" s="23"/>
      <c r="F26" s="23"/>
      <c r="G26" s="23"/>
      <c r="H26" s="30"/>
      <c r="I26" s="23"/>
      <c r="J26" s="29"/>
      <c r="K26" s="30"/>
      <c r="L26" s="23"/>
      <c r="M26" s="29"/>
      <c r="N26" s="12"/>
      <c r="O26" s="12"/>
      <c r="P26"/>
      <c r="Q26"/>
      <c r="R26"/>
      <c r="S26"/>
      <c r="T26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</row>
    <row r="27" spans="1:828" s="43" customFormat="1" ht="19" thickBot="1" x14ac:dyDescent="0.25">
      <c r="A27" s="39"/>
      <c r="B27" s="23"/>
      <c r="C27" s="40"/>
      <c r="D27" s="41"/>
      <c r="E27" s="40"/>
      <c r="F27" s="40"/>
      <c r="H27" s="42"/>
      <c r="I27" s="40"/>
      <c r="J27" s="41"/>
      <c r="K27" s="42"/>
      <c r="L27" s="40"/>
      <c r="M27" s="41"/>
      <c r="N27" s="12"/>
      <c r="O27" s="12"/>
      <c r="P27"/>
      <c r="Q27"/>
      <c r="R27"/>
      <c r="S27"/>
      <c r="T27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</row>
    <row r="28" spans="1:828" s="13" customFormat="1" ht="19" x14ac:dyDescent="0.2">
      <c r="A28" s="14" t="s">
        <v>24</v>
      </c>
      <c r="B28" s="44">
        <f t="shared" si="0"/>
        <v>4.8339197520901253E-3</v>
      </c>
      <c r="C28" s="16" t="s">
        <v>25</v>
      </c>
      <c r="D28" s="11">
        <f>593+6</f>
        <v>599</v>
      </c>
      <c r="E28" s="16"/>
      <c r="F28" s="16"/>
      <c r="H28" s="45">
        <f>J28/J74</f>
        <v>1.2001231459389328E-2</v>
      </c>
      <c r="I28" s="16" t="s">
        <v>26</v>
      </c>
      <c r="J28" s="11">
        <v>2183</v>
      </c>
      <c r="K28" s="45"/>
      <c r="L28" s="16"/>
      <c r="M28" s="11"/>
      <c r="N28" s="12"/>
      <c r="O28" s="12"/>
      <c r="P28"/>
      <c r="Q28"/>
      <c r="R28"/>
      <c r="S28"/>
      <c r="T28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</row>
    <row r="29" spans="1:828" s="13" customFormat="1" ht="18" x14ac:dyDescent="0.2">
      <c r="A29" s="14"/>
      <c r="B29" s="16"/>
      <c r="C29" s="16"/>
      <c r="D29" s="11"/>
      <c r="E29" s="16"/>
      <c r="F29" s="16"/>
      <c r="H29" s="15"/>
      <c r="I29" s="16"/>
      <c r="J29" s="11"/>
      <c r="K29" s="15"/>
      <c r="L29" s="16"/>
      <c r="M29" s="11"/>
      <c r="N29" s="12"/>
      <c r="O29" s="12"/>
      <c r="P29"/>
      <c r="Q29"/>
      <c r="R29"/>
      <c r="S29"/>
      <c r="T29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2"/>
      <c r="FJ29" s="12"/>
      <c r="FK29" s="12"/>
      <c r="FL29" s="12"/>
      <c r="FM29" s="12"/>
      <c r="FN29" s="12"/>
      <c r="FO29" s="12"/>
      <c r="FP29" s="12"/>
      <c r="FQ29" s="12"/>
      <c r="FR29" s="12"/>
      <c r="FS29" s="12"/>
      <c r="FT29" s="12"/>
      <c r="FU29" s="12"/>
      <c r="FV29" s="12"/>
      <c r="FW29" s="12"/>
      <c r="FX29" s="12"/>
      <c r="FY29" s="12"/>
      <c r="FZ29" s="12"/>
      <c r="GA29" s="12"/>
      <c r="GB29" s="12"/>
      <c r="GC29" s="12"/>
      <c r="GD29" s="12"/>
      <c r="GE29" s="12"/>
      <c r="GF29" s="12"/>
      <c r="GG29" s="12"/>
      <c r="GH29" s="12"/>
      <c r="GI29" s="12"/>
      <c r="GJ29" s="12"/>
      <c r="GK29" s="12"/>
      <c r="GL29" s="12"/>
      <c r="GM29" s="12"/>
      <c r="GN29" s="12"/>
      <c r="GO29" s="12"/>
      <c r="GP29" s="12"/>
      <c r="GQ29" s="12"/>
      <c r="GR29" s="12"/>
      <c r="GS29" s="12"/>
      <c r="GT29" s="12"/>
      <c r="GU29" s="12"/>
      <c r="GV29" s="12"/>
      <c r="GW29" s="12"/>
      <c r="GX29" s="12"/>
      <c r="GY29" s="12"/>
      <c r="GZ29" s="12"/>
      <c r="HA29" s="12"/>
      <c r="HB29" s="12"/>
      <c r="HC29" s="12"/>
      <c r="HD29" s="12"/>
      <c r="HE29" s="12"/>
      <c r="HF29" s="12"/>
      <c r="HG29" s="12"/>
      <c r="HH29" s="12"/>
      <c r="HI29" s="12"/>
      <c r="HJ29" s="12"/>
      <c r="HK29" s="12"/>
      <c r="HL29" s="12"/>
      <c r="HM29" s="12"/>
      <c r="HN29" s="12"/>
      <c r="HO29" s="12"/>
      <c r="HP29" s="12"/>
      <c r="HQ29" s="12"/>
      <c r="HR29" s="12"/>
      <c r="HS29" s="12"/>
      <c r="HT29" s="12"/>
      <c r="HU29" s="12"/>
      <c r="HV29" s="12"/>
      <c r="HW29" s="12"/>
      <c r="HX29" s="12"/>
      <c r="HY29" s="12"/>
      <c r="HZ29" s="12"/>
      <c r="IA29" s="12"/>
      <c r="IB29" s="12"/>
      <c r="IC29" s="12"/>
      <c r="ID29" s="12"/>
      <c r="IE29" s="12"/>
      <c r="IF29" s="12"/>
      <c r="IG29" s="12"/>
      <c r="IH29" s="12"/>
      <c r="II29" s="12"/>
      <c r="IJ29" s="12"/>
      <c r="IK29" s="12"/>
      <c r="IL29" s="12"/>
      <c r="IM29" s="12"/>
      <c r="IN29" s="12"/>
      <c r="IO29" s="12"/>
      <c r="IP29" s="12"/>
      <c r="IQ29" s="12"/>
      <c r="IR29" s="12"/>
      <c r="IS29" s="12"/>
      <c r="IT29" s="12"/>
      <c r="IU29" s="12"/>
      <c r="IV29" s="12"/>
      <c r="IW29" s="12"/>
      <c r="IX29" s="12"/>
      <c r="IY29" s="12"/>
      <c r="IZ29" s="12"/>
      <c r="JA29" s="12"/>
      <c r="JB29" s="12"/>
      <c r="JC29" s="12"/>
      <c r="JD29" s="12"/>
      <c r="JE29" s="12"/>
      <c r="JF29" s="12"/>
      <c r="JG29" s="12"/>
      <c r="JH29" s="12"/>
      <c r="JI29" s="12"/>
      <c r="JJ29" s="12"/>
      <c r="JK29" s="12"/>
      <c r="JL29" s="12"/>
      <c r="JM29" s="12"/>
      <c r="JN29" s="12"/>
      <c r="JO29" s="12"/>
      <c r="JP29" s="12"/>
      <c r="JQ29" s="12"/>
      <c r="JR29" s="12"/>
      <c r="JS29" s="12"/>
      <c r="JT29" s="12"/>
      <c r="JU29" s="12"/>
      <c r="JV29" s="12"/>
      <c r="JW29" s="12"/>
      <c r="JX29" s="12"/>
      <c r="JY29" s="12"/>
      <c r="JZ29" s="12"/>
      <c r="KA29" s="12"/>
      <c r="KB29" s="12"/>
      <c r="KC29" s="12"/>
      <c r="KD29" s="12"/>
      <c r="KE29" s="12"/>
      <c r="KF29" s="12"/>
      <c r="KG29" s="12"/>
      <c r="KH29" s="12"/>
      <c r="KI29" s="12"/>
      <c r="KJ29" s="12"/>
      <c r="KK29" s="12"/>
      <c r="KL29" s="12"/>
      <c r="KM29" s="12"/>
      <c r="KN29" s="12"/>
      <c r="KO29" s="12"/>
      <c r="KP29" s="12"/>
      <c r="KQ29" s="12"/>
      <c r="KR29" s="12"/>
      <c r="KS29" s="12"/>
      <c r="KT29" s="12"/>
      <c r="KU29" s="12"/>
      <c r="KV29" s="12"/>
      <c r="KW29" s="12"/>
      <c r="KX29" s="12"/>
      <c r="KY29" s="12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12"/>
      <c r="LP29" s="12"/>
      <c r="LQ29" s="12"/>
      <c r="LR29" s="12"/>
      <c r="LS29" s="12"/>
      <c r="LT29" s="12"/>
      <c r="LU29" s="12"/>
      <c r="LV29" s="12"/>
      <c r="LW29" s="12"/>
      <c r="LX29" s="12"/>
      <c r="LY29" s="12"/>
      <c r="LZ29" s="12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12"/>
      <c r="MN29" s="12"/>
      <c r="MO29" s="12"/>
      <c r="MP29" s="12"/>
      <c r="MQ29" s="12"/>
      <c r="MR29" s="12"/>
      <c r="MS29" s="12"/>
      <c r="MT29" s="12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12"/>
      <c r="NK29" s="12"/>
      <c r="NL29" s="12"/>
      <c r="NM29" s="12"/>
      <c r="NN29" s="12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12"/>
      <c r="PA29" s="12"/>
      <c r="PB29" s="12"/>
      <c r="PC29" s="12"/>
      <c r="PD29" s="12"/>
      <c r="PE29" s="12"/>
      <c r="PF29" s="12"/>
      <c r="PG29" s="12"/>
      <c r="PH29" s="12"/>
      <c r="PI29" s="12"/>
      <c r="PJ29" s="12"/>
      <c r="PK29" s="12"/>
      <c r="PL29" s="12"/>
      <c r="PM29" s="12"/>
      <c r="PN29" s="12"/>
      <c r="PO29" s="12"/>
      <c r="PP29" s="12"/>
      <c r="PQ29" s="12"/>
      <c r="PR29" s="12"/>
      <c r="PS29" s="12"/>
      <c r="PT29" s="12"/>
      <c r="PU29" s="12"/>
      <c r="PV29" s="12"/>
      <c r="PW29" s="12"/>
      <c r="PX29" s="12"/>
      <c r="PY29" s="12"/>
      <c r="PZ29" s="12"/>
      <c r="QA29" s="12"/>
      <c r="QB29" s="12"/>
      <c r="QC29" s="12"/>
      <c r="QD29" s="12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12"/>
      <c r="QU29" s="12"/>
      <c r="QV29" s="12"/>
      <c r="QW29" s="12"/>
      <c r="QX29" s="12"/>
      <c r="QY29" s="12"/>
      <c r="QZ29" s="12"/>
      <c r="RA29" s="12"/>
      <c r="RB29" s="12"/>
      <c r="RC29" s="12"/>
      <c r="RD29" s="12"/>
      <c r="RE29" s="12"/>
      <c r="RF29" s="12"/>
      <c r="RG29" s="12"/>
      <c r="RH29" s="12"/>
      <c r="RI29" s="12"/>
      <c r="RJ29" s="12"/>
      <c r="RK29" s="12"/>
      <c r="RL29" s="12"/>
      <c r="RM29" s="12"/>
      <c r="RN29" s="12"/>
      <c r="RO29" s="12"/>
      <c r="RP29" s="12"/>
      <c r="RQ29" s="12"/>
      <c r="RR29" s="12"/>
      <c r="RS29" s="12"/>
      <c r="RT29" s="12"/>
      <c r="RU29" s="12"/>
      <c r="RV29" s="12"/>
      <c r="RW29" s="12"/>
      <c r="RX29" s="12"/>
      <c r="RY29" s="12"/>
      <c r="RZ29" s="12"/>
      <c r="SA29" s="12"/>
      <c r="SB29" s="12"/>
      <c r="SC29" s="12"/>
      <c r="SD29" s="12"/>
      <c r="SE29" s="12"/>
      <c r="SF29" s="12"/>
      <c r="SG29" s="12"/>
      <c r="SH29" s="12"/>
      <c r="SI29" s="12"/>
      <c r="SJ29" s="12"/>
      <c r="SK29" s="12"/>
      <c r="SL29" s="12"/>
      <c r="SM29" s="12"/>
      <c r="SN29" s="12"/>
      <c r="SO29" s="12"/>
      <c r="SP29" s="12"/>
      <c r="SQ29" s="12"/>
      <c r="SR29" s="12"/>
      <c r="SS29" s="12"/>
      <c r="ST29" s="12"/>
      <c r="SU29" s="12"/>
      <c r="SV29" s="12"/>
      <c r="SW29" s="12"/>
      <c r="SX29" s="12"/>
      <c r="SY29" s="12"/>
      <c r="SZ29" s="12"/>
      <c r="TA29" s="12"/>
      <c r="TB29" s="12"/>
      <c r="TC29" s="12"/>
      <c r="TD29" s="12"/>
      <c r="TE29" s="12"/>
      <c r="TF29" s="12"/>
      <c r="TG29" s="12"/>
      <c r="TH29" s="12"/>
      <c r="TI29" s="12"/>
      <c r="TJ29" s="12"/>
      <c r="TK29" s="12"/>
      <c r="TL29" s="12"/>
      <c r="TM29" s="12"/>
      <c r="TN29" s="12"/>
      <c r="TO29" s="12"/>
      <c r="TP29" s="12"/>
      <c r="TQ29" s="12"/>
      <c r="TR29" s="12"/>
      <c r="TS29" s="12"/>
      <c r="TT29" s="12"/>
      <c r="TU29" s="12"/>
      <c r="TV29" s="12"/>
      <c r="TW29" s="12"/>
      <c r="TX29" s="12"/>
      <c r="TY29" s="12"/>
      <c r="TZ29" s="12"/>
      <c r="UA29" s="12"/>
      <c r="UB29" s="12"/>
      <c r="UC29" s="12"/>
      <c r="UD29" s="12"/>
      <c r="UE29" s="12"/>
      <c r="UF29" s="12"/>
      <c r="UG29" s="12"/>
      <c r="UH29" s="12"/>
      <c r="UI29" s="12"/>
      <c r="UJ29" s="12"/>
      <c r="UK29" s="12"/>
      <c r="UL29" s="12"/>
      <c r="UM29" s="12"/>
      <c r="UN29" s="12"/>
      <c r="UO29" s="12"/>
      <c r="UP29" s="12"/>
      <c r="UQ29" s="12"/>
      <c r="UR29" s="12"/>
      <c r="US29" s="12"/>
      <c r="UT29" s="12"/>
      <c r="UU29" s="12"/>
      <c r="UV29" s="12"/>
      <c r="UW29" s="12"/>
      <c r="UX29" s="12"/>
      <c r="UY29" s="12"/>
      <c r="UZ29" s="12"/>
      <c r="VA29" s="12"/>
      <c r="VB29" s="12"/>
      <c r="VC29" s="12"/>
      <c r="VD29" s="12"/>
      <c r="VE29" s="12"/>
      <c r="VF29" s="12"/>
      <c r="VG29" s="12"/>
      <c r="VH29" s="12"/>
      <c r="VI29" s="12"/>
      <c r="VJ29" s="12"/>
      <c r="VK29" s="12"/>
      <c r="VL29" s="12"/>
      <c r="VM29" s="12"/>
      <c r="VN29" s="12"/>
      <c r="VO29" s="12"/>
      <c r="VP29" s="12"/>
      <c r="VQ29" s="12"/>
      <c r="VR29" s="12"/>
      <c r="VS29" s="12"/>
      <c r="VT29" s="12"/>
      <c r="VU29" s="12"/>
      <c r="VV29" s="12"/>
      <c r="VW29" s="12"/>
      <c r="VX29" s="12"/>
      <c r="VY29" s="12"/>
      <c r="VZ29" s="12"/>
      <c r="WA29" s="12"/>
      <c r="WB29" s="12"/>
      <c r="WC29" s="12"/>
      <c r="WD29" s="12"/>
      <c r="WE29" s="12"/>
      <c r="WF29" s="12"/>
      <c r="WG29" s="12"/>
      <c r="WH29" s="12"/>
      <c r="WI29" s="12"/>
      <c r="WJ29" s="12"/>
      <c r="WK29" s="12"/>
      <c r="WL29" s="12"/>
      <c r="WM29" s="12"/>
      <c r="WN29" s="12"/>
      <c r="WO29" s="12"/>
      <c r="WP29" s="12"/>
      <c r="WQ29" s="12"/>
      <c r="WR29" s="12"/>
      <c r="WS29" s="12"/>
      <c r="WT29" s="12"/>
      <c r="WU29" s="12"/>
      <c r="WV29" s="12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12"/>
      <c r="XM29" s="12"/>
      <c r="XN29" s="12"/>
      <c r="XO29" s="12"/>
      <c r="XP29" s="12"/>
      <c r="XQ29" s="12"/>
      <c r="XR29" s="12"/>
      <c r="XS29" s="12"/>
      <c r="XT29" s="12"/>
      <c r="XU29" s="12"/>
      <c r="XV29" s="12"/>
      <c r="XW29" s="12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12"/>
      <c r="YK29" s="12"/>
      <c r="YL29" s="12"/>
      <c r="YM29" s="12"/>
      <c r="YN29" s="12"/>
      <c r="YO29" s="12"/>
      <c r="YP29" s="12"/>
      <c r="YQ29" s="12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12"/>
      <c r="ZH29" s="12"/>
      <c r="ZI29" s="12"/>
      <c r="ZJ29" s="12"/>
      <c r="ZK29" s="12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12"/>
      <c r="AAX29" s="12"/>
      <c r="AAY29" s="12"/>
      <c r="AAZ29" s="12"/>
      <c r="ABA29" s="12"/>
      <c r="ABB29" s="12"/>
      <c r="ABC29" s="12"/>
      <c r="ABD29" s="12"/>
      <c r="ABE29" s="12"/>
      <c r="ABF29" s="12"/>
      <c r="ABG29" s="12"/>
      <c r="ABH29" s="12"/>
      <c r="ABI29" s="12"/>
      <c r="ABJ29" s="12"/>
      <c r="ABK29" s="12"/>
      <c r="ABL29" s="12"/>
      <c r="ABM29" s="12"/>
      <c r="ABN29" s="12"/>
      <c r="ABO29" s="12"/>
      <c r="ABP29" s="12"/>
      <c r="ABQ29" s="12"/>
      <c r="ABR29" s="12"/>
      <c r="ABS29" s="12"/>
      <c r="ABT29" s="12"/>
      <c r="ABU29" s="12"/>
      <c r="ABV29" s="12"/>
      <c r="ABW29" s="12"/>
      <c r="ABX29" s="12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12"/>
      <c r="ACO29" s="12"/>
      <c r="ACP29" s="12"/>
      <c r="ACQ29" s="12"/>
      <c r="ACR29" s="12"/>
      <c r="ACS29" s="12"/>
      <c r="ACT29" s="12"/>
      <c r="ACU29" s="12"/>
      <c r="ACV29" s="12"/>
      <c r="ACW29" s="12"/>
      <c r="ACX29" s="12"/>
      <c r="ACY29" s="12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12"/>
      <c r="ADM29" s="12"/>
      <c r="ADN29" s="12"/>
      <c r="ADO29" s="12"/>
      <c r="ADP29" s="12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12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</row>
    <row r="30" spans="1:828" s="13" customFormat="1" ht="18" x14ac:dyDescent="0.2">
      <c r="A30" s="14"/>
      <c r="B30" s="16"/>
      <c r="C30" s="16"/>
      <c r="D30" s="11"/>
      <c r="E30" s="16"/>
      <c r="F30" s="16"/>
      <c r="H30" s="15"/>
      <c r="I30" s="16"/>
      <c r="J30" s="11"/>
      <c r="K30" s="15"/>
      <c r="L30" s="16"/>
      <c r="M30" s="11"/>
      <c r="N30" s="12"/>
      <c r="O30" s="12"/>
      <c r="P30"/>
      <c r="Q30"/>
      <c r="R30"/>
      <c r="S30"/>
      <c r="T30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</row>
    <row r="31" spans="1:828" s="13" customFormat="1" ht="18" x14ac:dyDescent="0.2">
      <c r="A31" s="14"/>
      <c r="B31" s="16"/>
      <c r="C31" s="16"/>
      <c r="D31" s="11"/>
      <c r="E31" s="16"/>
      <c r="F31" s="16"/>
      <c r="H31" s="15"/>
      <c r="I31" s="16"/>
      <c r="J31" s="11"/>
      <c r="K31" s="15"/>
      <c r="L31" s="16"/>
      <c r="M31" s="11"/>
      <c r="N31" s="12"/>
      <c r="O31" s="12"/>
      <c r="P31"/>
      <c r="Q31"/>
      <c r="R31"/>
      <c r="S31"/>
      <c r="T31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</row>
    <row r="32" spans="1:828" s="13" customFormat="1" ht="18" x14ac:dyDescent="0.2">
      <c r="A32" s="14"/>
      <c r="B32" s="16"/>
      <c r="C32" s="16"/>
      <c r="D32" s="11"/>
      <c r="E32" s="16"/>
      <c r="F32" s="16"/>
      <c r="H32" s="15"/>
      <c r="I32" s="16"/>
      <c r="J32" s="11"/>
      <c r="K32" s="15"/>
      <c r="L32" s="16"/>
      <c r="M32" s="11"/>
      <c r="N32" s="12"/>
      <c r="O32" s="12"/>
      <c r="P32"/>
      <c r="Q32"/>
      <c r="R32"/>
      <c r="S32"/>
      <c r="T3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</row>
    <row r="33" spans="1:828" s="13" customFormat="1" ht="19" thickBot="1" x14ac:dyDescent="0.25">
      <c r="A33" s="17"/>
      <c r="B33" s="16"/>
      <c r="C33" s="19"/>
      <c r="D33" s="20"/>
      <c r="E33" s="19"/>
      <c r="F33" s="19"/>
      <c r="G33" s="19"/>
      <c r="H33" s="18"/>
      <c r="I33" s="19"/>
      <c r="J33" s="20"/>
      <c r="K33" s="18"/>
      <c r="L33" s="19"/>
      <c r="M33" s="20"/>
      <c r="N33" s="12"/>
      <c r="O33" s="12"/>
      <c r="P33"/>
      <c r="Q33"/>
      <c r="R33"/>
      <c r="S33"/>
      <c r="T33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</row>
    <row r="34" spans="1:828" s="27" customFormat="1" ht="19" x14ac:dyDescent="0.2">
      <c r="A34" s="21" t="s">
        <v>27</v>
      </c>
      <c r="B34" s="46">
        <f t="shared" si="0"/>
        <v>5.7547048000258241E-2</v>
      </c>
      <c r="C34" s="25" t="s">
        <v>28</v>
      </c>
      <c r="D34" s="24">
        <f>3673+22+3436</f>
        <v>7131</v>
      </c>
      <c r="E34" s="46">
        <f>SUM(G34:G41)/D74</f>
        <v>0.19247716194841666</v>
      </c>
      <c r="F34" s="23" t="s">
        <v>67</v>
      </c>
      <c r="G34" s="29">
        <v>19979</v>
      </c>
      <c r="H34" s="26">
        <f>SUM(J34:J38)/J74</f>
        <v>6.6630749101144601E-3</v>
      </c>
      <c r="I34" s="25" t="s">
        <v>29</v>
      </c>
      <c r="J34" s="24">
        <v>1157</v>
      </c>
      <c r="K34" s="26">
        <f>SUM(M34:M42)/J74</f>
        <v>0.10110611441577147</v>
      </c>
      <c r="L34" s="25" t="s">
        <v>30</v>
      </c>
      <c r="M34" s="24">
        <v>640</v>
      </c>
      <c r="N34" s="47"/>
      <c r="O34" s="12"/>
      <c r="P34" s="48"/>
      <c r="Q34"/>
      <c r="R34"/>
      <c r="S34"/>
      <c r="T34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  <c r="IY34" s="12"/>
      <c r="IZ34" s="12"/>
      <c r="JA34" s="12"/>
      <c r="JB34" s="12"/>
      <c r="JC34" s="12"/>
      <c r="JD34" s="12"/>
      <c r="JE34" s="12"/>
      <c r="JF34" s="12"/>
      <c r="JG34" s="12"/>
      <c r="JH34" s="12"/>
      <c r="JI34" s="12"/>
      <c r="JJ34" s="12"/>
      <c r="JK34" s="12"/>
      <c r="JL34" s="12"/>
      <c r="JM34" s="12"/>
      <c r="JN34" s="12"/>
      <c r="JO34" s="12"/>
      <c r="JP34" s="12"/>
      <c r="JQ34" s="12"/>
      <c r="JR34" s="12"/>
      <c r="JS34" s="12"/>
      <c r="JT34" s="12"/>
      <c r="JU34" s="12"/>
      <c r="JV34" s="12"/>
      <c r="JW34" s="12"/>
      <c r="JX34" s="12"/>
      <c r="JY34" s="12"/>
      <c r="JZ34" s="12"/>
      <c r="KA34" s="12"/>
      <c r="KB34" s="12"/>
      <c r="KC34" s="12"/>
      <c r="KD34" s="12"/>
      <c r="KE34" s="12"/>
      <c r="KF34" s="12"/>
      <c r="KG34" s="12"/>
      <c r="KH34" s="12"/>
      <c r="KI34" s="12"/>
      <c r="KJ34" s="12"/>
      <c r="KK34" s="12"/>
      <c r="KL34" s="12"/>
      <c r="KM34" s="12"/>
      <c r="KN34" s="12"/>
      <c r="KO34" s="12"/>
      <c r="KP34" s="12"/>
      <c r="KQ34" s="12"/>
      <c r="KR34" s="12"/>
      <c r="KS34" s="12"/>
      <c r="KT34" s="12"/>
      <c r="KU34" s="12"/>
      <c r="KV34" s="12"/>
      <c r="KW34" s="12"/>
      <c r="KX34" s="12"/>
      <c r="KY34" s="12"/>
      <c r="KZ34" s="12"/>
      <c r="LA34" s="12"/>
      <c r="LB34" s="12"/>
      <c r="LC34" s="12"/>
      <c r="LD34" s="12"/>
      <c r="LE34" s="12"/>
      <c r="LF34" s="12"/>
      <c r="LG34" s="12"/>
      <c r="LH34" s="12"/>
      <c r="LI34" s="12"/>
      <c r="LJ34" s="12"/>
      <c r="LK34" s="12"/>
      <c r="LL34" s="12"/>
      <c r="LM34" s="12"/>
      <c r="LN34" s="12"/>
      <c r="LO34" s="12"/>
      <c r="LP34" s="12"/>
      <c r="LQ34" s="12"/>
      <c r="LR34" s="12"/>
      <c r="LS34" s="12"/>
      <c r="LT34" s="12"/>
      <c r="LU34" s="12"/>
      <c r="LV34" s="12"/>
      <c r="LW34" s="12"/>
      <c r="LX34" s="12"/>
      <c r="LY34" s="12"/>
      <c r="LZ34" s="12"/>
      <c r="MA34" s="12"/>
      <c r="MB34" s="12"/>
      <c r="MC34" s="12"/>
      <c r="MD34" s="12"/>
      <c r="ME34" s="12"/>
      <c r="MF34" s="12"/>
      <c r="MG34" s="12"/>
      <c r="MH34" s="12"/>
      <c r="MI34" s="12"/>
      <c r="MJ34" s="12"/>
      <c r="MK34" s="12"/>
      <c r="ML34" s="12"/>
      <c r="MM34" s="12"/>
      <c r="MN34" s="12"/>
      <c r="MO34" s="12"/>
      <c r="MP34" s="12"/>
      <c r="MQ34" s="12"/>
      <c r="MR34" s="12"/>
      <c r="MS34" s="12"/>
      <c r="MT34" s="12"/>
      <c r="MU34" s="12"/>
      <c r="MV34" s="12"/>
      <c r="MW34" s="12"/>
      <c r="MX34" s="12"/>
      <c r="MY34" s="12"/>
      <c r="MZ34" s="12"/>
      <c r="NA34" s="12"/>
      <c r="NB34" s="12"/>
      <c r="NC34" s="12"/>
      <c r="ND34" s="12"/>
      <c r="NE34" s="12"/>
      <c r="NF34" s="12"/>
      <c r="NG34" s="12"/>
      <c r="NH34" s="12"/>
      <c r="NI34" s="12"/>
      <c r="NJ34" s="12"/>
      <c r="NK34" s="12"/>
      <c r="NL34" s="12"/>
      <c r="NM34" s="12"/>
      <c r="NN34" s="12"/>
      <c r="NO34" s="12"/>
      <c r="NP34" s="12"/>
      <c r="NQ34" s="12"/>
      <c r="NR34" s="12"/>
      <c r="NS34" s="12"/>
      <c r="NT34" s="12"/>
      <c r="NU34" s="12"/>
      <c r="NV34" s="12"/>
      <c r="NW34" s="12"/>
      <c r="NX34" s="12"/>
      <c r="NY34" s="12"/>
      <c r="NZ34" s="12"/>
      <c r="OA34" s="12"/>
      <c r="OB34" s="12"/>
      <c r="OC34" s="12"/>
      <c r="OD34" s="12"/>
      <c r="OE34" s="12"/>
      <c r="OF34" s="12"/>
      <c r="OG34" s="12"/>
      <c r="OH34" s="12"/>
      <c r="OI34" s="12"/>
      <c r="OJ34" s="12"/>
      <c r="OK34" s="12"/>
      <c r="OL34" s="12"/>
      <c r="OM34" s="12"/>
      <c r="ON34" s="12"/>
      <c r="OO34" s="12"/>
      <c r="OP34" s="12"/>
      <c r="OQ34" s="12"/>
      <c r="OR34" s="12"/>
      <c r="OS34" s="12"/>
      <c r="OT34" s="12"/>
      <c r="OU34" s="12"/>
      <c r="OV34" s="12"/>
      <c r="OW34" s="12"/>
      <c r="OX34" s="12"/>
      <c r="OY34" s="12"/>
      <c r="OZ34" s="12"/>
      <c r="PA34" s="12"/>
      <c r="PB34" s="12"/>
      <c r="PC34" s="12"/>
      <c r="PD34" s="12"/>
      <c r="PE34" s="12"/>
      <c r="PF34" s="12"/>
      <c r="PG34" s="12"/>
      <c r="PH34" s="12"/>
      <c r="PI34" s="12"/>
      <c r="PJ34" s="12"/>
      <c r="PK34" s="12"/>
      <c r="PL34" s="12"/>
      <c r="PM34" s="12"/>
      <c r="PN34" s="12"/>
      <c r="PO34" s="12"/>
      <c r="PP34" s="12"/>
      <c r="PQ34" s="12"/>
      <c r="PR34" s="12"/>
      <c r="PS34" s="12"/>
      <c r="PT34" s="12"/>
      <c r="PU34" s="12"/>
      <c r="PV34" s="12"/>
      <c r="PW34" s="12"/>
      <c r="PX34" s="12"/>
      <c r="PY34" s="12"/>
      <c r="PZ34" s="12"/>
      <c r="QA34" s="12"/>
      <c r="QB34" s="12"/>
      <c r="QC34" s="12"/>
      <c r="QD34" s="12"/>
      <c r="QE34" s="12"/>
      <c r="QF34" s="12"/>
      <c r="QG34" s="12"/>
      <c r="QH34" s="12"/>
      <c r="QI34" s="12"/>
      <c r="QJ34" s="12"/>
      <c r="QK34" s="12"/>
      <c r="QL34" s="12"/>
      <c r="QM34" s="12"/>
      <c r="QN34" s="12"/>
      <c r="QO34" s="12"/>
      <c r="QP34" s="12"/>
      <c r="QQ34" s="12"/>
      <c r="QR34" s="12"/>
      <c r="QS34" s="12"/>
      <c r="QT34" s="12"/>
      <c r="QU34" s="12"/>
      <c r="QV34" s="12"/>
      <c r="QW34" s="12"/>
      <c r="QX34" s="12"/>
      <c r="QY34" s="12"/>
      <c r="QZ34" s="12"/>
      <c r="RA34" s="12"/>
      <c r="RB34" s="12"/>
      <c r="RC34" s="12"/>
      <c r="RD34" s="12"/>
      <c r="RE34" s="12"/>
      <c r="RF34" s="12"/>
      <c r="RG34" s="12"/>
      <c r="RH34" s="12"/>
      <c r="RI34" s="12"/>
      <c r="RJ34" s="12"/>
      <c r="RK34" s="12"/>
      <c r="RL34" s="12"/>
      <c r="RM34" s="12"/>
      <c r="RN34" s="12"/>
      <c r="RO34" s="12"/>
      <c r="RP34" s="12"/>
      <c r="RQ34" s="12"/>
      <c r="RR34" s="12"/>
      <c r="RS34" s="12"/>
      <c r="RT34" s="12"/>
      <c r="RU34" s="12"/>
      <c r="RV34" s="12"/>
      <c r="RW34" s="12"/>
      <c r="RX34" s="12"/>
      <c r="RY34" s="12"/>
      <c r="RZ34" s="12"/>
      <c r="SA34" s="12"/>
      <c r="SB34" s="12"/>
      <c r="SC34" s="12"/>
      <c r="SD34" s="12"/>
      <c r="SE34" s="12"/>
      <c r="SF34" s="12"/>
      <c r="SG34" s="12"/>
      <c r="SH34" s="12"/>
      <c r="SI34" s="12"/>
      <c r="SJ34" s="12"/>
      <c r="SK34" s="12"/>
      <c r="SL34" s="12"/>
      <c r="SM34" s="12"/>
      <c r="SN34" s="12"/>
      <c r="SO34" s="12"/>
      <c r="SP34" s="12"/>
      <c r="SQ34" s="12"/>
      <c r="SR34" s="12"/>
      <c r="SS34" s="12"/>
      <c r="ST34" s="12"/>
      <c r="SU34" s="12"/>
      <c r="SV34" s="12"/>
      <c r="SW34" s="12"/>
      <c r="SX34" s="12"/>
      <c r="SY34" s="12"/>
      <c r="SZ34" s="12"/>
      <c r="TA34" s="12"/>
      <c r="TB34" s="12"/>
      <c r="TC34" s="12"/>
      <c r="TD34" s="12"/>
      <c r="TE34" s="12"/>
      <c r="TF34" s="12"/>
      <c r="TG34" s="12"/>
      <c r="TH34" s="12"/>
      <c r="TI34" s="12"/>
      <c r="TJ34" s="12"/>
      <c r="TK34" s="12"/>
      <c r="TL34" s="12"/>
      <c r="TM34" s="12"/>
      <c r="TN34" s="12"/>
      <c r="TO34" s="12"/>
      <c r="TP34" s="12"/>
      <c r="TQ34" s="12"/>
      <c r="TR34" s="12"/>
      <c r="TS34" s="12"/>
      <c r="TT34" s="12"/>
      <c r="TU34" s="12"/>
      <c r="TV34" s="12"/>
      <c r="TW34" s="12"/>
      <c r="TX34" s="12"/>
      <c r="TY34" s="12"/>
      <c r="TZ34" s="12"/>
      <c r="UA34" s="12"/>
      <c r="UB34" s="12"/>
      <c r="UC34" s="12"/>
      <c r="UD34" s="12"/>
      <c r="UE34" s="12"/>
      <c r="UF34" s="12"/>
      <c r="UG34" s="12"/>
      <c r="UH34" s="12"/>
      <c r="UI34" s="12"/>
      <c r="UJ34" s="12"/>
      <c r="UK34" s="12"/>
      <c r="UL34" s="12"/>
      <c r="UM34" s="12"/>
      <c r="UN34" s="12"/>
      <c r="UO34" s="12"/>
      <c r="UP34" s="12"/>
      <c r="UQ34" s="12"/>
      <c r="UR34" s="12"/>
      <c r="US34" s="12"/>
      <c r="UT34" s="12"/>
      <c r="UU34" s="12"/>
      <c r="UV34" s="12"/>
      <c r="UW34" s="12"/>
      <c r="UX34" s="12"/>
      <c r="UY34" s="12"/>
      <c r="UZ34" s="12"/>
      <c r="VA34" s="12"/>
      <c r="VB34" s="12"/>
      <c r="VC34" s="12"/>
      <c r="VD34" s="12"/>
      <c r="VE34" s="12"/>
      <c r="VF34" s="12"/>
      <c r="VG34" s="12"/>
      <c r="VH34" s="12"/>
      <c r="VI34" s="12"/>
      <c r="VJ34" s="12"/>
      <c r="VK34" s="12"/>
      <c r="VL34" s="12"/>
      <c r="VM34" s="12"/>
      <c r="VN34" s="12"/>
      <c r="VO34" s="12"/>
      <c r="VP34" s="12"/>
      <c r="VQ34" s="12"/>
      <c r="VR34" s="12"/>
      <c r="VS34" s="12"/>
      <c r="VT34" s="12"/>
      <c r="VU34" s="12"/>
      <c r="VV34" s="12"/>
      <c r="VW34" s="12"/>
      <c r="VX34" s="12"/>
      <c r="VY34" s="12"/>
      <c r="VZ34" s="12"/>
      <c r="WA34" s="12"/>
      <c r="WB34" s="12"/>
      <c r="WC34" s="12"/>
      <c r="WD34" s="12"/>
      <c r="WE34" s="12"/>
      <c r="WF34" s="12"/>
      <c r="WG34" s="12"/>
      <c r="WH34" s="12"/>
      <c r="WI34" s="12"/>
      <c r="WJ34" s="12"/>
      <c r="WK34" s="12"/>
      <c r="WL34" s="12"/>
      <c r="WM34" s="12"/>
      <c r="WN34" s="12"/>
      <c r="WO34" s="12"/>
      <c r="WP34" s="12"/>
      <c r="WQ34" s="12"/>
      <c r="WR34" s="12"/>
      <c r="WS34" s="12"/>
      <c r="WT34" s="12"/>
      <c r="WU34" s="12"/>
      <c r="WV34" s="12"/>
      <c r="WW34" s="12"/>
      <c r="WX34" s="12"/>
      <c r="WY34" s="12"/>
      <c r="WZ34" s="12"/>
      <c r="XA34" s="12"/>
      <c r="XB34" s="12"/>
      <c r="XC34" s="12"/>
      <c r="XD34" s="12"/>
      <c r="XE34" s="12"/>
      <c r="XF34" s="12"/>
      <c r="XG34" s="12"/>
      <c r="XH34" s="12"/>
      <c r="XI34" s="12"/>
      <c r="XJ34" s="12"/>
      <c r="XK34" s="12"/>
      <c r="XL34" s="12"/>
      <c r="XM34" s="12"/>
      <c r="XN34" s="12"/>
      <c r="XO34" s="12"/>
      <c r="XP34" s="12"/>
      <c r="XQ34" s="12"/>
      <c r="XR34" s="12"/>
      <c r="XS34" s="12"/>
      <c r="XT34" s="12"/>
      <c r="XU34" s="12"/>
      <c r="XV34" s="12"/>
      <c r="XW34" s="12"/>
      <c r="XX34" s="12"/>
      <c r="XY34" s="12"/>
      <c r="XZ34" s="12"/>
      <c r="YA34" s="12"/>
      <c r="YB34" s="12"/>
      <c r="YC34" s="12"/>
      <c r="YD34" s="12"/>
      <c r="YE34" s="12"/>
      <c r="YF34" s="12"/>
      <c r="YG34" s="12"/>
      <c r="YH34" s="12"/>
      <c r="YI34" s="12"/>
      <c r="YJ34" s="12"/>
      <c r="YK34" s="12"/>
      <c r="YL34" s="12"/>
      <c r="YM34" s="12"/>
      <c r="YN34" s="12"/>
      <c r="YO34" s="12"/>
      <c r="YP34" s="12"/>
      <c r="YQ34" s="12"/>
      <c r="YR34" s="12"/>
      <c r="YS34" s="12"/>
      <c r="YT34" s="12"/>
      <c r="YU34" s="12"/>
      <c r="YV34" s="12"/>
      <c r="YW34" s="12"/>
      <c r="YX34" s="12"/>
      <c r="YY34" s="12"/>
      <c r="YZ34" s="12"/>
      <c r="ZA34" s="12"/>
      <c r="ZB34" s="12"/>
      <c r="ZC34" s="12"/>
      <c r="ZD34" s="12"/>
      <c r="ZE34" s="12"/>
      <c r="ZF34" s="12"/>
      <c r="ZG34" s="12"/>
      <c r="ZH34" s="12"/>
      <c r="ZI34" s="12"/>
      <c r="ZJ34" s="12"/>
      <c r="ZK34" s="12"/>
      <c r="ZL34" s="12"/>
      <c r="ZM34" s="12"/>
      <c r="ZN34" s="12"/>
      <c r="ZO34" s="12"/>
      <c r="ZP34" s="12"/>
      <c r="ZQ34" s="12"/>
      <c r="ZR34" s="12"/>
      <c r="ZS34" s="12"/>
      <c r="ZT34" s="12"/>
      <c r="ZU34" s="12"/>
      <c r="ZV34" s="12"/>
      <c r="ZW34" s="12"/>
      <c r="ZX34" s="12"/>
      <c r="ZY34" s="12"/>
      <c r="ZZ34" s="12"/>
      <c r="AAA34" s="12"/>
      <c r="AAB34" s="12"/>
      <c r="AAC34" s="12"/>
      <c r="AAD34" s="12"/>
      <c r="AAE34" s="12"/>
      <c r="AAF34" s="12"/>
      <c r="AAG34" s="12"/>
      <c r="AAH34" s="12"/>
      <c r="AAI34" s="12"/>
      <c r="AAJ34" s="12"/>
      <c r="AAK34" s="12"/>
      <c r="AAL34" s="12"/>
      <c r="AAM34" s="12"/>
      <c r="AAN34" s="12"/>
      <c r="AAO34" s="12"/>
      <c r="AAP34" s="12"/>
      <c r="AAQ34" s="12"/>
      <c r="AAR34" s="12"/>
      <c r="AAS34" s="12"/>
      <c r="AAT34" s="12"/>
      <c r="AAU34" s="12"/>
      <c r="AAV34" s="12"/>
      <c r="AAW34" s="12"/>
      <c r="AAX34" s="12"/>
      <c r="AAY34" s="12"/>
      <c r="AAZ34" s="12"/>
      <c r="ABA34" s="12"/>
      <c r="ABB34" s="12"/>
      <c r="ABC34" s="12"/>
      <c r="ABD34" s="12"/>
      <c r="ABE34" s="12"/>
      <c r="ABF34" s="12"/>
      <c r="ABG34" s="12"/>
      <c r="ABH34" s="12"/>
      <c r="ABI34" s="12"/>
      <c r="ABJ34" s="12"/>
      <c r="ABK34" s="12"/>
      <c r="ABL34" s="12"/>
      <c r="ABM34" s="12"/>
      <c r="ABN34" s="12"/>
      <c r="ABO34" s="12"/>
      <c r="ABP34" s="12"/>
      <c r="ABQ34" s="12"/>
      <c r="ABR34" s="12"/>
      <c r="ABS34" s="12"/>
      <c r="ABT34" s="12"/>
      <c r="ABU34" s="12"/>
      <c r="ABV34" s="12"/>
      <c r="ABW34" s="12"/>
      <c r="ABX34" s="12"/>
      <c r="ABY34" s="12"/>
      <c r="ABZ34" s="12"/>
      <c r="ACA34" s="12"/>
      <c r="ACB34" s="12"/>
      <c r="ACC34" s="12"/>
      <c r="ACD34" s="12"/>
      <c r="ACE34" s="12"/>
      <c r="ACF34" s="12"/>
      <c r="ACG34" s="12"/>
      <c r="ACH34" s="12"/>
      <c r="ACI34" s="12"/>
      <c r="ACJ34" s="12"/>
      <c r="ACK34" s="12"/>
      <c r="ACL34" s="12"/>
      <c r="ACM34" s="12"/>
      <c r="ACN34" s="12"/>
      <c r="ACO34" s="12"/>
      <c r="ACP34" s="12"/>
      <c r="ACQ34" s="12"/>
      <c r="ACR34" s="12"/>
      <c r="ACS34" s="12"/>
      <c r="ACT34" s="12"/>
      <c r="ACU34" s="12"/>
      <c r="ACV34" s="12"/>
      <c r="ACW34" s="12"/>
      <c r="ACX34" s="12"/>
      <c r="ACY34" s="12"/>
      <c r="ACZ34" s="12"/>
      <c r="ADA34" s="12"/>
      <c r="ADB34" s="12"/>
      <c r="ADC34" s="12"/>
      <c r="ADD34" s="12"/>
      <c r="ADE34" s="12"/>
      <c r="ADF34" s="12"/>
      <c r="ADG34" s="12"/>
      <c r="ADH34" s="12"/>
      <c r="ADI34" s="12"/>
      <c r="ADJ34" s="12"/>
      <c r="ADK34" s="12"/>
      <c r="ADL34" s="12"/>
      <c r="ADM34" s="12"/>
      <c r="ADN34" s="12"/>
      <c r="ADO34" s="12"/>
      <c r="ADP34" s="12"/>
      <c r="ADQ34" s="12"/>
      <c r="ADR34" s="12"/>
      <c r="ADS34" s="12"/>
      <c r="ADT34" s="12"/>
      <c r="ADU34" s="12"/>
      <c r="ADV34" s="12"/>
      <c r="ADW34" s="12"/>
      <c r="ADX34" s="12"/>
      <c r="ADY34" s="12"/>
      <c r="ADZ34" s="12"/>
      <c r="AEA34" s="12"/>
      <c r="AEB34" s="12"/>
      <c r="AEC34" s="12"/>
      <c r="AED34" s="12"/>
      <c r="AEE34" s="12"/>
      <c r="AEF34" s="12"/>
      <c r="AEG34" s="12"/>
      <c r="AEH34" s="12"/>
      <c r="AEI34" s="12"/>
      <c r="AEJ34" s="12"/>
      <c r="AEK34" s="12"/>
      <c r="AEL34" s="12"/>
      <c r="AEM34" s="12"/>
      <c r="AEN34" s="12"/>
      <c r="AEO34" s="12"/>
      <c r="AEP34" s="12"/>
      <c r="AEQ34" s="12"/>
      <c r="AER34" s="12"/>
      <c r="AES34" s="12"/>
      <c r="AET34" s="12"/>
      <c r="AEU34" s="12"/>
      <c r="AEV34" s="12"/>
    </row>
    <row r="35" spans="1:828" s="27" customFormat="1" ht="18" x14ac:dyDescent="0.2">
      <c r="A35" s="49"/>
      <c r="D35" s="29"/>
      <c r="E35" s="23"/>
      <c r="F35" s="23" t="s">
        <v>69</v>
      </c>
      <c r="G35" s="29">
        <v>1704</v>
      </c>
      <c r="H35" s="50"/>
      <c r="I35" s="23"/>
      <c r="J35" s="29"/>
      <c r="K35" s="50"/>
      <c r="L35" s="23" t="s">
        <v>31</v>
      </c>
      <c r="M35" s="29">
        <v>15150</v>
      </c>
      <c r="N35" s="47"/>
      <c r="O35" s="51"/>
      <c r="P35" s="48"/>
      <c r="Q35"/>
      <c r="R35"/>
      <c r="S35"/>
      <c r="T35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</row>
    <row r="36" spans="1:828" s="27" customFormat="1" ht="18" x14ac:dyDescent="0.2">
      <c r="A36" s="28"/>
      <c r="D36" s="29"/>
      <c r="E36" s="23"/>
      <c r="F36" s="23" t="s">
        <v>71</v>
      </c>
      <c r="G36" s="29">
        <v>906</v>
      </c>
      <c r="H36" s="30"/>
      <c r="I36" s="23" t="s">
        <v>32</v>
      </c>
      <c r="J36" s="29">
        <v>0</v>
      </c>
      <c r="K36" s="30"/>
      <c r="L36" s="23" t="s">
        <v>33</v>
      </c>
      <c r="M36" s="29">
        <v>64</v>
      </c>
      <c r="N36" s="47"/>
      <c r="O36" s="12"/>
      <c r="P36" s="48"/>
      <c r="Q36"/>
      <c r="R36"/>
      <c r="S36"/>
      <c r="T36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</row>
    <row r="37" spans="1:828" s="27" customFormat="1" ht="18" x14ac:dyDescent="0.2">
      <c r="A37" s="28"/>
      <c r="D37" s="29"/>
      <c r="E37" s="23"/>
      <c r="F37" s="23" t="s">
        <v>72</v>
      </c>
      <c r="G37" s="29">
        <v>826</v>
      </c>
      <c r="H37" s="30"/>
      <c r="I37" s="23" t="s">
        <v>34</v>
      </c>
      <c r="J37" s="29">
        <v>37</v>
      </c>
      <c r="K37" s="30"/>
      <c r="L37" s="23"/>
      <c r="M37" s="29"/>
      <c r="N37" s="47"/>
      <c r="O37" s="12"/>
      <c r="P37" s="48"/>
      <c r="Q37" s="52"/>
      <c r="R37"/>
      <c r="S37"/>
      <c r="T37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  <c r="IL37" s="12"/>
      <c r="IM37" s="12"/>
      <c r="IN37" s="12"/>
      <c r="IO37" s="12"/>
      <c r="IP37" s="12"/>
      <c r="IQ37" s="12"/>
      <c r="IR37" s="12"/>
      <c r="IS37" s="12"/>
      <c r="IT37" s="12"/>
      <c r="IU37" s="12"/>
      <c r="IV37" s="12"/>
      <c r="IW37" s="12"/>
      <c r="IX37" s="12"/>
      <c r="IY37" s="12"/>
      <c r="IZ37" s="12"/>
      <c r="JA37" s="12"/>
      <c r="JB37" s="12"/>
      <c r="JC37" s="12"/>
      <c r="JD37" s="12"/>
      <c r="JE37" s="12"/>
      <c r="JF37" s="12"/>
      <c r="JG37" s="12"/>
      <c r="JH37" s="12"/>
      <c r="JI37" s="12"/>
      <c r="JJ37" s="12"/>
      <c r="JK37" s="12"/>
      <c r="JL37" s="12"/>
      <c r="JM37" s="12"/>
      <c r="JN37" s="12"/>
      <c r="JO37" s="12"/>
      <c r="JP37" s="12"/>
      <c r="JQ37" s="12"/>
      <c r="JR37" s="12"/>
      <c r="JS37" s="12"/>
      <c r="JT37" s="12"/>
      <c r="JU37" s="12"/>
      <c r="JV37" s="12"/>
      <c r="JW37" s="12"/>
      <c r="JX37" s="12"/>
      <c r="JY37" s="12"/>
      <c r="JZ37" s="12"/>
      <c r="KA37" s="12"/>
      <c r="KB37" s="12"/>
      <c r="KC37" s="12"/>
      <c r="KD37" s="12"/>
      <c r="KE37" s="12"/>
      <c r="KF37" s="12"/>
      <c r="KG37" s="12"/>
      <c r="KH37" s="12"/>
      <c r="KI37" s="12"/>
      <c r="KJ37" s="12"/>
      <c r="KK37" s="12"/>
      <c r="KL37" s="12"/>
      <c r="KM37" s="12"/>
      <c r="KN37" s="12"/>
      <c r="KO37" s="12"/>
      <c r="KP37" s="12"/>
      <c r="KQ37" s="12"/>
      <c r="KR37" s="12"/>
      <c r="KS37" s="12"/>
      <c r="KT37" s="12"/>
      <c r="KU37" s="12"/>
      <c r="KV37" s="12"/>
      <c r="KW37" s="12"/>
      <c r="KX37" s="12"/>
      <c r="KY37" s="12"/>
      <c r="KZ37" s="12"/>
      <c r="LA37" s="12"/>
      <c r="LB37" s="12"/>
      <c r="LC37" s="12"/>
      <c r="LD37" s="12"/>
      <c r="LE37" s="12"/>
      <c r="LF37" s="12"/>
      <c r="LG37" s="12"/>
      <c r="LH37" s="12"/>
      <c r="LI37" s="12"/>
      <c r="LJ37" s="12"/>
      <c r="LK37" s="12"/>
      <c r="LL37" s="12"/>
      <c r="LM37" s="12"/>
      <c r="LN37" s="12"/>
      <c r="LO37" s="12"/>
      <c r="LP37" s="12"/>
      <c r="LQ37" s="12"/>
      <c r="LR37" s="12"/>
      <c r="LS37" s="12"/>
      <c r="LT37" s="12"/>
      <c r="LU37" s="12"/>
      <c r="LV37" s="12"/>
      <c r="LW37" s="12"/>
      <c r="LX37" s="12"/>
      <c r="LY37" s="12"/>
      <c r="LZ37" s="12"/>
      <c r="MA37" s="12"/>
      <c r="MB37" s="12"/>
      <c r="MC37" s="12"/>
      <c r="MD37" s="12"/>
      <c r="ME37" s="12"/>
      <c r="MF37" s="12"/>
      <c r="MG37" s="12"/>
      <c r="MH37" s="12"/>
      <c r="MI37" s="12"/>
      <c r="MJ37" s="12"/>
      <c r="MK37" s="12"/>
      <c r="ML37" s="12"/>
      <c r="MM37" s="12"/>
      <c r="MN37" s="12"/>
      <c r="MO37" s="12"/>
      <c r="MP37" s="12"/>
      <c r="MQ37" s="12"/>
      <c r="MR37" s="12"/>
      <c r="MS37" s="12"/>
      <c r="MT37" s="12"/>
      <c r="MU37" s="12"/>
      <c r="MV37" s="12"/>
      <c r="MW37" s="12"/>
      <c r="MX37" s="12"/>
      <c r="MY37" s="12"/>
      <c r="MZ37" s="12"/>
      <c r="NA37" s="12"/>
      <c r="NB37" s="12"/>
      <c r="NC37" s="12"/>
      <c r="ND37" s="12"/>
      <c r="NE37" s="12"/>
      <c r="NF37" s="12"/>
      <c r="NG37" s="12"/>
      <c r="NH37" s="12"/>
      <c r="NI37" s="12"/>
      <c r="NJ37" s="12"/>
      <c r="NK37" s="12"/>
      <c r="NL37" s="12"/>
      <c r="NM37" s="12"/>
      <c r="NN37" s="12"/>
      <c r="NO37" s="12"/>
      <c r="NP37" s="12"/>
      <c r="NQ37" s="12"/>
      <c r="NR37" s="12"/>
      <c r="NS37" s="12"/>
      <c r="NT37" s="12"/>
      <c r="NU37" s="12"/>
      <c r="NV37" s="12"/>
      <c r="NW37" s="12"/>
      <c r="NX37" s="12"/>
      <c r="NY37" s="12"/>
      <c r="NZ37" s="12"/>
      <c r="OA37" s="12"/>
      <c r="OB37" s="12"/>
      <c r="OC37" s="12"/>
      <c r="OD37" s="12"/>
      <c r="OE37" s="12"/>
      <c r="OF37" s="12"/>
      <c r="OG37" s="12"/>
      <c r="OH37" s="12"/>
      <c r="OI37" s="12"/>
      <c r="OJ37" s="12"/>
      <c r="OK37" s="12"/>
      <c r="OL37" s="12"/>
      <c r="OM37" s="12"/>
      <c r="ON37" s="12"/>
      <c r="OO37" s="12"/>
      <c r="OP37" s="12"/>
      <c r="OQ37" s="12"/>
      <c r="OR37" s="12"/>
      <c r="OS37" s="12"/>
      <c r="OT37" s="12"/>
      <c r="OU37" s="12"/>
      <c r="OV37" s="12"/>
      <c r="OW37" s="12"/>
      <c r="OX37" s="12"/>
      <c r="OY37" s="12"/>
      <c r="OZ37" s="12"/>
      <c r="PA37" s="12"/>
      <c r="PB37" s="12"/>
      <c r="PC37" s="12"/>
      <c r="PD37" s="12"/>
      <c r="PE37" s="12"/>
      <c r="PF37" s="12"/>
      <c r="PG37" s="12"/>
      <c r="PH37" s="12"/>
      <c r="PI37" s="12"/>
      <c r="PJ37" s="12"/>
      <c r="PK37" s="12"/>
      <c r="PL37" s="12"/>
      <c r="PM37" s="12"/>
      <c r="PN37" s="12"/>
      <c r="PO37" s="12"/>
      <c r="PP37" s="12"/>
      <c r="PQ37" s="12"/>
      <c r="PR37" s="12"/>
      <c r="PS37" s="12"/>
      <c r="PT37" s="12"/>
      <c r="PU37" s="12"/>
      <c r="PV37" s="12"/>
      <c r="PW37" s="12"/>
      <c r="PX37" s="12"/>
      <c r="PY37" s="12"/>
      <c r="PZ37" s="12"/>
      <c r="QA37" s="12"/>
      <c r="QB37" s="12"/>
      <c r="QC37" s="12"/>
      <c r="QD37" s="12"/>
      <c r="QE37" s="12"/>
      <c r="QF37" s="12"/>
      <c r="QG37" s="12"/>
      <c r="QH37" s="12"/>
      <c r="QI37" s="12"/>
      <c r="QJ37" s="12"/>
      <c r="QK37" s="12"/>
      <c r="QL37" s="12"/>
      <c r="QM37" s="12"/>
      <c r="QN37" s="12"/>
      <c r="QO37" s="12"/>
      <c r="QP37" s="12"/>
      <c r="QQ37" s="12"/>
      <c r="QR37" s="12"/>
      <c r="QS37" s="12"/>
      <c r="QT37" s="12"/>
      <c r="QU37" s="12"/>
      <c r="QV37" s="12"/>
      <c r="QW37" s="12"/>
      <c r="QX37" s="12"/>
      <c r="QY37" s="12"/>
      <c r="QZ37" s="12"/>
      <c r="RA37" s="12"/>
      <c r="RB37" s="12"/>
      <c r="RC37" s="12"/>
      <c r="RD37" s="12"/>
      <c r="RE37" s="12"/>
      <c r="RF37" s="12"/>
      <c r="RG37" s="12"/>
      <c r="RH37" s="12"/>
      <c r="RI37" s="12"/>
      <c r="RJ37" s="12"/>
      <c r="RK37" s="12"/>
      <c r="RL37" s="12"/>
      <c r="RM37" s="12"/>
      <c r="RN37" s="12"/>
      <c r="RO37" s="12"/>
      <c r="RP37" s="12"/>
      <c r="RQ37" s="12"/>
      <c r="RR37" s="12"/>
      <c r="RS37" s="12"/>
      <c r="RT37" s="12"/>
      <c r="RU37" s="12"/>
      <c r="RV37" s="12"/>
      <c r="RW37" s="12"/>
      <c r="RX37" s="12"/>
      <c r="RY37" s="12"/>
      <c r="RZ37" s="12"/>
      <c r="SA37" s="12"/>
      <c r="SB37" s="12"/>
      <c r="SC37" s="12"/>
      <c r="SD37" s="12"/>
      <c r="SE37" s="12"/>
      <c r="SF37" s="12"/>
      <c r="SG37" s="12"/>
      <c r="SH37" s="12"/>
      <c r="SI37" s="12"/>
      <c r="SJ37" s="12"/>
      <c r="SK37" s="12"/>
      <c r="SL37" s="12"/>
      <c r="SM37" s="12"/>
      <c r="SN37" s="12"/>
      <c r="SO37" s="12"/>
      <c r="SP37" s="12"/>
      <c r="SQ37" s="12"/>
      <c r="SR37" s="12"/>
      <c r="SS37" s="12"/>
      <c r="ST37" s="12"/>
      <c r="SU37" s="12"/>
      <c r="SV37" s="12"/>
      <c r="SW37" s="12"/>
      <c r="SX37" s="12"/>
      <c r="SY37" s="12"/>
      <c r="SZ37" s="12"/>
      <c r="TA37" s="12"/>
      <c r="TB37" s="12"/>
      <c r="TC37" s="12"/>
      <c r="TD37" s="12"/>
      <c r="TE37" s="12"/>
      <c r="TF37" s="12"/>
      <c r="TG37" s="12"/>
      <c r="TH37" s="12"/>
      <c r="TI37" s="12"/>
      <c r="TJ37" s="12"/>
      <c r="TK37" s="12"/>
      <c r="TL37" s="12"/>
      <c r="TM37" s="12"/>
      <c r="TN37" s="12"/>
      <c r="TO37" s="12"/>
      <c r="TP37" s="12"/>
      <c r="TQ37" s="12"/>
      <c r="TR37" s="12"/>
      <c r="TS37" s="12"/>
      <c r="TT37" s="12"/>
      <c r="TU37" s="12"/>
      <c r="TV37" s="12"/>
      <c r="TW37" s="12"/>
      <c r="TX37" s="12"/>
      <c r="TY37" s="12"/>
      <c r="TZ37" s="12"/>
      <c r="UA37" s="12"/>
      <c r="UB37" s="12"/>
      <c r="UC37" s="12"/>
      <c r="UD37" s="12"/>
      <c r="UE37" s="12"/>
      <c r="UF37" s="12"/>
      <c r="UG37" s="12"/>
      <c r="UH37" s="12"/>
      <c r="UI37" s="12"/>
      <c r="UJ37" s="12"/>
      <c r="UK37" s="12"/>
      <c r="UL37" s="12"/>
      <c r="UM37" s="12"/>
      <c r="UN37" s="12"/>
      <c r="UO37" s="12"/>
      <c r="UP37" s="12"/>
      <c r="UQ37" s="12"/>
      <c r="UR37" s="12"/>
      <c r="US37" s="12"/>
      <c r="UT37" s="12"/>
      <c r="UU37" s="12"/>
      <c r="UV37" s="12"/>
      <c r="UW37" s="12"/>
      <c r="UX37" s="12"/>
      <c r="UY37" s="12"/>
      <c r="UZ37" s="12"/>
      <c r="VA37" s="12"/>
      <c r="VB37" s="12"/>
      <c r="VC37" s="12"/>
      <c r="VD37" s="12"/>
      <c r="VE37" s="12"/>
      <c r="VF37" s="12"/>
      <c r="VG37" s="12"/>
      <c r="VH37" s="12"/>
      <c r="VI37" s="12"/>
      <c r="VJ37" s="12"/>
      <c r="VK37" s="12"/>
      <c r="VL37" s="12"/>
      <c r="VM37" s="12"/>
      <c r="VN37" s="12"/>
      <c r="VO37" s="12"/>
      <c r="VP37" s="12"/>
      <c r="VQ37" s="12"/>
      <c r="VR37" s="12"/>
      <c r="VS37" s="12"/>
      <c r="VT37" s="12"/>
      <c r="VU37" s="12"/>
      <c r="VV37" s="12"/>
      <c r="VW37" s="12"/>
      <c r="VX37" s="12"/>
      <c r="VY37" s="12"/>
      <c r="VZ37" s="12"/>
      <c r="WA37" s="12"/>
      <c r="WB37" s="12"/>
      <c r="WC37" s="12"/>
      <c r="WD37" s="12"/>
      <c r="WE37" s="12"/>
      <c r="WF37" s="12"/>
      <c r="WG37" s="12"/>
      <c r="WH37" s="12"/>
      <c r="WI37" s="12"/>
      <c r="WJ37" s="12"/>
      <c r="WK37" s="12"/>
      <c r="WL37" s="12"/>
      <c r="WM37" s="12"/>
      <c r="WN37" s="12"/>
      <c r="WO37" s="12"/>
      <c r="WP37" s="12"/>
      <c r="WQ37" s="12"/>
      <c r="WR37" s="12"/>
      <c r="WS37" s="12"/>
      <c r="WT37" s="12"/>
      <c r="WU37" s="12"/>
      <c r="WV37" s="12"/>
      <c r="WW37" s="12"/>
      <c r="WX37" s="12"/>
      <c r="WY37" s="12"/>
      <c r="WZ37" s="12"/>
      <c r="XA37" s="12"/>
      <c r="XB37" s="12"/>
      <c r="XC37" s="12"/>
      <c r="XD37" s="12"/>
      <c r="XE37" s="12"/>
      <c r="XF37" s="12"/>
      <c r="XG37" s="12"/>
      <c r="XH37" s="12"/>
      <c r="XI37" s="12"/>
      <c r="XJ37" s="12"/>
      <c r="XK37" s="12"/>
      <c r="XL37" s="12"/>
      <c r="XM37" s="12"/>
      <c r="XN37" s="12"/>
      <c r="XO37" s="12"/>
      <c r="XP37" s="12"/>
      <c r="XQ37" s="12"/>
      <c r="XR37" s="12"/>
      <c r="XS37" s="12"/>
      <c r="XT37" s="12"/>
      <c r="XU37" s="12"/>
      <c r="XV37" s="12"/>
      <c r="XW37" s="12"/>
      <c r="XX37" s="12"/>
      <c r="XY37" s="12"/>
      <c r="XZ37" s="12"/>
      <c r="YA37" s="12"/>
      <c r="YB37" s="12"/>
      <c r="YC37" s="12"/>
      <c r="YD37" s="12"/>
      <c r="YE37" s="12"/>
      <c r="YF37" s="12"/>
      <c r="YG37" s="12"/>
      <c r="YH37" s="12"/>
      <c r="YI37" s="12"/>
      <c r="YJ37" s="12"/>
      <c r="YK37" s="12"/>
      <c r="YL37" s="12"/>
      <c r="YM37" s="12"/>
      <c r="YN37" s="12"/>
      <c r="YO37" s="12"/>
      <c r="YP37" s="12"/>
      <c r="YQ37" s="12"/>
      <c r="YR37" s="12"/>
      <c r="YS37" s="12"/>
      <c r="YT37" s="12"/>
      <c r="YU37" s="12"/>
      <c r="YV37" s="12"/>
      <c r="YW37" s="12"/>
      <c r="YX37" s="12"/>
      <c r="YY37" s="12"/>
      <c r="YZ37" s="12"/>
      <c r="ZA37" s="12"/>
      <c r="ZB37" s="12"/>
      <c r="ZC37" s="12"/>
      <c r="ZD37" s="12"/>
      <c r="ZE37" s="12"/>
      <c r="ZF37" s="12"/>
      <c r="ZG37" s="12"/>
      <c r="ZH37" s="12"/>
      <c r="ZI37" s="12"/>
      <c r="ZJ37" s="12"/>
      <c r="ZK37" s="12"/>
      <c r="ZL37" s="12"/>
      <c r="ZM37" s="12"/>
      <c r="ZN37" s="12"/>
      <c r="ZO37" s="12"/>
      <c r="ZP37" s="12"/>
      <c r="ZQ37" s="12"/>
      <c r="ZR37" s="12"/>
      <c r="ZS37" s="12"/>
      <c r="ZT37" s="12"/>
      <c r="ZU37" s="12"/>
      <c r="ZV37" s="12"/>
      <c r="ZW37" s="12"/>
      <c r="ZX37" s="12"/>
      <c r="ZY37" s="12"/>
      <c r="ZZ37" s="12"/>
      <c r="AAA37" s="12"/>
      <c r="AAB37" s="12"/>
      <c r="AAC37" s="12"/>
      <c r="AAD37" s="12"/>
      <c r="AAE37" s="12"/>
      <c r="AAF37" s="12"/>
      <c r="AAG37" s="12"/>
      <c r="AAH37" s="12"/>
      <c r="AAI37" s="12"/>
      <c r="AAJ37" s="12"/>
      <c r="AAK37" s="12"/>
      <c r="AAL37" s="12"/>
      <c r="AAM37" s="12"/>
      <c r="AAN37" s="12"/>
      <c r="AAO37" s="12"/>
      <c r="AAP37" s="12"/>
      <c r="AAQ37" s="12"/>
      <c r="AAR37" s="12"/>
      <c r="AAS37" s="12"/>
      <c r="AAT37" s="12"/>
      <c r="AAU37" s="12"/>
      <c r="AAV37" s="12"/>
      <c r="AAW37" s="12"/>
      <c r="AAX37" s="12"/>
      <c r="AAY37" s="12"/>
      <c r="AAZ37" s="12"/>
      <c r="ABA37" s="12"/>
      <c r="ABB37" s="12"/>
      <c r="ABC37" s="12"/>
      <c r="ABD37" s="12"/>
      <c r="ABE37" s="12"/>
      <c r="ABF37" s="12"/>
      <c r="ABG37" s="12"/>
      <c r="ABH37" s="12"/>
      <c r="ABI37" s="12"/>
      <c r="ABJ37" s="12"/>
      <c r="ABK37" s="12"/>
      <c r="ABL37" s="12"/>
      <c r="ABM37" s="12"/>
      <c r="ABN37" s="12"/>
      <c r="ABO37" s="12"/>
      <c r="ABP37" s="12"/>
      <c r="ABQ37" s="12"/>
      <c r="ABR37" s="12"/>
      <c r="ABS37" s="12"/>
      <c r="ABT37" s="12"/>
      <c r="ABU37" s="12"/>
      <c r="ABV37" s="12"/>
      <c r="ABW37" s="12"/>
      <c r="ABX37" s="12"/>
      <c r="ABY37" s="12"/>
      <c r="ABZ37" s="12"/>
      <c r="ACA37" s="12"/>
      <c r="ACB37" s="12"/>
      <c r="ACC37" s="12"/>
      <c r="ACD37" s="12"/>
      <c r="ACE37" s="12"/>
      <c r="ACF37" s="12"/>
      <c r="ACG37" s="12"/>
      <c r="ACH37" s="12"/>
      <c r="ACI37" s="12"/>
      <c r="ACJ37" s="12"/>
      <c r="ACK37" s="12"/>
      <c r="ACL37" s="12"/>
      <c r="ACM37" s="12"/>
      <c r="ACN37" s="12"/>
      <c r="ACO37" s="12"/>
      <c r="ACP37" s="12"/>
      <c r="ACQ37" s="12"/>
      <c r="ACR37" s="12"/>
      <c r="ACS37" s="12"/>
      <c r="ACT37" s="12"/>
      <c r="ACU37" s="12"/>
      <c r="ACV37" s="12"/>
      <c r="ACW37" s="12"/>
      <c r="ACX37" s="12"/>
      <c r="ACY37" s="12"/>
      <c r="ACZ37" s="12"/>
      <c r="ADA37" s="12"/>
      <c r="ADB37" s="12"/>
      <c r="ADC37" s="12"/>
      <c r="ADD37" s="12"/>
      <c r="ADE37" s="12"/>
      <c r="ADF37" s="12"/>
      <c r="ADG37" s="12"/>
      <c r="ADH37" s="12"/>
      <c r="ADI37" s="12"/>
      <c r="ADJ37" s="12"/>
      <c r="ADK37" s="12"/>
      <c r="ADL37" s="12"/>
      <c r="ADM37" s="12"/>
      <c r="ADN37" s="12"/>
      <c r="ADO37" s="12"/>
      <c r="ADP37" s="12"/>
      <c r="ADQ37" s="12"/>
      <c r="ADR37" s="12"/>
      <c r="ADS37" s="12"/>
      <c r="ADT37" s="12"/>
      <c r="ADU37" s="12"/>
      <c r="ADV37" s="12"/>
      <c r="ADW37" s="12"/>
      <c r="ADX37" s="12"/>
      <c r="ADY37" s="12"/>
      <c r="ADZ37" s="12"/>
      <c r="AEA37" s="12"/>
      <c r="AEB37" s="12"/>
      <c r="AEC37" s="12"/>
      <c r="AED37" s="12"/>
      <c r="AEE37" s="12"/>
      <c r="AEF37" s="12"/>
      <c r="AEG37" s="12"/>
      <c r="AEH37" s="12"/>
      <c r="AEI37" s="12"/>
      <c r="AEJ37" s="12"/>
      <c r="AEK37" s="12"/>
      <c r="AEL37" s="12"/>
      <c r="AEM37" s="12"/>
      <c r="AEN37" s="12"/>
      <c r="AEO37" s="12"/>
      <c r="AEP37" s="12"/>
      <c r="AEQ37" s="12"/>
      <c r="AER37" s="12"/>
      <c r="AES37" s="12"/>
      <c r="AET37" s="12"/>
      <c r="AEU37" s="12"/>
      <c r="AEV37" s="12"/>
    </row>
    <row r="38" spans="1:828" s="27" customFormat="1" ht="18" x14ac:dyDescent="0.2">
      <c r="A38" s="28"/>
      <c r="D38" s="29"/>
      <c r="E38" s="23"/>
      <c r="F38" s="27" t="s">
        <v>35</v>
      </c>
      <c r="G38" s="29">
        <v>265</v>
      </c>
      <c r="H38" s="30"/>
      <c r="I38" s="23" t="s">
        <v>36</v>
      </c>
      <c r="J38" s="29">
        <v>18</v>
      </c>
      <c r="K38" s="30"/>
      <c r="L38" s="23" t="s">
        <v>37</v>
      </c>
      <c r="M38" s="29">
        <v>603</v>
      </c>
      <c r="N38" s="47"/>
      <c r="O38" s="12"/>
      <c r="P38" s="48"/>
      <c r="Q38"/>
      <c r="R38"/>
      <c r="S38"/>
      <c r="T38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</row>
    <row r="39" spans="1:828" s="27" customFormat="1" ht="18" x14ac:dyDescent="0.2">
      <c r="A39" s="28"/>
      <c r="D39" s="29"/>
      <c r="E39" s="23"/>
      <c r="F39" s="27" t="s">
        <v>30</v>
      </c>
      <c r="G39" s="29">
        <v>151</v>
      </c>
      <c r="H39" s="30"/>
      <c r="I39" s="23"/>
      <c r="J39" s="29"/>
      <c r="K39" s="30"/>
      <c r="L39" s="23" t="s">
        <v>38</v>
      </c>
      <c r="M39" s="29">
        <v>996</v>
      </c>
      <c r="N39" s="47"/>
      <c r="O39" s="12"/>
      <c r="P39" s="48"/>
      <c r="Q39"/>
      <c r="R39"/>
      <c r="S39"/>
      <c r="T39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  <c r="IY39" s="12"/>
      <c r="IZ39" s="12"/>
      <c r="JA39" s="12"/>
      <c r="JB39" s="12"/>
      <c r="JC39" s="12"/>
      <c r="JD39" s="12"/>
      <c r="JE39" s="12"/>
      <c r="JF39" s="12"/>
      <c r="JG39" s="12"/>
      <c r="JH39" s="12"/>
      <c r="JI39" s="12"/>
      <c r="JJ39" s="12"/>
      <c r="JK39" s="12"/>
      <c r="JL39" s="12"/>
      <c r="JM39" s="12"/>
      <c r="JN39" s="12"/>
      <c r="JO39" s="12"/>
      <c r="JP39" s="12"/>
      <c r="JQ39" s="12"/>
      <c r="JR39" s="12"/>
      <c r="JS39" s="12"/>
      <c r="JT39" s="12"/>
      <c r="JU39" s="12"/>
      <c r="JV39" s="12"/>
      <c r="JW39" s="12"/>
      <c r="JX39" s="12"/>
      <c r="JY39" s="12"/>
      <c r="JZ39" s="12"/>
      <c r="KA39" s="12"/>
      <c r="KB39" s="12"/>
      <c r="KC39" s="12"/>
      <c r="KD39" s="12"/>
      <c r="KE39" s="12"/>
      <c r="KF39" s="12"/>
      <c r="KG39" s="12"/>
      <c r="KH39" s="12"/>
      <c r="KI39" s="12"/>
      <c r="KJ39" s="12"/>
      <c r="KK39" s="12"/>
      <c r="KL39" s="12"/>
      <c r="KM39" s="12"/>
      <c r="KN39" s="12"/>
      <c r="KO39" s="12"/>
      <c r="KP39" s="12"/>
      <c r="KQ39" s="12"/>
      <c r="KR39" s="12"/>
      <c r="KS39" s="12"/>
      <c r="KT39" s="12"/>
      <c r="KU39" s="12"/>
      <c r="KV39" s="12"/>
      <c r="KW39" s="12"/>
      <c r="KX39" s="12"/>
      <c r="KY39" s="12"/>
      <c r="KZ39" s="12"/>
      <c r="LA39" s="12"/>
      <c r="LB39" s="12"/>
      <c r="LC39" s="12"/>
      <c r="LD39" s="12"/>
      <c r="LE39" s="12"/>
      <c r="LF39" s="12"/>
      <c r="LG39" s="12"/>
      <c r="LH39" s="12"/>
      <c r="LI39" s="12"/>
      <c r="LJ39" s="12"/>
      <c r="LK39" s="12"/>
      <c r="LL39" s="12"/>
      <c r="LM39" s="12"/>
      <c r="LN39" s="12"/>
      <c r="LO39" s="12"/>
      <c r="LP39" s="12"/>
      <c r="LQ39" s="12"/>
      <c r="LR39" s="12"/>
      <c r="LS39" s="12"/>
      <c r="LT39" s="12"/>
      <c r="LU39" s="12"/>
      <c r="LV39" s="12"/>
      <c r="LW39" s="12"/>
      <c r="LX39" s="12"/>
      <c r="LY39" s="12"/>
      <c r="LZ39" s="12"/>
      <c r="MA39" s="12"/>
      <c r="MB39" s="12"/>
      <c r="MC39" s="12"/>
      <c r="MD39" s="12"/>
      <c r="ME39" s="12"/>
      <c r="MF39" s="12"/>
      <c r="MG39" s="12"/>
      <c r="MH39" s="12"/>
      <c r="MI39" s="12"/>
      <c r="MJ39" s="12"/>
      <c r="MK39" s="12"/>
      <c r="ML39" s="12"/>
      <c r="MM39" s="12"/>
      <c r="MN39" s="12"/>
      <c r="MO39" s="12"/>
      <c r="MP39" s="12"/>
      <c r="MQ39" s="12"/>
      <c r="MR39" s="12"/>
      <c r="MS39" s="12"/>
      <c r="MT39" s="12"/>
      <c r="MU39" s="12"/>
      <c r="MV39" s="12"/>
      <c r="MW39" s="12"/>
      <c r="MX39" s="12"/>
      <c r="MY39" s="12"/>
      <c r="MZ39" s="12"/>
      <c r="NA39" s="12"/>
      <c r="NB39" s="12"/>
      <c r="NC39" s="12"/>
      <c r="ND39" s="12"/>
      <c r="NE39" s="12"/>
      <c r="NF39" s="12"/>
      <c r="NG39" s="12"/>
      <c r="NH39" s="12"/>
      <c r="NI39" s="12"/>
      <c r="NJ39" s="12"/>
      <c r="NK39" s="12"/>
      <c r="NL39" s="12"/>
      <c r="NM39" s="12"/>
      <c r="NN39" s="12"/>
      <c r="NO39" s="12"/>
      <c r="NP39" s="12"/>
      <c r="NQ39" s="12"/>
      <c r="NR39" s="12"/>
      <c r="NS39" s="12"/>
      <c r="NT39" s="12"/>
      <c r="NU39" s="12"/>
      <c r="NV39" s="12"/>
      <c r="NW39" s="12"/>
      <c r="NX39" s="12"/>
      <c r="NY39" s="12"/>
      <c r="NZ39" s="12"/>
      <c r="OA39" s="12"/>
      <c r="OB39" s="12"/>
      <c r="OC39" s="12"/>
      <c r="OD39" s="12"/>
      <c r="OE39" s="12"/>
      <c r="OF39" s="12"/>
      <c r="OG39" s="12"/>
      <c r="OH39" s="12"/>
      <c r="OI39" s="12"/>
      <c r="OJ39" s="12"/>
      <c r="OK39" s="12"/>
      <c r="OL39" s="12"/>
      <c r="OM39" s="12"/>
      <c r="ON39" s="12"/>
      <c r="OO39" s="12"/>
      <c r="OP39" s="12"/>
      <c r="OQ39" s="12"/>
      <c r="OR39" s="12"/>
      <c r="OS39" s="12"/>
      <c r="OT39" s="12"/>
      <c r="OU39" s="12"/>
      <c r="OV39" s="12"/>
      <c r="OW39" s="12"/>
      <c r="OX39" s="12"/>
      <c r="OY39" s="12"/>
      <c r="OZ39" s="12"/>
      <c r="PA39" s="12"/>
      <c r="PB39" s="12"/>
      <c r="PC39" s="12"/>
      <c r="PD39" s="12"/>
      <c r="PE39" s="12"/>
      <c r="PF39" s="12"/>
      <c r="PG39" s="12"/>
      <c r="PH39" s="12"/>
      <c r="PI39" s="12"/>
      <c r="PJ39" s="12"/>
      <c r="PK39" s="12"/>
      <c r="PL39" s="12"/>
      <c r="PM39" s="12"/>
      <c r="PN39" s="12"/>
      <c r="PO39" s="12"/>
      <c r="PP39" s="12"/>
      <c r="PQ39" s="12"/>
      <c r="PR39" s="12"/>
      <c r="PS39" s="12"/>
      <c r="PT39" s="12"/>
      <c r="PU39" s="12"/>
      <c r="PV39" s="12"/>
      <c r="PW39" s="12"/>
      <c r="PX39" s="12"/>
      <c r="PY39" s="12"/>
      <c r="PZ39" s="12"/>
      <c r="QA39" s="12"/>
      <c r="QB39" s="12"/>
      <c r="QC39" s="12"/>
      <c r="QD39" s="12"/>
      <c r="QE39" s="12"/>
      <c r="QF39" s="12"/>
      <c r="QG39" s="12"/>
      <c r="QH39" s="12"/>
      <c r="QI39" s="12"/>
      <c r="QJ39" s="12"/>
      <c r="QK39" s="12"/>
      <c r="QL39" s="12"/>
      <c r="QM39" s="12"/>
      <c r="QN39" s="12"/>
      <c r="QO39" s="12"/>
      <c r="QP39" s="12"/>
      <c r="QQ39" s="12"/>
      <c r="QR39" s="12"/>
      <c r="QS39" s="12"/>
      <c r="QT39" s="12"/>
      <c r="QU39" s="12"/>
      <c r="QV39" s="12"/>
      <c r="QW39" s="12"/>
      <c r="QX39" s="12"/>
      <c r="QY39" s="12"/>
      <c r="QZ39" s="12"/>
      <c r="RA39" s="12"/>
      <c r="RB39" s="12"/>
      <c r="RC39" s="12"/>
      <c r="RD39" s="12"/>
      <c r="RE39" s="12"/>
      <c r="RF39" s="12"/>
      <c r="RG39" s="12"/>
      <c r="RH39" s="12"/>
      <c r="RI39" s="12"/>
      <c r="RJ39" s="12"/>
      <c r="RK39" s="12"/>
      <c r="RL39" s="12"/>
      <c r="RM39" s="12"/>
      <c r="RN39" s="12"/>
      <c r="RO39" s="12"/>
      <c r="RP39" s="12"/>
      <c r="RQ39" s="12"/>
      <c r="RR39" s="12"/>
      <c r="RS39" s="12"/>
      <c r="RT39" s="12"/>
      <c r="RU39" s="12"/>
      <c r="RV39" s="12"/>
      <c r="RW39" s="12"/>
      <c r="RX39" s="12"/>
      <c r="RY39" s="12"/>
      <c r="RZ39" s="12"/>
      <c r="SA39" s="12"/>
      <c r="SB39" s="12"/>
      <c r="SC39" s="12"/>
      <c r="SD39" s="12"/>
      <c r="SE39" s="12"/>
      <c r="SF39" s="12"/>
      <c r="SG39" s="12"/>
      <c r="SH39" s="12"/>
      <c r="SI39" s="12"/>
      <c r="SJ39" s="12"/>
      <c r="SK39" s="12"/>
      <c r="SL39" s="12"/>
      <c r="SM39" s="12"/>
      <c r="SN39" s="12"/>
      <c r="SO39" s="12"/>
      <c r="SP39" s="12"/>
      <c r="SQ39" s="12"/>
      <c r="SR39" s="12"/>
      <c r="SS39" s="12"/>
      <c r="ST39" s="12"/>
      <c r="SU39" s="12"/>
      <c r="SV39" s="12"/>
      <c r="SW39" s="12"/>
      <c r="SX39" s="12"/>
      <c r="SY39" s="12"/>
      <c r="SZ39" s="12"/>
      <c r="TA39" s="12"/>
      <c r="TB39" s="12"/>
      <c r="TC39" s="12"/>
      <c r="TD39" s="12"/>
      <c r="TE39" s="12"/>
      <c r="TF39" s="12"/>
      <c r="TG39" s="12"/>
      <c r="TH39" s="12"/>
      <c r="TI39" s="12"/>
      <c r="TJ39" s="12"/>
      <c r="TK39" s="12"/>
      <c r="TL39" s="12"/>
      <c r="TM39" s="12"/>
      <c r="TN39" s="12"/>
      <c r="TO39" s="12"/>
      <c r="TP39" s="12"/>
      <c r="TQ39" s="12"/>
      <c r="TR39" s="12"/>
      <c r="TS39" s="12"/>
      <c r="TT39" s="12"/>
      <c r="TU39" s="12"/>
      <c r="TV39" s="12"/>
      <c r="TW39" s="12"/>
      <c r="TX39" s="12"/>
      <c r="TY39" s="12"/>
      <c r="TZ39" s="12"/>
      <c r="UA39" s="12"/>
      <c r="UB39" s="12"/>
      <c r="UC39" s="12"/>
      <c r="UD39" s="12"/>
      <c r="UE39" s="12"/>
      <c r="UF39" s="12"/>
      <c r="UG39" s="12"/>
      <c r="UH39" s="12"/>
      <c r="UI39" s="12"/>
      <c r="UJ39" s="12"/>
      <c r="UK39" s="12"/>
      <c r="UL39" s="12"/>
      <c r="UM39" s="12"/>
      <c r="UN39" s="12"/>
      <c r="UO39" s="12"/>
      <c r="UP39" s="12"/>
      <c r="UQ39" s="12"/>
      <c r="UR39" s="12"/>
      <c r="US39" s="12"/>
      <c r="UT39" s="12"/>
      <c r="UU39" s="12"/>
      <c r="UV39" s="12"/>
      <c r="UW39" s="12"/>
      <c r="UX39" s="12"/>
      <c r="UY39" s="12"/>
      <c r="UZ39" s="12"/>
      <c r="VA39" s="12"/>
      <c r="VB39" s="12"/>
      <c r="VC39" s="12"/>
      <c r="VD39" s="12"/>
      <c r="VE39" s="12"/>
      <c r="VF39" s="12"/>
      <c r="VG39" s="12"/>
      <c r="VH39" s="12"/>
      <c r="VI39" s="12"/>
      <c r="VJ39" s="12"/>
      <c r="VK39" s="12"/>
      <c r="VL39" s="12"/>
      <c r="VM39" s="12"/>
      <c r="VN39" s="12"/>
      <c r="VO39" s="12"/>
      <c r="VP39" s="12"/>
      <c r="VQ39" s="12"/>
      <c r="VR39" s="12"/>
      <c r="VS39" s="12"/>
      <c r="VT39" s="12"/>
      <c r="VU39" s="12"/>
      <c r="VV39" s="12"/>
      <c r="VW39" s="12"/>
      <c r="VX39" s="12"/>
      <c r="VY39" s="12"/>
      <c r="VZ39" s="12"/>
      <c r="WA39" s="12"/>
      <c r="WB39" s="12"/>
      <c r="WC39" s="12"/>
      <c r="WD39" s="12"/>
      <c r="WE39" s="12"/>
      <c r="WF39" s="12"/>
      <c r="WG39" s="12"/>
      <c r="WH39" s="12"/>
      <c r="WI39" s="12"/>
      <c r="WJ39" s="12"/>
      <c r="WK39" s="12"/>
      <c r="WL39" s="12"/>
      <c r="WM39" s="12"/>
      <c r="WN39" s="12"/>
      <c r="WO39" s="12"/>
      <c r="WP39" s="12"/>
      <c r="WQ39" s="12"/>
      <c r="WR39" s="12"/>
      <c r="WS39" s="12"/>
      <c r="WT39" s="12"/>
      <c r="WU39" s="12"/>
      <c r="WV39" s="12"/>
      <c r="WW39" s="12"/>
      <c r="WX39" s="12"/>
      <c r="WY39" s="12"/>
      <c r="WZ39" s="12"/>
      <c r="XA39" s="12"/>
      <c r="XB39" s="12"/>
      <c r="XC39" s="12"/>
      <c r="XD39" s="12"/>
      <c r="XE39" s="12"/>
      <c r="XF39" s="12"/>
      <c r="XG39" s="12"/>
      <c r="XH39" s="12"/>
      <c r="XI39" s="12"/>
      <c r="XJ39" s="12"/>
      <c r="XK39" s="12"/>
      <c r="XL39" s="12"/>
      <c r="XM39" s="12"/>
      <c r="XN39" s="12"/>
      <c r="XO39" s="12"/>
      <c r="XP39" s="12"/>
      <c r="XQ39" s="12"/>
      <c r="XR39" s="12"/>
      <c r="XS39" s="12"/>
      <c r="XT39" s="12"/>
      <c r="XU39" s="12"/>
      <c r="XV39" s="12"/>
      <c r="XW39" s="12"/>
      <c r="XX39" s="12"/>
      <c r="XY39" s="12"/>
      <c r="XZ39" s="12"/>
      <c r="YA39" s="12"/>
      <c r="YB39" s="12"/>
      <c r="YC39" s="12"/>
      <c r="YD39" s="12"/>
      <c r="YE39" s="12"/>
      <c r="YF39" s="12"/>
      <c r="YG39" s="12"/>
      <c r="YH39" s="12"/>
      <c r="YI39" s="12"/>
      <c r="YJ39" s="12"/>
      <c r="YK39" s="12"/>
      <c r="YL39" s="12"/>
      <c r="YM39" s="12"/>
      <c r="YN39" s="12"/>
      <c r="YO39" s="12"/>
      <c r="YP39" s="12"/>
      <c r="YQ39" s="12"/>
      <c r="YR39" s="12"/>
      <c r="YS39" s="12"/>
      <c r="YT39" s="12"/>
      <c r="YU39" s="12"/>
      <c r="YV39" s="12"/>
      <c r="YW39" s="12"/>
      <c r="YX39" s="12"/>
      <c r="YY39" s="12"/>
      <c r="YZ39" s="12"/>
      <c r="ZA39" s="12"/>
      <c r="ZB39" s="12"/>
      <c r="ZC39" s="12"/>
      <c r="ZD39" s="12"/>
      <c r="ZE39" s="12"/>
      <c r="ZF39" s="12"/>
      <c r="ZG39" s="12"/>
      <c r="ZH39" s="12"/>
      <c r="ZI39" s="12"/>
      <c r="ZJ39" s="12"/>
      <c r="ZK39" s="12"/>
      <c r="ZL39" s="12"/>
      <c r="ZM39" s="12"/>
      <c r="ZN39" s="12"/>
      <c r="ZO39" s="12"/>
      <c r="ZP39" s="12"/>
      <c r="ZQ39" s="12"/>
      <c r="ZR39" s="12"/>
      <c r="ZS39" s="12"/>
      <c r="ZT39" s="12"/>
      <c r="ZU39" s="12"/>
      <c r="ZV39" s="12"/>
      <c r="ZW39" s="12"/>
      <c r="ZX39" s="12"/>
      <c r="ZY39" s="12"/>
      <c r="ZZ39" s="12"/>
      <c r="AAA39" s="12"/>
      <c r="AAB39" s="12"/>
      <c r="AAC39" s="12"/>
      <c r="AAD39" s="12"/>
      <c r="AAE39" s="12"/>
      <c r="AAF39" s="12"/>
      <c r="AAG39" s="12"/>
      <c r="AAH39" s="12"/>
      <c r="AAI39" s="12"/>
      <c r="AAJ39" s="12"/>
      <c r="AAK39" s="12"/>
      <c r="AAL39" s="12"/>
      <c r="AAM39" s="12"/>
      <c r="AAN39" s="12"/>
      <c r="AAO39" s="12"/>
      <c r="AAP39" s="12"/>
      <c r="AAQ39" s="12"/>
      <c r="AAR39" s="12"/>
      <c r="AAS39" s="12"/>
      <c r="AAT39" s="12"/>
      <c r="AAU39" s="12"/>
      <c r="AAV39" s="12"/>
      <c r="AAW39" s="12"/>
      <c r="AAX39" s="12"/>
      <c r="AAY39" s="12"/>
      <c r="AAZ39" s="12"/>
      <c r="ABA39" s="12"/>
      <c r="ABB39" s="12"/>
      <c r="ABC39" s="12"/>
      <c r="ABD39" s="12"/>
      <c r="ABE39" s="12"/>
      <c r="ABF39" s="12"/>
      <c r="ABG39" s="12"/>
      <c r="ABH39" s="12"/>
      <c r="ABI39" s="12"/>
      <c r="ABJ39" s="12"/>
      <c r="ABK39" s="12"/>
      <c r="ABL39" s="12"/>
      <c r="ABM39" s="12"/>
      <c r="ABN39" s="12"/>
      <c r="ABO39" s="12"/>
      <c r="ABP39" s="12"/>
      <c r="ABQ39" s="12"/>
      <c r="ABR39" s="12"/>
      <c r="ABS39" s="12"/>
      <c r="ABT39" s="12"/>
      <c r="ABU39" s="12"/>
      <c r="ABV39" s="12"/>
      <c r="ABW39" s="12"/>
      <c r="ABX39" s="12"/>
      <c r="ABY39" s="12"/>
      <c r="ABZ39" s="12"/>
      <c r="ACA39" s="12"/>
      <c r="ACB39" s="12"/>
      <c r="ACC39" s="12"/>
      <c r="ACD39" s="12"/>
      <c r="ACE39" s="12"/>
      <c r="ACF39" s="12"/>
      <c r="ACG39" s="12"/>
      <c r="ACH39" s="12"/>
      <c r="ACI39" s="12"/>
      <c r="ACJ39" s="12"/>
      <c r="ACK39" s="12"/>
      <c r="ACL39" s="12"/>
      <c r="ACM39" s="12"/>
      <c r="ACN39" s="12"/>
      <c r="ACO39" s="12"/>
      <c r="ACP39" s="12"/>
      <c r="ACQ39" s="12"/>
      <c r="ACR39" s="12"/>
      <c r="ACS39" s="12"/>
      <c r="ACT39" s="12"/>
      <c r="ACU39" s="12"/>
      <c r="ACV39" s="12"/>
      <c r="ACW39" s="12"/>
      <c r="ACX39" s="12"/>
      <c r="ACY39" s="12"/>
      <c r="ACZ39" s="12"/>
      <c r="ADA39" s="12"/>
      <c r="ADB39" s="12"/>
      <c r="ADC39" s="12"/>
      <c r="ADD39" s="12"/>
      <c r="ADE39" s="12"/>
      <c r="ADF39" s="12"/>
      <c r="ADG39" s="12"/>
      <c r="ADH39" s="12"/>
      <c r="ADI39" s="12"/>
      <c r="ADJ39" s="12"/>
      <c r="ADK39" s="12"/>
      <c r="ADL39" s="12"/>
      <c r="ADM39" s="12"/>
      <c r="ADN39" s="12"/>
      <c r="ADO39" s="12"/>
      <c r="ADP39" s="12"/>
      <c r="ADQ39" s="12"/>
      <c r="ADR39" s="12"/>
      <c r="ADS39" s="12"/>
      <c r="ADT39" s="12"/>
      <c r="ADU39" s="12"/>
      <c r="ADV39" s="12"/>
      <c r="ADW39" s="12"/>
      <c r="ADX39" s="12"/>
      <c r="ADY39" s="12"/>
      <c r="ADZ39" s="12"/>
      <c r="AEA39" s="12"/>
      <c r="AEB39" s="12"/>
      <c r="AEC39" s="12"/>
      <c r="AED39" s="12"/>
      <c r="AEE39" s="12"/>
      <c r="AEF39" s="12"/>
      <c r="AEG39" s="12"/>
      <c r="AEH39" s="12"/>
      <c r="AEI39" s="12"/>
      <c r="AEJ39" s="12"/>
      <c r="AEK39" s="12"/>
      <c r="AEL39" s="12"/>
      <c r="AEM39" s="12"/>
      <c r="AEN39" s="12"/>
      <c r="AEO39" s="12"/>
      <c r="AEP39" s="12"/>
      <c r="AEQ39" s="12"/>
      <c r="AER39" s="12"/>
      <c r="AES39" s="12"/>
      <c r="AET39" s="12"/>
      <c r="AEU39" s="12"/>
      <c r="AEV39" s="12"/>
    </row>
    <row r="40" spans="1:828" s="27" customFormat="1" ht="18" x14ac:dyDescent="0.2">
      <c r="A40" s="28"/>
      <c r="D40" s="29"/>
      <c r="E40" s="23"/>
      <c r="F40" s="23" t="s">
        <v>74</v>
      </c>
      <c r="G40" s="29">
        <v>13</v>
      </c>
      <c r="H40" s="30"/>
      <c r="I40" s="23"/>
      <c r="K40" s="30"/>
      <c r="L40" s="23" t="s">
        <v>39</v>
      </c>
      <c r="M40" s="29">
        <v>190</v>
      </c>
      <c r="N40" s="47"/>
      <c r="O40" s="12"/>
      <c r="P40" s="48"/>
      <c r="Q40"/>
      <c r="R40"/>
      <c r="S40"/>
      <c r="T40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2"/>
      <c r="JG40" s="12"/>
      <c r="JH40" s="12"/>
      <c r="JI40" s="12"/>
      <c r="JJ40" s="12"/>
      <c r="JK40" s="12"/>
      <c r="JL40" s="12"/>
      <c r="JM40" s="12"/>
      <c r="JN40" s="12"/>
      <c r="JO40" s="12"/>
      <c r="JP40" s="12"/>
      <c r="JQ40" s="12"/>
      <c r="JR40" s="12"/>
      <c r="JS40" s="12"/>
      <c r="JT40" s="12"/>
      <c r="JU40" s="12"/>
      <c r="JV40" s="12"/>
      <c r="JW40" s="12"/>
      <c r="JX40" s="12"/>
      <c r="JY40" s="12"/>
      <c r="JZ40" s="12"/>
      <c r="KA40" s="12"/>
      <c r="KB40" s="12"/>
      <c r="KC40" s="12"/>
      <c r="KD40" s="12"/>
      <c r="KE40" s="12"/>
      <c r="KF40" s="12"/>
      <c r="KG40" s="12"/>
      <c r="KH40" s="12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2"/>
      <c r="KT40" s="12"/>
      <c r="KU40" s="12"/>
      <c r="KV40" s="12"/>
      <c r="KW40" s="12"/>
      <c r="KX40" s="12"/>
      <c r="KY40" s="12"/>
      <c r="KZ40" s="12"/>
      <c r="LA40" s="12"/>
      <c r="LB40" s="12"/>
      <c r="LC40" s="12"/>
      <c r="LD40" s="12"/>
      <c r="LE40" s="12"/>
      <c r="LF40" s="12"/>
      <c r="LG40" s="12"/>
      <c r="LH40" s="12"/>
      <c r="LI40" s="12"/>
      <c r="LJ40" s="12"/>
      <c r="LK40" s="12"/>
      <c r="LL40" s="12"/>
      <c r="LM40" s="12"/>
      <c r="LN40" s="12"/>
      <c r="LO40" s="12"/>
      <c r="LP40" s="12"/>
      <c r="LQ40" s="12"/>
      <c r="LR40" s="12"/>
      <c r="LS40" s="12"/>
      <c r="LT40" s="12"/>
      <c r="LU40" s="12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2"/>
      <c r="MG40" s="12"/>
      <c r="MH40" s="12"/>
      <c r="MI40" s="12"/>
      <c r="MJ40" s="12"/>
      <c r="MK40" s="12"/>
      <c r="ML40" s="12"/>
      <c r="MM40" s="12"/>
      <c r="MN40" s="12"/>
      <c r="MO40" s="12"/>
      <c r="MP40" s="12"/>
      <c r="MQ40" s="12"/>
      <c r="MR40" s="12"/>
      <c r="MS40" s="12"/>
      <c r="MT40" s="12"/>
      <c r="MU40" s="12"/>
      <c r="MV40" s="12"/>
      <c r="MW40" s="12"/>
      <c r="MX40" s="12"/>
      <c r="MY40" s="12"/>
      <c r="MZ40" s="12"/>
      <c r="NA40" s="12"/>
      <c r="NB40" s="12"/>
      <c r="NC40" s="12"/>
      <c r="ND40" s="12"/>
      <c r="NE40" s="12"/>
      <c r="NF40" s="12"/>
      <c r="NG40" s="12"/>
      <c r="NH40" s="12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2"/>
      <c r="NT40" s="12"/>
      <c r="NU40" s="12"/>
      <c r="NV40" s="12"/>
      <c r="NW40" s="12"/>
      <c r="NX40" s="12"/>
      <c r="NY40" s="12"/>
      <c r="NZ40" s="12"/>
      <c r="OA40" s="12"/>
      <c r="OB40" s="12"/>
      <c r="OC40" s="12"/>
      <c r="OD40" s="12"/>
      <c r="OE40" s="12"/>
      <c r="OF40" s="12"/>
      <c r="OG40" s="12"/>
      <c r="OH40" s="12"/>
      <c r="OI40" s="12"/>
      <c r="OJ40" s="12"/>
      <c r="OK40" s="12"/>
      <c r="OL40" s="12"/>
      <c r="OM40" s="12"/>
      <c r="ON40" s="12"/>
      <c r="OO40" s="12"/>
      <c r="OP40" s="12"/>
      <c r="OQ40" s="12"/>
      <c r="OR40" s="12"/>
      <c r="OS40" s="12"/>
      <c r="OT40" s="12"/>
      <c r="OU40" s="12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2"/>
      <c r="PG40" s="12"/>
      <c r="PH40" s="12"/>
      <c r="PI40" s="12"/>
      <c r="PJ40" s="12"/>
      <c r="PK40" s="12"/>
      <c r="PL40" s="12"/>
      <c r="PM40" s="12"/>
      <c r="PN40" s="12"/>
      <c r="PO40" s="12"/>
      <c r="PP40" s="12"/>
      <c r="PQ40" s="12"/>
      <c r="PR40" s="12"/>
      <c r="PS40" s="12"/>
      <c r="PT40" s="12"/>
      <c r="PU40" s="12"/>
      <c r="PV40" s="12"/>
      <c r="PW40" s="12"/>
      <c r="PX40" s="12"/>
      <c r="PY40" s="12"/>
      <c r="PZ40" s="12"/>
      <c r="QA40" s="12"/>
      <c r="QB40" s="12"/>
      <c r="QC40" s="12"/>
      <c r="QD40" s="12"/>
      <c r="QE40" s="12"/>
      <c r="QF40" s="12"/>
      <c r="QG40" s="12"/>
      <c r="QH40" s="12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2"/>
      <c r="QT40" s="12"/>
      <c r="QU40" s="12"/>
      <c r="QV40" s="12"/>
      <c r="QW40" s="12"/>
      <c r="QX40" s="12"/>
      <c r="QY40" s="12"/>
      <c r="QZ40" s="12"/>
      <c r="RA40" s="12"/>
      <c r="RB40" s="12"/>
      <c r="RC40" s="12"/>
      <c r="RD40" s="12"/>
      <c r="RE40" s="12"/>
      <c r="RF40" s="12"/>
      <c r="RG40" s="12"/>
      <c r="RH40" s="12"/>
      <c r="RI40" s="12"/>
      <c r="RJ40" s="12"/>
      <c r="RK40" s="12"/>
      <c r="RL40" s="12"/>
      <c r="RM40" s="12"/>
      <c r="RN40" s="12"/>
      <c r="RO40" s="12"/>
      <c r="RP40" s="12"/>
      <c r="RQ40" s="12"/>
      <c r="RR40" s="12"/>
      <c r="RS40" s="12"/>
      <c r="RT40" s="12"/>
      <c r="RU40" s="12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2"/>
      <c r="SG40" s="12"/>
      <c r="SH40" s="12"/>
      <c r="SI40" s="12"/>
      <c r="SJ40" s="12"/>
      <c r="SK40" s="12"/>
      <c r="SL40" s="12"/>
      <c r="SM40" s="12"/>
      <c r="SN40" s="12"/>
      <c r="SO40" s="12"/>
      <c r="SP40" s="12"/>
      <c r="SQ40" s="12"/>
      <c r="SR40" s="12"/>
      <c r="SS40" s="12"/>
      <c r="ST40" s="12"/>
      <c r="SU40" s="12"/>
      <c r="SV40" s="12"/>
      <c r="SW40" s="12"/>
      <c r="SX40" s="12"/>
      <c r="SY40" s="12"/>
      <c r="SZ40" s="12"/>
      <c r="TA40" s="12"/>
      <c r="TB40" s="12"/>
      <c r="TC40" s="12"/>
      <c r="TD40" s="12"/>
      <c r="TE40" s="12"/>
      <c r="TF40" s="12"/>
      <c r="TG40" s="12"/>
      <c r="TH40" s="12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2"/>
      <c r="TT40" s="12"/>
      <c r="TU40" s="12"/>
      <c r="TV40" s="12"/>
      <c r="TW40" s="12"/>
      <c r="TX40" s="12"/>
      <c r="TY40" s="12"/>
      <c r="TZ40" s="12"/>
      <c r="UA40" s="12"/>
      <c r="UB40" s="12"/>
      <c r="UC40" s="12"/>
      <c r="UD40" s="12"/>
      <c r="UE40" s="12"/>
      <c r="UF40" s="12"/>
      <c r="UG40" s="12"/>
      <c r="UH40" s="12"/>
      <c r="UI40" s="12"/>
      <c r="UJ40" s="12"/>
      <c r="UK40" s="12"/>
      <c r="UL40" s="12"/>
      <c r="UM40" s="12"/>
      <c r="UN40" s="12"/>
      <c r="UO40" s="12"/>
      <c r="UP40" s="12"/>
      <c r="UQ40" s="12"/>
      <c r="UR40" s="12"/>
      <c r="US40" s="12"/>
      <c r="UT40" s="12"/>
      <c r="UU40" s="12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2"/>
      <c r="VG40" s="12"/>
      <c r="VH40" s="12"/>
      <c r="VI40" s="12"/>
      <c r="VJ40" s="12"/>
      <c r="VK40" s="12"/>
      <c r="VL40" s="12"/>
      <c r="VM40" s="12"/>
      <c r="VN40" s="12"/>
      <c r="VO40" s="12"/>
      <c r="VP40" s="12"/>
      <c r="VQ40" s="12"/>
      <c r="VR40" s="12"/>
      <c r="VS40" s="12"/>
      <c r="VT40" s="12"/>
      <c r="VU40" s="12"/>
      <c r="VV40" s="12"/>
      <c r="VW40" s="12"/>
      <c r="VX40" s="12"/>
      <c r="VY40" s="12"/>
      <c r="VZ40" s="12"/>
      <c r="WA40" s="12"/>
      <c r="WB40" s="12"/>
      <c r="WC40" s="12"/>
      <c r="WD40" s="12"/>
      <c r="WE40" s="12"/>
      <c r="WF40" s="12"/>
      <c r="WG40" s="12"/>
      <c r="WH40" s="12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2"/>
      <c r="WT40" s="12"/>
      <c r="WU40" s="12"/>
      <c r="WV40" s="12"/>
      <c r="WW40" s="12"/>
      <c r="WX40" s="12"/>
      <c r="WY40" s="12"/>
      <c r="WZ40" s="12"/>
      <c r="XA40" s="12"/>
      <c r="XB40" s="12"/>
      <c r="XC40" s="12"/>
      <c r="XD40" s="12"/>
      <c r="XE40" s="12"/>
      <c r="XF40" s="12"/>
      <c r="XG40" s="12"/>
      <c r="XH40" s="12"/>
      <c r="XI40" s="12"/>
      <c r="XJ40" s="12"/>
      <c r="XK40" s="12"/>
      <c r="XL40" s="12"/>
      <c r="XM40" s="12"/>
      <c r="XN40" s="12"/>
      <c r="XO40" s="12"/>
      <c r="XP40" s="12"/>
      <c r="XQ40" s="12"/>
      <c r="XR40" s="12"/>
      <c r="XS40" s="12"/>
      <c r="XT40" s="12"/>
      <c r="XU40" s="12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2"/>
      <c r="YG40" s="12"/>
      <c r="YH40" s="12"/>
      <c r="YI40" s="12"/>
      <c r="YJ40" s="12"/>
      <c r="YK40" s="12"/>
      <c r="YL40" s="12"/>
      <c r="YM40" s="12"/>
      <c r="YN40" s="12"/>
      <c r="YO40" s="12"/>
      <c r="YP40" s="12"/>
      <c r="YQ40" s="12"/>
      <c r="YR40" s="12"/>
      <c r="YS40" s="12"/>
      <c r="YT40" s="12"/>
      <c r="YU40" s="12"/>
      <c r="YV40" s="12"/>
      <c r="YW40" s="12"/>
      <c r="YX40" s="12"/>
      <c r="YY40" s="12"/>
      <c r="YZ40" s="12"/>
      <c r="ZA40" s="12"/>
      <c r="ZB40" s="12"/>
      <c r="ZC40" s="12"/>
      <c r="ZD40" s="12"/>
      <c r="ZE40" s="12"/>
      <c r="ZF40" s="12"/>
      <c r="ZG40" s="12"/>
      <c r="ZH40" s="12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2"/>
      <c r="ZT40" s="12"/>
      <c r="ZU40" s="12"/>
      <c r="ZV40" s="12"/>
      <c r="ZW40" s="12"/>
      <c r="ZX40" s="12"/>
      <c r="ZY40" s="12"/>
      <c r="ZZ40" s="12"/>
      <c r="AAA40" s="12"/>
      <c r="AAB40" s="12"/>
      <c r="AAC40" s="12"/>
      <c r="AAD40" s="12"/>
      <c r="AAE40" s="12"/>
      <c r="AAF40" s="12"/>
      <c r="AAG40" s="12"/>
      <c r="AAH40" s="12"/>
      <c r="AAI40" s="12"/>
      <c r="AAJ40" s="12"/>
      <c r="AAK40" s="12"/>
      <c r="AAL40" s="12"/>
      <c r="AAM40" s="12"/>
      <c r="AAN40" s="12"/>
      <c r="AAO40" s="12"/>
      <c r="AAP40" s="12"/>
      <c r="AAQ40" s="12"/>
      <c r="AAR40" s="12"/>
      <c r="AAS40" s="12"/>
      <c r="AAT40" s="12"/>
      <c r="AAU40" s="12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2"/>
      <c r="ABG40" s="12"/>
      <c r="ABH40" s="12"/>
      <c r="ABI40" s="12"/>
      <c r="ABJ40" s="12"/>
      <c r="ABK40" s="12"/>
      <c r="ABL40" s="12"/>
      <c r="ABM40" s="12"/>
      <c r="ABN40" s="12"/>
      <c r="ABO40" s="12"/>
      <c r="ABP40" s="12"/>
      <c r="ABQ40" s="12"/>
      <c r="ABR40" s="12"/>
      <c r="ABS40" s="12"/>
      <c r="ABT40" s="12"/>
      <c r="ABU40" s="12"/>
      <c r="ABV40" s="12"/>
      <c r="ABW40" s="12"/>
      <c r="ABX40" s="12"/>
      <c r="ABY40" s="12"/>
      <c r="ABZ40" s="12"/>
      <c r="ACA40" s="12"/>
      <c r="ACB40" s="12"/>
      <c r="ACC40" s="12"/>
      <c r="ACD40" s="12"/>
      <c r="ACE40" s="12"/>
      <c r="ACF40" s="12"/>
      <c r="ACG40" s="12"/>
      <c r="ACH40" s="12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2"/>
      <c r="ACT40" s="12"/>
      <c r="ACU40" s="12"/>
      <c r="ACV40" s="12"/>
      <c r="ACW40" s="12"/>
      <c r="ACX40" s="12"/>
      <c r="ACY40" s="12"/>
      <c r="ACZ40" s="12"/>
      <c r="ADA40" s="12"/>
      <c r="ADB40" s="12"/>
      <c r="ADC40" s="12"/>
      <c r="ADD40" s="12"/>
      <c r="ADE40" s="12"/>
      <c r="ADF40" s="12"/>
      <c r="ADG40" s="12"/>
      <c r="ADH40" s="12"/>
      <c r="ADI40" s="12"/>
      <c r="ADJ40" s="12"/>
      <c r="ADK40" s="12"/>
      <c r="ADL40" s="12"/>
      <c r="ADM40" s="12"/>
      <c r="ADN40" s="12"/>
      <c r="ADO40" s="12"/>
      <c r="ADP40" s="12"/>
      <c r="ADQ40" s="12"/>
      <c r="ADR40" s="12"/>
      <c r="ADS40" s="12"/>
      <c r="ADT40" s="12"/>
      <c r="ADU40" s="12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2"/>
      <c r="AEG40" s="12"/>
      <c r="AEH40" s="12"/>
      <c r="AEI40" s="12"/>
      <c r="AEJ40" s="12"/>
      <c r="AEK40" s="12"/>
      <c r="AEL40" s="12"/>
      <c r="AEM40" s="12"/>
      <c r="AEN40" s="12"/>
      <c r="AEO40" s="12"/>
      <c r="AEP40" s="12"/>
      <c r="AEQ40" s="12"/>
      <c r="AER40" s="12"/>
      <c r="AES40" s="12"/>
      <c r="AET40" s="12"/>
      <c r="AEU40" s="12"/>
      <c r="AEV40" s="12"/>
    </row>
    <row r="41" spans="1:828" s="27" customFormat="1" ht="18" x14ac:dyDescent="0.2">
      <c r="A41" s="28"/>
      <c r="D41" s="29"/>
      <c r="E41" s="23"/>
      <c r="F41" s="23" t="s">
        <v>40</v>
      </c>
      <c r="G41" s="29">
        <v>7</v>
      </c>
      <c r="H41" s="30"/>
      <c r="I41" s="23"/>
      <c r="J41" s="29"/>
      <c r="K41" s="30"/>
      <c r="L41" s="23" t="s">
        <v>41</v>
      </c>
      <c r="M41" s="29">
        <v>688</v>
      </c>
      <c r="N41" s="47"/>
      <c r="O41" s="12"/>
      <c r="P41" s="48"/>
      <c r="Q41"/>
      <c r="R41"/>
      <c r="S41"/>
      <c r="T41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2"/>
      <c r="JG41" s="12"/>
      <c r="JH41" s="12"/>
      <c r="JI41" s="12"/>
      <c r="JJ41" s="12"/>
      <c r="JK41" s="12"/>
      <c r="JL41" s="12"/>
      <c r="JM41" s="12"/>
      <c r="JN41" s="12"/>
      <c r="JO41" s="12"/>
      <c r="JP41" s="12"/>
      <c r="JQ41" s="12"/>
      <c r="JR41" s="12"/>
      <c r="JS41" s="12"/>
      <c r="JT41" s="12"/>
      <c r="JU41" s="12"/>
      <c r="JV41" s="12"/>
      <c r="JW41" s="12"/>
      <c r="JX41" s="12"/>
      <c r="JY41" s="12"/>
      <c r="JZ41" s="12"/>
      <c r="KA41" s="12"/>
      <c r="KB41" s="12"/>
      <c r="KC41" s="12"/>
      <c r="KD41" s="12"/>
      <c r="KE41" s="12"/>
      <c r="KF41" s="12"/>
      <c r="KG41" s="12"/>
      <c r="KH41" s="12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2"/>
      <c r="KT41" s="12"/>
      <c r="KU41" s="12"/>
      <c r="KV41" s="12"/>
      <c r="KW41" s="12"/>
      <c r="KX41" s="12"/>
      <c r="KY41" s="12"/>
      <c r="KZ41" s="12"/>
      <c r="LA41" s="12"/>
      <c r="LB41" s="12"/>
      <c r="LC41" s="12"/>
      <c r="LD41" s="12"/>
      <c r="LE41" s="12"/>
      <c r="LF41" s="12"/>
      <c r="LG41" s="12"/>
      <c r="LH41" s="12"/>
      <c r="LI41" s="12"/>
      <c r="LJ41" s="12"/>
      <c r="LK41" s="12"/>
      <c r="LL41" s="12"/>
      <c r="LM41" s="12"/>
      <c r="LN41" s="12"/>
      <c r="LO41" s="12"/>
      <c r="LP41" s="12"/>
      <c r="LQ41" s="12"/>
      <c r="LR41" s="12"/>
      <c r="LS41" s="12"/>
      <c r="LT41" s="12"/>
      <c r="LU41" s="12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2"/>
      <c r="MG41" s="12"/>
      <c r="MH41" s="12"/>
      <c r="MI41" s="12"/>
      <c r="MJ41" s="12"/>
      <c r="MK41" s="12"/>
      <c r="ML41" s="12"/>
      <c r="MM41" s="12"/>
      <c r="MN41" s="12"/>
      <c r="MO41" s="12"/>
      <c r="MP41" s="12"/>
      <c r="MQ41" s="12"/>
      <c r="MR41" s="12"/>
      <c r="MS41" s="12"/>
      <c r="MT41" s="12"/>
      <c r="MU41" s="12"/>
      <c r="MV41" s="12"/>
      <c r="MW41" s="12"/>
      <c r="MX41" s="12"/>
      <c r="MY41" s="12"/>
      <c r="MZ41" s="12"/>
      <c r="NA41" s="12"/>
      <c r="NB41" s="12"/>
      <c r="NC41" s="12"/>
      <c r="ND41" s="12"/>
      <c r="NE41" s="12"/>
      <c r="NF41" s="12"/>
      <c r="NG41" s="12"/>
      <c r="NH41" s="12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2"/>
      <c r="NT41" s="12"/>
      <c r="NU41" s="12"/>
      <c r="NV41" s="12"/>
      <c r="NW41" s="12"/>
      <c r="NX41" s="12"/>
      <c r="NY41" s="12"/>
      <c r="NZ41" s="12"/>
      <c r="OA41" s="12"/>
      <c r="OB41" s="12"/>
      <c r="OC41" s="12"/>
      <c r="OD41" s="12"/>
      <c r="OE41" s="12"/>
      <c r="OF41" s="12"/>
      <c r="OG41" s="12"/>
      <c r="OH41" s="12"/>
      <c r="OI41" s="12"/>
      <c r="OJ41" s="12"/>
      <c r="OK41" s="12"/>
      <c r="OL41" s="12"/>
      <c r="OM41" s="12"/>
      <c r="ON41" s="12"/>
      <c r="OO41" s="12"/>
      <c r="OP41" s="12"/>
      <c r="OQ41" s="12"/>
      <c r="OR41" s="12"/>
      <c r="OS41" s="12"/>
      <c r="OT41" s="12"/>
      <c r="OU41" s="12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2"/>
      <c r="PG41" s="12"/>
      <c r="PH41" s="12"/>
      <c r="PI41" s="12"/>
      <c r="PJ41" s="12"/>
      <c r="PK41" s="12"/>
      <c r="PL41" s="12"/>
      <c r="PM41" s="12"/>
      <c r="PN41" s="12"/>
      <c r="PO41" s="12"/>
      <c r="PP41" s="12"/>
      <c r="PQ41" s="12"/>
      <c r="PR41" s="12"/>
      <c r="PS41" s="12"/>
      <c r="PT41" s="12"/>
      <c r="PU41" s="12"/>
      <c r="PV41" s="12"/>
      <c r="PW41" s="12"/>
      <c r="PX41" s="12"/>
      <c r="PY41" s="12"/>
      <c r="PZ41" s="12"/>
      <c r="QA41" s="12"/>
      <c r="QB41" s="12"/>
      <c r="QC41" s="12"/>
      <c r="QD41" s="12"/>
      <c r="QE41" s="12"/>
      <c r="QF41" s="12"/>
      <c r="QG41" s="12"/>
      <c r="QH41" s="12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2"/>
      <c r="QT41" s="12"/>
      <c r="QU41" s="12"/>
      <c r="QV41" s="12"/>
      <c r="QW41" s="12"/>
      <c r="QX41" s="12"/>
      <c r="QY41" s="12"/>
      <c r="QZ41" s="12"/>
      <c r="RA41" s="12"/>
      <c r="RB41" s="12"/>
      <c r="RC41" s="12"/>
      <c r="RD41" s="12"/>
      <c r="RE41" s="12"/>
      <c r="RF41" s="12"/>
      <c r="RG41" s="12"/>
      <c r="RH41" s="12"/>
      <c r="RI41" s="12"/>
      <c r="RJ41" s="12"/>
      <c r="RK41" s="12"/>
      <c r="RL41" s="12"/>
      <c r="RM41" s="12"/>
      <c r="RN41" s="12"/>
      <c r="RO41" s="12"/>
      <c r="RP41" s="12"/>
      <c r="RQ41" s="12"/>
      <c r="RR41" s="12"/>
      <c r="RS41" s="12"/>
      <c r="RT41" s="12"/>
      <c r="RU41" s="12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2"/>
      <c r="SG41" s="12"/>
      <c r="SH41" s="12"/>
      <c r="SI41" s="12"/>
      <c r="SJ41" s="12"/>
      <c r="SK41" s="12"/>
      <c r="SL41" s="12"/>
      <c r="SM41" s="12"/>
      <c r="SN41" s="12"/>
      <c r="SO41" s="12"/>
      <c r="SP41" s="12"/>
      <c r="SQ41" s="12"/>
      <c r="SR41" s="12"/>
      <c r="SS41" s="12"/>
      <c r="ST41" s="12"/>
      <c r="SU41" s="12"/>
      <c r="SV41" s="12"/>
      <c r="SW41" s="12"/>
      <c r="SX41" s="12"/>
      <c r="SY41" s="12"/>
      <c r="SZ41" s="12"/>
      <c r="TA41" s="12"/>
      <c r="TB41" s="12"/>
      <c r="TC41" s="12"/>
      <c r="TD41" s="12"/>
      <c r="TE41" s="12"/>
      <c r="TF41" s="12"/>
      <c r="TG41" s="12"/>
      <c r="TH41" s="12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2"/>
      <c r="TT41" s="12"/>
      <c r="TU41" s="12"/>
      <c r="TV41" s="12"/>
      <c r="TW41" s="12"/>
      <c r="TX41" s="12"/>
      <c r="TY41" s="12"/>
      <c r="TZ41" s="12"/>
      <c r="UA41" s="12"/>
      <c r="UB41" s="12"/>
      <c r="UC41" s="12"/>
      <c r="UD41" s="12"/>
      <c r="UE41" s="12"/>
      <c r="UF41" s="12"/>
      <c r="UG41" s="12"/>
      <c r="UH41" s="12"/>
      <c r="UI41" s="12"/>
      <c r="UJ41" s="12"/>
      <c r="UK41" s="12"/>
      <c r="UL41" s="12"/>
      <c r="UM41" s="12"/>
      <c r="UN41" s="12"/>
      <c r="UO41" s="12"/>
      <c r="UP41" s="12"/>
      <c r="UQ41" s="12"/>
      <c r="UR41" s="12"/>
      <c r="US41" s="12"/>
      <c r="UT41" s="12"/>
      <c r="UU41" s="12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2"/>
      <c r="VG41" s="12"/>
      <c r="VH41" s="12"/>
      <c r="VI41" s="12"/>
      <c r="VJ41" s="12"/>
      <c r="VK41" s="12"/>
      <c r="VL41" s="12"/>
      <c r="VM41" s="12"/>
      <c r="VN41" s="12"/>
      <c r="VO41" s="12"/>
      <c r="VP41" s="12"/>
      <c r="VQ41" s="12"/>
      <c r="VR41" s="12"/>
      <c r="VS41" s="12"/>
      <c r="VT41" s="12"/>
      <c r="VU41" s="12"/>
      <c r="VV41" s="12"/>
      <c r="VW41" s="12"/>
      <c r="VX41" s="12"/>
      <c r="VY41" s="12"/>
      <c r="VZ41" s="12"/>
      <c r="WA41" s="12"/>
      <c r="WB41" s="12"/>
      <c r="WC41" s="12"/>
      <c r="WD41" s="12"/>
      <c r="WE41" s="12"/>
      <c r="WF41" s="12"/>
      <c r="WG41" s="12"/>
      <c r="WH41" s="12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2"/>
      <c r="WT41" s="12"/>
      <c r="WU41" s="12"/>
      <c r="WV41" s="12"/>
      <c r="WW41" s="12"/>
      <c r="WX41" s="12"/>
      <c r="WY41" s="12"/>
      <c r="WZ41" s="12"/>
      <c r="XA41" s="12"/>
      <c r="XB41" s="12"/>
      <c r="XC41" s="12"/>
      <c r="XD41" s="12"/>
      <c r="XE41" s="12"/>
      <c r="XF41" s="12"/>
      <c r="XG41" s="12"/>
      <c r="XH41" s="12"/>
      <c r="XI41" s="12"/>
      <c r="XJ41" s="12"/>
      <c r="XK41" s="12"/>
      <c r="XL41" s="12"/>
      <c r="XM41" s="12"/>
      <c r="XN41" s="12"/>
      <c r="XO41" s="12"/>
      <c r="XP41" s="12"/>
      <c r="XQ41" s="12"/>
      <c r="XR41" s="12"/>
      <c r="XS41" s="12"/>
      <c r="XT41" s="12"/>
      <c r="XU41" s="12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2"/>
      <c r="YG41" s="12"/>
      <c r="YH41" s="12"/>
      <c r="YI41" s="12"/>
      <c r="YJ41" s="12"/>
      <c r="YK41" s="12"/>
      <c r="YL41" s="12"/>
      <c r="YM41" s="12"/>
      <c r="YN41" s="12"/>
      <c r="YO41" s="12"/>
      <c r="YP41" s="12"/>
      <c r="YQ41" s="12"/>
      <c r="YR41" s="12"/>
      <c r="YS41" s="12"/>
      <c r="YT41" s="12"/>
      <c r="YU41" s="12"/>
      <c r="YV41" s="12"/>
      <c r="YW41" s="12"/>
      <c r="YX41" s="12"/>
      <c r="YY41" s="12"/>
      <c r="YZ41" s="12"/>
      <c r="ZA41" s="12"/>
      <c r="ZB41" s="12"/>
      <c r="ZC41" s="12"/>
      <c r="ZD41" s="12"/>
      <c r="ZE41" s="12"/>
      <c r="ZF41" s="12"/>
      <c r="ZG41" s="12"/>
      <c r="ZH41" s="12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2"/>
      <c r="ZT41" s="12"/>
      <c r="ZU41" s="12"/>
      <c r="ZV41" s="12"/>
      <c r="ZW41" s="12"/>
      <c r="ZX41" s="12"/>
      <c r="ZY41" s="12"/>
      <c r="ZZ41" s="12"/>
      <c r="AAA41" s="12"/>
      <c r="AAB41" s="12"/>
      <c r="AAC41" s="12"/>
      <c r="AAD41" s="12"/>
      <c r="AAE41" s="12"/>
      <c r="AAF41" s="12"/>
      <c r="AAG41" s="12"/>
      <c r="AAH41" s="12"/>
      <c r="AAI41" s="12"/>
      <c r="AAJ41" s="12"/>
      <c r="AAK41" s="12"/>
      <c r="AAL41" s="12"/>
      <c r="AAM41" s="12"/>
      <c r="AAN41" s="12"/>
      <c r="AAO41" s="12"/>
      <c r="AAP41" s="12"/>
      <c r="AAQ41" s="12"/>
      <c r="AAR41" s="12"/>
      <c r="AAS41" s="12"/>
      <c r="AAT41" s="12"/>
      <c r="AAU41" s="12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2"/>
      <c r="ABG41" s="12"/>
      <c r="ABH41" s="12"/>
      <c r="ABI41" s="12"/>
      <c r="ABJ41" s="12"/>
      <c r="ABK41" s="12"/>
      <c r="ABL41" s="12"/>
      <c r="ABM41" s="12"/>
      <c r="ABN41" s="12"/>
      <c r="ABO41" s="12"/>
      <c r="ABP41" s="12"/>
      <c r="ABQ41" s="12"/>
      <c r="ABR41" s="12"/>
      <c r="ABS41" s="12"/>
      <c r="ABT41" s="12"/>
      <c r="ABU41" s="12"/>
      <c r="ABV41" s="12"/>
      <c r="ABW41" s="12"/>
      <c r="ABX41" s="12"/>
      <c r="ABY41" s="12"/>
      <c r="ABZ41" s="12"/>
      <c r="ACA41" s="12"/>
      <c r="ACB41" s="12"/>
      <c r="ACC41" s="12"/>
      <c r="ACD41" s="12"/>
      <c r="ACE41" s="12"/>
      <c r="ACF41" s="12"/>
      <c r="ACG41" s="12"/>
      <c r="ACH41" s="12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2"/>
      <c r="ACT41" s="12"/>
      <c r="ACU41" s="12"/>
      <c r="ACV41" s="12"/>
      <c r="ACW41" s="12"/>
      <c r="ACX41" s="12"/>
      <c r="ACY41" s="12"/>
      <c r="ACZ41" s="12"/>
      <c r="ADA41" s="12"/>
      <c r="ADB41" s="12"/>
      <c r="ADC41" s="12"/>
      <c r="ADD41" s="12"/>
      <c r="ADE41" s="12"/>
      <c r="ADF41" s="12"/>
      <c r="ADG41" s="12"/>
      <c r="ADH41" s="12"/>
      <c r="ADI41" s="12"/>
      <c r="ADJ41" s="12"/>
      <c r="ADK41" s="12"/>
      <c r="ADL41" s="12"/>
      <c r="ADM41" s="12"/>
      <c r="ADN41" s="12"/>
      <c r="ADO41" s="12"/>
      <c r="ADP41" s="12"/>
      <c r="ADQ41" s="12"/>
      <c r="ADR41" s="12"/>
      <c r="ADS41" s="12"/>
      <c r="ADT41" s="12"/>
      <c r="ADU41" s="12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2"/>
      <c r="AEG41" s="12"/>
      <c r="AEH41" s="12"/>
      <c r="AEI41" s="12"/>
      <c r="AEJ41" s="12"/>
      <c r="AEK41" s="12"/>
      <c r="AEL41" s="12"/>
      <c r="AEM41" s="12"/>
      <c r="AEN41" s="12"/>
      <c r="AEO41" s="12"/>
      <c r="AEP41" s="12"/>
      <c r="AEQ41" s="12"/>
      <c r="AER41" s="12"/>
      <c r="AES41" s="12"/>
      <c r="AET41" s="12"/>
      <c r="AEU41" s="12"/>
      <c r="AEV41" s="12"/>
    </row>
    <row r="42" spans="1:828" s="27" customFormat="1" ht="18" x14ac:dyDescent="0.2">
      <c r="A42" s="28"/>
      <c r="D42" s="29"/>
      <c r="E42" s="23"/>
      <c r="F42" s="23"/>
      <c r="G42" s="23"/>
      <c r="H42" s="30"/>
      <c r="I42" s="23"/>
      <c r="J42" s="29"/>
      <c r="K42" s="30"/>
      <c r="L42" s="23" t="s">
        <v>42</v>
      </c>
      <c r="M42" s="29">
        <v>60</v>
      </c>
      <c r="N42" s="47"/>
      <c r="O42" s="12"/>
      <c r="P42" s="48"/>
      <c r="Q42"/>
      <c r="R42"/>
      <c r="S42"/>
      <c r="T4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2"/>
      <c r="FJ42" s="12"/>
      <c r="FK42" s="12"/>
      <c r="FL42" s="12"/>
      <c r="FM42" s="12"/>
      <c r="FN42" s="12"/>
      <c r="FO42" s="12"/>
      <c r="FP42" s="12"/>
      <c r="FQ42" s="12"/>
      <c r="FR42" s="12"/>
      <c r="FS42" s="12"/>
      <c r="FT42" s="12"/>
      <c r="FU42" s="12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2"/>
      <c r="GG42" s="12"/>
      <c r="GH42" s="12"/>
      <c r="GI42" s="12"/>
      <c r="GJ42" s="12"/>
      <c r="GK42" s="12"/>
      <c r="GL42" s="12"/>
      <c r="GM42" s="12"/>
      <c r="GN42" s="12"/>
      <c r="GO42" s="12"/>
      <c r="GP42" s="12"/>
      <c r="GQ42" s="12"/>
      <c r="GR42" s="12"/>
      <c r="GS42" s="12"/>
      <c r="GT42" s="12"/>
      <c r="GU42" s="12"/>
      <c r="GV42" s="12"/>
      <c r="GW42" s="12"/>
      <c r="GX42" s="12"/>
      <c r="GY42" s="12"/>
      <c r="GZ42" s="12"/>
      <c r="HA42" s="12"/>
      <c r="HB42" s="12"/>
      <c r="HC42" s="12"/>
      <c r="HD42" s="12"/>
      <c r="HE42" s="12"/>
      <c r="HF42" s="12"/>
      <c r="HG42" s="12"/>
      <c r="HH42" s="12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2"/>
      <c r="HT42" s="12"/>
      <c r="HU42" s="12"/>
      <c r="HV42" s="12"/>
      <c r="HW42" s="12"/>
      <c r="HX42" s="12"/>
      <c r="HY42" s="12"/>
      <c r="HZ42" s="12"/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  <c r="IL42" s="12"/>
      <c r="IM42" s="12"/>
      <c r="IN42" s="12"/>
      <c r="IO42" s="12"/>
      <c r="IP42" s="12"/>
      <c r="IQ42" s="12"/>
      <c r="IR42" s="12"/>
      <c r="IS42" s="12"/>
      <c r="IT42" s="12"/>
      <c r="IU42" s="12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2"/>
      <c r="JG42" s="12"/>
      <c r="JH42" s="12"/>
      <c r="JI42" s="12"/>
      <c r="JJ42" s="12"/>
      <c r="JK42" s="12"/>
      <c r="JL42" s="12"/>
      <c r="JM42" s="12"/>
      <c r="JN42" s="12"/>
      <c r="JO42" s="12"/>
      <c r="JP42" s="12"/>
      <c r="JQ42" s="12"/>
      <c r="JR42" s="12"/>
      <c r="JS42" s="12"/>
      <c r="JT42" s="12"/>
      <c r="JU42" s="12"/>
      <c r="JV42" s="12"/>
      <c r="JW42" s="12"/>
      <c r="JX42" s="12"/>
      <c r="JY42" s="12"/>
      <c r="JZ42" s="12"/>
      <c r="KA42" s="12"/>
      <c r="KB42" s="12"/>
      <c r="KC42" s="12"/>
      <c r="KD42" s="12"/>
      <c r="KE42" s="12"/>
      <c r="KF42" s="12"/>
      <c r="KG42" s="12"/>
      <c r="KH42" s="12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2"/>
      <c r="KT42" s="12"/>
      <c r="KU42" s="12"/>
      <c r="KV42" s="12"/>
      <c r="KW42" s="12"/>
      <c r="KX42" s="12"/>
      <c r="KY42" s="12"/>
      <c r="KZ42" s="12"/>
      <c r="LA42" s="12"/>
      <c r="LB42" s="12"/>
      <c r="LC42" s="12"/>
      <c r="LD42" s="12"/>
      <c r="LE42" s="12"/>
      <c r="LF42" s="12"/>
      <c r="LG42" s="12"/>
      <c r="LH42" s="12"/>
      <c r="LI42" s="12"/>
      <c r="LJ42" s="12"/>
      <c r="LK42" s="12"/>
      <c r="LL42" s="12"/>
      <c r="LM42" s="12"/>
      <c r="LN42" s="12"/>
      <c r="LO42" s="12"/>
      <c r="LP42" s="12"/>
      <c r="LQ42" s="12"/>
      <c r="LR42" s="12"/>
      <c r="LS42" s="12"/>
      <c r="LT42" s="12"/>
      <c r="LU42" s="12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2"/>
      <c r="MG42" s="12"/>
      <c r="MH42" s="12"/>
      <c r="MI42" s="12"/>
      <c r="MJ42" s="12"/>
      <c r="MK42" s="12"/>
      <c r="ML42" s="12"/>
      <c r="MM42" s="12"/>
      <c r="MN42" s="12"/>
      <c r="MO42" s="12"/>
      <c r="MP42" s="12"/>
      <c r="MQ42" s="12"/>
      <c r="MR42" s="12"/>
      <c r="MS42" s="12"/>
      <c r="MT42" s="12"/>
      <c r="MU42" s="12"/>
      <c r="MV42" s="12"/>
      <c r="MW42" s="12"/>
      <c r="MX42" s="12"/>
      <c r="MY42" s="12"/>
      <c r="MZ42" s="12"/>
      <c r="NA42" s="12"/>
      <c r="NB42" s="12"/>
      <c r="NC42" s="12"/>
      <c r="ND42" s="12"/>
      <c r="NE42" s="12"/>
      <c r="NF42" s="12"/>
      <c r="NG42" s="12"/>
      <c r="NH42" s="12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2"/>
      <c r="NT42" s="12"/>
      <c r="NU42" s="12"/>
      <c r="NV42" s="12"/>
      <c r="NW42" s="12"/>
      <c r="NX42" s="12"/>
      <c r="NY42" s="12"/>
      <c r="NZ42" s="12"/>
      <c r="OA42" s="12"/>
      <c r="OB42" s="12"/>
      <c r="OC42" s="12"/>
      <c r="OD42" s="12"/>
      <c r="OE42" s="12"/>
      <c r="OF42" s="12"/>
      <c r="OG42" s="12"/>
      <c r="OH42" s="12"/>
      <c r="OI42" s="12"/>
      <c r="OJ42" s="12"/>
      <c r="OK42" s="12"/>
      <c r="OL42" s="12"/>
      <c r="OM42" s="12"/>
      <c r="ON42" s="12"/>
      <c r="OO42" s="12"/>
      <c r="OP42" s="12"/>
      <c r="OQ42" s="12"/>
      <c r="OR42" s="12"/>
      <c r="OS42" s="12"/>
      <c r="OT42" s="12"/>
      <c r="OU42" s="12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2"/>
      <c r="PG42" s="12"/>
      <c r="PH42" s="12"/>
      <c r="PI42" s="12"/>
      <c r="PJ42" s="12"/>
      <c r="PK42" s="12"/>
      <c r="PL42" s="12"/>
      <c r="PM42" s="12"/>
      <c r="PN42" s="12"/>
      <c r="PO42" s="12"/>
      <c r="PP42" s="12"/>
      <c r="PQ42" s="12"/>
      <c r="PR42" s="12"/>
      <c r="PS42" s="12"/>
      <c r="PT42" s="12"/>
      <c r="PU42" s="12"/>
      <c r="PV42" s="12"/>
      <c r="PW42" s="12"/>
      <c r="PX42" s="12"/>
      <c r="PY42" s="12"/>
      <c r="PZ42" s="12"/>
      <c r="QA42" s="12"/>
      <c r="QB42" s="12"/>
      <c r="QC42" s="12"/>
      <c r="QD42" s="12"/>
      <c r="QE42" s="12"/>
      <c r="QF42" s="12"/>
      <c r="QG42" s="12"/>
      <c r="QH42" s="12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2"/>
      <c r="QT42" s="12"/>
      <c r="QU42" s="12"/>
      <c r="QV42" s="12"/>
      <c r="QW42" s="12"/>
      <c r="QX42" s="12"/>
      <c r="QY42" s="12"/>
      <c r="QZ42" s="12"/>
      <c r="RA42" s="12"/>
      <c r="RB42" s="12"/>
      <c r="RC42" s="12"/>
      <c r="RD42" s="12"/>
      <c r="RE42" s="12"/>
      <c r="RF42" s="12"/>
      <c r="RG42" s="12"/>
      <c r="RH42" s="12"/>
      <c r="RI42" s="12"/>
      <c r="RJ42" s="12"/>
      <c r="RK42" s="12"/>
      <c r="RL42" s="12"/>
      <c r="RM42" s="12"/>
      <c r="RN42" s="12"/>
      <c r="RO42" s="12"/>
      <c r="RP42" s="12"/>
      <c r="RQ42" s="12"/>
      <c r="RR42" s="12"/>
      <c r="RS42" s="12"/>
      <c r="RT42" s="12"/>
      <c r="RU42" s="12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2"/>
      <c r="SG42" s="12"/>
      <c r="SH42" s="12"/>
      <c r="SI42" s="12"/>
      <c r="SJ42" s="12"/>
      <c r="SK42" s="12"/>
      <c r="SL42" s="12"/>
      <c r="SM42" s="12"/>
      <c r="SN42" s="12"/>
      <c r="SO42" s="12"/>
      <c r="SP42" s="12"/>
      <c r="SQ42" s="12"/>
      <c r="SR42" s="12"/>
      <c r="SS42" s="12"/>
      <c r="ST42" s="12"/>
      <c r="SU42" s="12"/>
      <c r="SV42" s="12"/>
      <c r="SW42" s="12"/>
      <c r="SX42" s="12"/>
      <c r="SY42" s="12"/>
      <c r="SZ42" s="12"/>
      <c r="TA42" s="12"/>
      <c r="TB42" s="12"/>
      <c r="TC42" s="12"/>
      <c r="TD42" s="12"/>
      <c r="TE42" s="12"/>
      <c r="TF42" s="12"/>
      <c r="TG42" s="12"/>
      <c r="TH42" s="12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2"/>
      <c r="TT42" s="12"/>
      <c r="TU42" s="12"/>
      <c r="TV42" s="12"/>
      <c r="TW42" s="12"/>
      <c r="TX42" s="12"/>
      <c r="TY42" s="12"/>
      <c r="TZ42" s="12"/>
      <c r="UA42" s="12"/>
      <c r="UB42" s="12"/>
      <c r="UC42" s="12"/>
      <c r="UD42" s="12"/>
      <c r="UE42" s="12"/>
      <c r="UF42" s="12"/>
      <c r="UG42" s="12"/>
      <c r="UH42" s="12"/>
      <c r="UI42" s="12"/>
      <c r="UJ42" s="12"/>
      <c r="UK42" s="12"/>
      <c r="UL42" s="12"/>
      <c r="UM42" s="12"/>
      <c r="UN42" s="12"/>
      <c r="UO42" s="12"/>
      <c r="UP42" s="12"/>
      <c r="UQ42" s="12"/>
      <c r="UR42" s="12"/>
      <c r="US42" s="12"/>
      <c r="UT42" s="12"/>
      <c r="UU42" s="12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2"/>
      <c r="VG42" s="12"/>
      <c r="VH42" s="12"/>
      <c r="VI42" s="12"/>
      <c r="VJ42" s="12"/>
      <c r="VK42" s="12"/>
      <c r="VL42" s="12"/>
      <c r="VM42" s="12"/>
      <c r="VN42" s="12"/>
      <c r="VO42" s="12"/>
      <c r="VP42" s="12"/>
      <c r="VQ42" s="12"/>
      <c r="VR42" s="12"/>
      <c r="VS42" s="12"/>
      <c r="VT42" s="12"/>
      <c r="VU42" s="12"/>
      <c r="VV42" s="12"/>
      <c r="VW42" s="12"/>
      <c r="VX42" s="12"/>
      <c r="VY42" s="12"/>
      <c r="VZ42" s="12"/>
      <c r="WA42" s="12"/>
      <c r="WB42" s="12"/>
      <c r="WC42" s="12"/>
      <c r="WD42" s="12"/>
      <c r="WE42" s="12"/>
      <c r="WF42" s="12"/>
      <c r="WG42" s="12"/>
      <c r="WH42" s="12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2"/>
      <c r="WT42" s="12"/>
      <c r="WU42" s="12"/>
      <c r="WV42" s="12"/>
      <c r="WW42" s="12"/>
      <c r="WX42" s="12"/>
      <c r="WY42" s="12"/>
      <c r="WZ42" s="12"/>
      <c r="XA42" s="12"/>
      <c r="XB42" s="12"/>
      <c r="XC42" s="12"/>
      <c r="XD42" s="12"/>
      <c r="XE42" s="12"/>
      <c r="XF42" s="12"/>
      <c r="XG42" s="12"/>
      <c r="XH42" s="12"/>
      <c r="XI42" s="12"/>
      <c r="XJ42" s="12"/>
      <c r="XK42" s="12"/>
      <c r="XL42" s="12"/>
      <c r="XM42" s="12"/>
      <c r="XN42" s="12"/>
      <c r="XO42" s="12"/>
      <c r="XP42" s="12"/>
      <c r="XQ42" s="12"/>
      <c r="XR42" s="12"/>
      <c r="XS42" s="12"/>
      <c r="XT42" s="12"/>
      <c r="XU42" s="12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2"/>
      <c r="YG42" s="12"/>
      <c r="YH42" s="12"/>
      <c r="YI42" s="12"/>
      <c r="YJ42" s="12"/>
      <c r="YK42" s="12"/>
      <c r="YL42" s="12"/>
      <c r="YM42" s="12"/>
      <c r="YN42" s="12"/>
      <c r="YO42" s="12"/>
      <c r="YP42" s="12"/>
      <c r="YQ42" s="12"/>
      <c r="YR42" s="12"/>
      <c r="YS42" s="12"/>
      <c r="YT42" s="12"/>
      <c r="YU42" s="12"/>
      <c r="YV42" s="12"/>
      <c r="YW42" s="12"/>
      <c r="YX42" s="12"/>
      <c r="YY42" s="12"/>
      <c r="YZ42" s="12"/>
      <c r="ZA42" s="12"/>
      <c r="ZB42" s="12"/>
      <c r="ZC42" s="12"/>
      <c r="ZD42" s="12"/>
      <c r="ZE42" s="12"/>
      <c r="ZF42" s="12"/>
      <c r="ZG42" s="12"/>
      <c r="ZH42" s="12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2"/>
      <c r="ZT42" s="12"/>
      <c r="ZU42" s="12"/>
      <c r="ZV42" s="12"/>
      <c r="ZW42" s="12"/>
      <c r="ZX42" s="12"/>
      <c r="ZY42" s="12"/>
      <c r="ZZ42" s="12"/>
      <c r="AAA42" s="12"/>
      <c r="AAB42" s="12"/>
      <c r="AAC42" s="12"/>
      <c r="AAD42" s="12"/>
      <c r="AAE42" s="12"/>
      <c r="AAF42" s="12"/>
      <c r="AAG42" s="12"/>
      <c r="AAH42" s="12"/>
      <c r="AAI42" s="12"/>
      <c r="AAJ42" s="12"/>
      <c r="AAK42" s="12"/>
      <c r="AAL42" s="12"/>
      <c r="AAM42" s="12"/>
      <c r="AAN42" s="12"/>
      <c r="AAO42" s="12"/>
      <c r="AAP42" s="12"/>
      <c r="AAQ42" s="12"/>
      <c r="AAR42" s="12"/>
      <c r="AAS42" s="12"/>
      <c r="AAT42" s="12"/>
      <c r="AAU42" s="12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2"/>
      <c r="ABG42" s="12"/>
      <c r="ABH42" s="12"/>
      <c r="ABI42" s="12"/>
      <c r="ABJ42" s="12"/>
      <c r="ABK42" s="12"/>
      <c r="ABL42" s="12"/>
      <c r="ABM42" s="12"/>
      <c r="ABN42" s="12"/>
      <c r="ABO42" s="12"/>
      <c r="ABP42" s="12"/>
      <c r="ABQ42" s="12"/>
      <c r="ABR42" s="12"/>
      <c r="ABS42" s="12"/>
      <c r="ABT42" s="12"/>
      <c r="ABU42" s="12"/>
      <c r="ABV42" s="12"/>
      <c r="ABW42" s="12"/>
      <c r="ABX42" s="12"/>
      <c r="ABY42" s="12"/>
      <c r="ABZ42" s="12"/>
      <c r="ACA42" s="12"/>
      <c r="ACB42" s="12"/>
      <c r="ACC42" s="12"/>
      <c r="ACD42" s="12"/>
      <c r="ACE42" s="12"/>
      <c r="ACF42" s="12"/>
      <c r="ACG42" s="12"/>
      <c r="ACH42" s="12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2"/>
      <c r="ACT42" s="12"/>
      <c r="ACU42" s="12"/>
      <c r="ACV42" s="12"/>
      <c r="ACW42" s="12"/>
      <c r="ACX42" s="12"/>
      <c r="ACY42" s="12"/>
      <c r="ACZ42" s="12"/>
      <c r="ADA42" s="12"/>
      <c r="ADB42" s="12"/>
      <c r="ADC42" s="12"/>
      <c r="ADD42" s="12"/>
      <c r="ADE42" s="12"/>
      <c r="ADF42" s="12"/>
      <c r="ADG42" s="12"/>
      <c r="ADH42" s="12"/>
      <c r="ADI42" s="12"/>
      <c r="ADJ42" s="12"/>
      <c r="ADK42" s="12"/>
      <c r="ADL42" s="12"/>
      <c r="ADM42" s="12"/>
      <c r="ADN42" s="12"/>
      <c r="ADO42" s="12"/>
      <c r="ADP42" s="12"/>
      <c r="ADQ42" s="12"/>
      <c r="ADR42" s="12"/>
      <c r="ADS42" s="12"/>
      <c r="ADT42" s="12"/>
      <c r="ADU42" s="12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2"/>
      <c r="AEG42" s="12"/>
      <c r="AEH42" s="12"/>
      <c r="AEI42" s="12"/>
      <c r="AEJ42" s="12"/>
      <c r="AEK42" s="12"/>
      <c r="AEL42" s="12"/>
      <c r="AEM42" s="12"/>
      <c r="AEN42" s="12"/>
      <c r="AEO42" s="12"/>
      <c r="AEP42" s="12"/>
      <c r="AEQ42" s="12"/>
      <c r="AER42" s="12"/>
      <c r="AES42" s="12"/>
      <c r="AET42" s="12"/>
      <c r="AEU42" s="12"/>
      <c r="AEV42" s="12"/>
    </row>
    <row r="43" spans="1:828" s="27" customFormat="1" ht="18" x14ac:dyDescent="0.2">
      <c r="A43" s="28"/>
      <c r="C43" s="23"/>
      <c r="D43" s="29"/>
      <c r="E43" s="23"/>
      <c r="F43" s="23"/>
      <c r="G43" s="23"/>
      <c r="H43" s="30"/>
      <c r="I43" s="23"/>
      <c r="J43" s="29"/>
      <c r="K43" s="30"/>
      <c r="L43" s="23"/>
      <c r="M43" s="29"/>
      <c r="N43" s="47"/>
      <c r="O43" s="12"/>
      <c r="P43" s="48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2"/>
      <c r="JG43" s="12"/>
      <c r="JH43" s="12"/>
      <c r="JI43" s="12"/>
      <c r="JJ43" s="12"/>
      <c r="JK43" s="12"/>
      <c r="JL43" s="12"/>
      <c r="JM43" s="12"/>
      <c r="JN43" s="12"/>
      <c r="JO43" s="12"/>
      <c r="JP43" s="12"/>
      <c r="JQ43" s="12"/>
      <c r="JR43" s="12"/>
      <c r="JS43" s="12"/>
      <c r="JT43" s="12"/>
      <c r="JU43" s="12"/>
      <c r="JV43" s="12"/>
      <c r="JW43" s="12"/>
      <c r="JX43" s="12"/>
      <c r="JY43" s="12"/>
      <c r="JZ43" s="12"/>
      <c r="KA43" s="12"/>
      <c r="KB43" s="12"/>
      <c r="KC43" s="12"/>
      <c r="KD43" s="12"/>
      <c r="KE43" s="12"/>
      <c r="KF43" s="12"/>
      <c r="KG43" s="12"/>
      <c r="KH43" s="12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2"/>
      <c r="KT43" s="12"/>
      <c r="KU43" s="12"/>
      <c r="KV43" s="12"/>
      <c r="KW43" s="12"/>
      <c r="KX43" s="12"/>
      <c r="KY43" s="12"/>
      <c r="KZ43" s="12"/>
      <c r="LA43" s="12"/>
      <c r="LB43" s="12"/>
      <c r="LC43" s="12"/>
      <c r="LD43" s="12"/>
      <c r="LE43" s="12"/>
      <c r="LF43" s="12"/>
      <c r="LG43" s="12"/>
      <c r="LH43" s="12"/>
      <c r="LI43" s="12"/>
      <c r="LJ43" s="12"/>
      <c r="LK43" s="12"/>
      <c r="LL43" s="12"/>
      <c r="LM43" s="12"/>
      <c r="LN43" s="12"/>
      <c r="LO43" s="12"/>
      <c r="LP43" s="12"/>
      <c r="LQ43" s="12"/>
      <c r="LR43" s="12"/>
      <c r="LS43" s="12"/>
      <c r="LT43" s="12"/>
      <c r="LU43" s="12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2"/>
      <c r="MG43" s="12"/>
      <c r="MH43" s="12"/>
      <c r="MI43" s="12"/>
      <c r="MJ43" s="12"/>
      <c r="MK43" s="12"/>
      <c r="ML43" s="12"/>
      <c r="MM43" s="12"/>
      <c r="MN43" s="12"/>
      <c r="MO43" s="12"/>
      <c r="MP43" s="12"/>
      <c r="MQ43" s="12"/>
      <c r="MR43" s="12"/>
      <c r="MS43" s="12"/>
      <c r="MT43" s="12"/>
      <c r="MU43" s="12"/>
      <c r="MV43" s="12"/>
      <c r="MW43" s="12"/>
      <c r="MX43" s="12"/>
      <c r="MY43" s="12"/>
      <c r="MZ43" s="12"/>
      <c r="NA43" s="12"/>
      <c r="NB43" s="12"/>
      <c r="NC43" s="12"/>
      <c r="ND43" s="12"/>
      <c r="NE43" s="12"/>
      <c r="NF43" s="12"/>
      <c r="NG43" s="12"/>
      <c r="NH43" s="12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2"/>
      <c r="NT43" s="12"/>
      <c r="NU43" s="12"/>
      <c r="NV43" s="12"/>
      <c r="NW43" s="12"/>
      <c r="NX43" s="12"/>
      <c r="NY43" s="12"/>
      <c r="NZ43" s="12"/>
      <c r="OA43" s="12"/>
      <c r="OB43" s="12"/>
      <c r="OC43" s="12"/>
      <c r="OD43" s="12"/>
      <c r="OE43" s="12"/>
      <c r="OF43" s="12"/>
      <c r="OG43" s="12"/>
      <c r="OH43" s="12"/>
      <c r="OI43" s="12"/>
      <c r="OJ43" s="12"/>
      <c r="OK43" s="12"/>
      <c r="OL43" s="12"/>
      <c r="OM43" s="12"/>
      <c r="ON43" s="12"/>
      <c r="OO43" s="12"/>
      <c r="OP43" s="12"/>
      <c r="OQ43" s="12"/>
      <c r="OR43" s="12"/>
      <c r="OS43" s="12"/>
      <c r="OT43" s="12"/>
      <c r="OU43" s="12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2"/>
      <c r="PG43" s="12"/>
      <c r="PH43" s="12"/>
      <c r="PI43" s="12"/>
      <c r="PJ43" s="12"/>
      <c r="PK43" s="12"/>
      <c r="PL43" s="12"/>
      <c r="PM43" s="12"/>
      <c r="PN43" s="12"/>
      <c r="PO43" s="12"/>
      <c r="PP43" s="12"/>
      <c r="PQ43" s="12"/>
      <c r="PR43" s="12"/>
      <c r="PS43" s="12"/>
      <c r="PT43" s="12"/>
      <c r="PU43" s="12"/>
      <c r="PV43" s="12"/>
      <c r="PW43" s="12"/>
      <c r="PX43" s="12"/>
      <c r="PY43" s="12"/>
      <c r="PZ43" s="12"/>
      <c r="QA43" s="12"/>
      <c r="QB43" s="12"/>
      <c r="QC43" s="12"/>
      <c r="QD43" s="12"/>
      <c r="QE43" s="12"/>
      <c r="QF43" s="12"/>
      <c r="QG43" s="12"/>
      <c r="QH43" s="12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2"/>
      <c r="QT43" s="12"/>
      <c r="QU43" s="12"/>
      <c r="QV43" s="12"/>
      <c r="QW43" s="12"/>
      <c r="QX43" s="12"/>
      <c r="QY43" s="12"/>
      <c r="QZ43" s="12"/>
      <c r="RA43" s="12"/>
      <c r="RB43" s="12"/>
      <c r="RC43" s="12"/>
      <c r="RD43" s="12"/>
      <c r="RE43" s="12"/>
      <c r="RF43" s="12"/>
      <c r="RG43" s="12"/>
      <c r="RH43" s="12"/>
      <c r="RI43" s="12"/>
      <c r="RJ43" s="12"/>
      <c r="RK43" s="12"/>
      <c r="RL43" s="12"/>
      <c r="RM43" s="12"/>
      <c r="RN43" s="12"/>
      <c r="RO43" s="12"/>
      <c r="RP43" s="12"/>
      <c r="RQ43" s="12"/>
      <c r="RR43" s="12"/>
      <c r="RS43" s="12"/>
      <c r="RT43" s="12"/>
      <c r="RU43" s="12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2"/>
      <c r="SG43" s="12"/>
      <c r="SH43" s="12"/>
      <c r="SI43" s="12"/>
      <c r="SJ43" s="12"/>
      <c r="SK43" s="12"/>
      <c r="SL43" s="12"/>
      <c r="SM43" s="12"/>
      <c r="SN43" s="12"/>
      <c r="SO43" s="12"/>
      <c r="SP43" s="12"/>
      <c r="SQ43" s="12"/>
      <c r="SR43" s="12"/>
      <c r="SS43" s="12"/>
      <c r="ST43" s="12"/>
      <c r="SU43" s="12"/>
      <c r="SV43" s="12"/>
      <c r="SW43" s="12"/>
      <c r="SX43" s="12"/>
      <c r="SY43" s="12"/>
      <c r="SZ43" s="12"/>
      <c r="TA43" s="12"/>
      <c r="TB43" s="12"/>
      <c r="TC43" s="12"/>
      <c r="TD43" s="12"/>
      <c r="TE43" s="12"/>
      <c r="TF43" s="12"/>
      <c r="TG43" s="12"/>
      <c r="TH43" s="12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2"/>
      <c r="TT43" s="12"/>
      <c r="TU43" s="12"/>
      <c r="TV43" s="12"/>
      <c r="TW43" s="12"/>
      <c r="TX43" s="12"/>
      <c r="TY43" s="12"/>
      <c r="TZ43" s="12"/>
      <c r="UA43" s="12"/>
      <c r="UB43" s="12"/>
      <c r="UC43" s="12"/>
      <c r="UD43" s="12"/>
      <c r="UE43" s="12"/>
      <c r="UF43" s="12"/>
      <c r="UG43" s="12"/>
      <c r="UH43" s="12"/>
      <c r="UI43" s="12"/>
      <c r="UJ43" s="12"/>
      <c r="UK43" s="12"/>
      <c r="UL43" s="12"/>
      <c r="UM43" s="12"/>
      <c r="UN43" s="12"/>
      <c r="UO43" s="12"/>
      <c r="UP43" s="12"/>
      <c r="UQ43" s="12"/>
      <c r="UR43" s="12"/>
      <c r="US43" s="12"/>
      <c r="UT43" s="12"/>
      <c r="UU43" s="12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2"/>
      <c r="VG43" s="12"/>
      <c r="VH43" s="12"/>
      <c r="VI43" s="12"/>
      <c r="VJ43" s="12"/>
      <c r="VK43" s="12"/>
      <c r="VL43" s="12"/>
      <c r="VM43" s="12"/>
      <c r="VN43" s="12"/>
      <c r="VO43" s="12"/>
      <c r="VP43" s="12"/>
      <c r="VQ43" s="12"/>
      <c r="VR43" s="12"/>
      <c r="VS43" s="12"/>
      <c r="VT43" s="12"/>
      <c r="VU43" s="12"/>
      <c r="VV43" s="12"/>
      <c r="VW43" s="12"/>
      <c r="VX43" s="12"/>
      <c r="VY43" s="12"/>
      <c r="VZ43" s="12"/>
      <c r="WA43" s="12"/>
      <c r="WB43" s="12"/>
      <c r="WC43" s="12"/>
      <c r="WD43" s="12"/>
      <c r="WE43" s="12"/>
      <c r="WF43" s="12"/>
      <c r="WG43" s="12"/>
      <c r="WH43" s="12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2"/>
      <c r="WT43" s="12"/>
      <c r="WU43" s="12"/>
      <c r="WV43" s="12"/>
      <c r="WW43" s="12"/>
      <c r="WX43" s="12"/>
      <c r="WY43" s="12"/>
      <c r="WZ43" s="12"/>
      <c r="XA43" s="12"/>
      <c r="XB43" s="12"/>
      <c r="XC43" s="12"/>
      <c r="XD43" s="12"/>
      <c r="XE43" s="12"/>
      <c r="XF43" s="12"/>
      <c r="XG43" s="12"/>
      <c r="XH43" s="12"/>
      <c r="XI43" s="12"/>
      <c r="XJ43" s="12"/>
      <c r="XK43" s="12"/>
      <c r="XL43" s="12"/>
      <c r="XM43" s="12"/>
      <c r="XN43" s="12"/>
      <c r="XO43" s="12"/>
      <c r="XP43" s="12"/>
      <c r="XQ43" s="12"/>
      <c r="XR43" s="12"/>
      <c r="XS43" s="12"/>
      <c r="XT43" s="12"/>
      <c r="XU43" s="12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2"/>
      <c r="YG43" s="12"/>
      <c r="YH43" s="12"/>
      <c r="YI43" s="12"/>
      <c r="YJ43" s="12"/>
      <c r="YK43" s="12"/>
      <c r="YL43" s="12"/>
      <c r="YM43" s="12"/>
      <c r="YN43" s="12"/>
      <c r="YO43" s="12"/>
      <c r="YP43" s="12"/>
      <c r="YQ43" s="12"/>
      <c r="YR43" s="12"/>
      <c r="YS43" s="12"/>
      <c r="YT43" s="12"/>
      <c r="YU43" s="12"/>
      <c r="YV43" s="12"/>
      <c r="YW43" s="12"/>
      <c r="YX43" s="12"/>
      <c r="YY43" s="12"/>
      <c r="YZ43" s="12"/>
      <c r="ZA43" s="12"/>
      <c r="ZB43" s="12"/>
      <c r="ZC43" s="12"/>
      <c r="ZD43" s="12"/>
      <c r="ZE43" s="12"/>
      <c r="ZF43" s="12"/>
      <c r="ZG43" s="12"/>
      <c r="ZH43" s="12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2"/>
      <c r="ZT43" s="12"/>
      <c r="ZU43" s="12"/>
      <c r="ZV43" s="12"/>
      <c r="ZW43" s="12"/>
      <c r="ZX43" s="12"/>
      <c r="ZY43" s="12"/>
      <c r="ZZ43" s="12"/>
      <c r="AAA43" s="12"/>
      <c r="AAB43" s="12"/>
      <c r="AAC43" s="12"/>
      <c r="AAD43" s="12"/>
      <c r="AAE43" s="12"/>
      <c r="AAF43" s="12"/>
      <c r="AAG43" s="12"/>
      <c r="AAH43" s="12"/>
      <c r="AAI43" s="12"/>
      <c r="AAJ43" s="12"/>
      <c r="AAK43" s="12"/>
      <c r="AAL43" s="12"/>
      <c r="AAM43" s="12"/>
      <c r="AAN43" s="12"/>
      <c r="AAO43" s="12"/>
      <c r="AAP43" s="12"/>
      <c r="AAQ43" s="12"/>
      <c r="AAR43" s="12"/>
      <c r="AAS43" s="12"/>
      <c r="AAT43" s="12"/>
      <c r="AAU43" s="12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2"/>
      <c r="ABG43" s="12"/>
      <c r="ABH43" s="12"/>
      <c r="ABI43" s="12"/>
      <c r="ABJ43" s="12"/>
      <c r="ABK43" s="12"/>
      <c r="ABL43" s="12"/>
      <c r="ABM43" s="12"/>
      <c r="ABN43" s="12"/>
      <c r="ABO43" s="12"/>
      <c r="ABP43" s="12"/>
      <c r="ABQ43" s="12"/>
      <c r="ABR43" s="12"/>
      <c r="ABS43" s="12"/>
      <c r="ABT43" s="12"/>
      <c r="ABU43" s="12"/>
      <c r="ABV43" s="12"/>
      <c r="ABW43" s="12"/>
      <c r="ABX43" s="12"/>
      <c r="ABY43" s="12"/>
      <c r="ABZ43" s="12"/>
      <c r="ACA43" s="12"/>
      <c r="ACB43" s="12"/>
      <c r="ACC43" s="12"/>
      <c r="ACD43" s="12"/>
      <c r="ACE43" s="12"/>
      <c r="ACF43" s="12"/>
      <c r="ACG43" s="12"/>
      <c r="ACH43" s="12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2"/>
      <c r="ACT43" s="12"/>
      <c r="ACU43" s="12"/>
      <c r="ACV43" s="12"/>
      <c r="ACW43" s="12"/>
      <c r="ACX43" s="12"/>
      <c r="ACY43" s="12"/>
      <c r="ACZ43" s="12"/>
      <c r="ADA43" s="12"/>
      <c r="ADB43" s="12"/>
      <c r="ADC43" s="12"/>
      <c r="ADD43" s="12"/>
      <c r="ADE43" s="12"/>
      <c r="ADF43" s="12"/>
      <c r="ADG43" s="12"/>
      <c r="ADH43" s="12"/>
      <c r="ADI43" s="12"/>
      <c r="ADJ43" s="12"/>
      <c r="ADK43" s="12"/>
      <c r="ADL43" s="12"/>
      <c r="ADM43" s="12"/>
      <c r="ADN43" s="12"/>
      <c r="ADO43" s="12"/>
      <c r="ADP43" s="12"/>
      <c r="ADQ43" s="12"/>
      <c r="ADR43" s="12"/>
      <c r="ADS43" s="12"/>
      <c r="ADT43" s="12"/>
      <c r="ADU43" s="12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2"/>
      <c r="AEG43" s="12"/>
      <c r="AEH43" s="12"/>
      <c r="AEI43" s="12"/>
      <c r="AEJ43" s="12"/>
      <c r="AEK43" s="12"/>
      <c r="AEL43" s="12"/>
      <c r="AEM43" s="12"/>
      <c r="AEN43" s="12"/>
      <c r="AEO43" s="12"/>
      <c r="AEP43" s="12"/>
      <c r="AEQ43" s="12"/>
      <c r="AER43" s="12"/>
      <c r="AES43" s="12"/>
      <c r="AET43" s="12"/>
      <c r="AEU43" s="12"/>
      <c r="AEV43" s="12"/>
    </row>
    <row r="44" spans="1:828" s="27" customFormat="1" ht="18" x14ac:dyDescent="0.2">
      <c r="A44" s="28"/>
      <c r="C44" s="23"/>
      <c r="D44" s="29"/>
      <c r="E44" s="23"/>
      <c r="F44" s="23"/>
      <c r="G44" s="23"/>
      <c r="H44" s="30"/>
      <c r="I44" s="23"/>
      <c r="J44" s="29"/>
      <c r="K44" s="30"/>
      <c r="L44" s="23"/>
      <c r="M44" s="29"/>
      <c r="N44" s="47"/>
      <c r="O44" s="12"/>
      <c r="P44" s="48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2"/>
      <c r="JG44" s="12"/>
      <c r="JH44" s="12"/>
      <c r="JI44" s="12"/>
      <c r="JJ44" s="12"/>
      <c r="JK44" s="12"/>
      <c r="JL44" s="12"/>
      <c r="JM44" s="12"/>
      <c r="JN44" s="12"/>
      <c r="JO44" s="12"/>
      <c r="JP44" s="12"/>
      <c r="JQ44" s="12"/>
      <c r="JR44" s="12"/>
      <c r="JS44" s="12"/>
      <c r="JT44" s="12"/>
      <c r="JU44" s="12"/>
      <c r="JV44" s="12"/>
      <c r="JW44" s="12"/>
      <c r="JX44" s="12"/>
      <c r="JY44" s="12"/>
      <c r="JZ44" s="12"/>
      <c r="KA44" s="12"/>
      <c r="KB44" s="12"/>
      <c r="KC44" s="12"/>
      <c r="KD44" s="12"/>
      <c r="KE44" s="12"/>
      <c r="KF44" s="12"/>
      <c r="KG44" s="12"/>
      <c r="KH44" s="12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2"/>
      <c r="KT44" s="12"/>
      <c r="KU44" s="12"/>
      <c r="KV44" s="12"/>
      <c r="KW44" s="12"/>
      <c r="KX44" s="12"/>
      <c r="KY44" s="12"/>
      <c r="KZ44" s="12"/>
      <c r="LA44" s="12"/>
      <c r="LB44" s="12"/>
      <c r="LC44" s="12"/>
      <c r="LD44" s="12"/>
      <c r="LE44" s="12"/>
      <c r="LF44" s="12"/>
      <c r="LG44" s="12"/>
      <c r="LH44" s="12"/>
      <c r="LI44" s="12"/>
      <c r="LJ44" s="12"/>
      <c r="LK44" s="12"/>
      <c r="LL44" s="12"/>
      <c r="LM44" s="12"/>
      <c r="LN44" s="12"/>
      <c r="LO44" s="12"/>
      <c r="LP44" s="12"/>
      <c r="LQ44" s="12"/>
      <c r="LR44" s="12"/>
      <c r="LS44" s="12"/>
      <c r="LT44" s="12"/>
      <c r="LU44" s="12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2"/>
      <c r="MG44" s="12"/>
      <c r="MH44" s="12"/>
      <c r="MI44" s="12"/>
      <c r="MJ44" s="12"/>
      <c r="MK44" s="12"/>
      <c r="ML44" s="12"/>
      <c r="MM44" s="12"/>
      <c r="MN44" s="12"/>
      <c r="MO44" s="12"/>
      <c r="MP44" s="12"/>
      <c r="MQ44" s="12"/>
      <c r="MR44" s="12"/>
      <c r="MS44" s="12"/>
      <c r="MT44" s="12"/>
      <c r="MU44" s="12"/>
      <c r="MV44" s="12"/>
      <c r="MW44" s="12"/>
      <c r="MX44" s="12"/>
      <c r="MY44" s="12"/>
      <c r="MZ44" s="12"/>
      <c r="NA44" s="12"/>
      <c r="NB44" s="12"/>
      <c r="NC44" s="12"/>
      <c r="ND44" s="12"/>
      <c r="NE44" s="12"/>
      <c r="NF44" s="12"/>
      <c r="NG44" s="12"/>
      <c r="NH44" s="12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2"/>
      <c r="NT44" s="12"/>
      <c r="NU44" s="12"/>
      <c r="NV44" s="12"/>
      <c r="NW44" s="12"/>
      <c r="NX44" s="12"/>
      <c r="NY44" s="12"/>
      <c r="NZ44" s="12"/>
      <c r="OA44" s="12"/>
      <c r="OB44" s="12"/>
      <c r="OC44" s="12"/>
      <c r="OD44" s="12"/>
      <c r="OE44" s="12"/>
      <c r="OF44" s="12"/>
      <c r="OG44" s="12"/>
      <c r="OH44" s="12"/>
      <c r="OI44" s="12"/>
      <c r="OJ44" s="12"/>
      <c r="OK44" s="12"/>
      <c r="OL44" s="12"/>
      <c r="OM44" s="12"/>
      <c r="ON44" s="12"/>
      <c r="OO44" s="12"/>
      <c r="OP44" s="12"/>
      <c r="OQ44" s="12"/>
      <c r="OR44" s="12"/>
      <c r="OS44" s="12"/>
      <c r="OT44" s="12"/>
      <c r="OU44" s="12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2"/>
      <c r="PG44" s="12"/>
      <c r="PH44" s="12"/>
      <c r="PI44" s="12"/>
      <c r="PJ44" s="12"/>
      <c r="PK44" s="12"/>
      <c r="PL44" s="12"/>
      <c r="PM44" s="12"/>
      <c r="PN44" s="12"/>
      <c r="PO44" s="12"/>
      <c r="PP44" s="12"/>
      <c r="PQ44" s="12"/>
      <c r="PR44" s="12"/>
      <c r="PS44" s="12"/>
      <c r="PT44" s="12"/>
      <c r="PU44" s="12"/>
      <c r="PV44" s="12"/>
      <c r="PW44" s="12"/>
      <c r="PX44" s="12"/>
      <c r="PY44" s="12"/>
      <c r="PZ44" s="12"/>
      <c r="QA44" s="12"/>
      <c r="QB44" s="12"/>
      <c r="QC44" s="12"/>
      <c r="QD44" s="12"/>
      <c r="QE44" s="12"/>
      <c r="QF44" s="12"/>
      <c r="QG44" s="12"/>
      <c r="QH44" s="12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2"/>
      <c r="QT44" s="12"/>
      <c r="QU44" s="12"/>
      <c r="QV44" s="12"/>
      <c r="QW44" s="12"/>
      <c r="QX44" s="12"/>
      <c r="QY44" s="12"/>
      <c r="QZ44" s="12"/>
      <c r="RA44" s="12"/>
      <c r="RB44" s="12"/>
      <c r="RC44" s="12"/>
      <c r="RD44" s="12"/>
      <c r="RE44" s="12"/>
      <c r="RF44" s="12"/>
      <c r="RG44" s="12"/>
      <c r="RH44" s="12"/>
      <c r="RI44" s="12"/>
      <c r="RJ44" s="12"/>
      <c r="RK44" s="12"/>
      <c r="RL44" s="12"/>
      <c r="RM44" s="12"/>
      <c r="RN44" s="12"/>
      <c r="RO44" s="12"/>
      <c r="RP44" s="12"/>
      <c r="RQ44" s="12"/>
      <c r="RR44" s="12"/>
      <c r="RS44" s="12"/>
      <c r="RT44" s="12"/>
      <c r="RU44" s="12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2"/>
      <c r="SG44" s="12"/>
      <c r="SH44" s="12"/>
      <c r="SI44" s="12"/>
      <c r="SJ44" s="12"/>
      <c r="SK44" s="12"/>
      <c r="SL44" s="12"/>
      <c r="SM44" s="12"/>
      <c r="SN44" s="12"/>
      <c r="SO44" s="12"/>
      <c r="SP44" s="12"/>
      <c r="SQ44" s="12"/>
      <c r="SR44" s="12"/>
      <c r="SS44" s="12"/>
      <c r="ST44" s="12"/>
      <c r="SU44" s="12"/>
      <c r="SV44" s="12"/>
      <c r="SW44" s="12"/>
      <c r="SX44" s="12"/>
      <c r="SY44" s="12"/>
      <c r="SZ44" s="12"/>
      <c r="TA44" s="12"/>
      <c r="TB44" s="12"/>
      <c r="TC44" s="12"/>
      <c r="TD44" s="12"/>
      <c r="TE44" s="12"/>
      <c r="TF44" s="12"/>
      <c r="TG44" s="12"/>
      <c r="TH44" s="12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2"/>
      <c r="TT44" s="12"/>
      <c r="TU44" s="12"/>
      <c r="TV44" s="12"/>
      <c r="TW44" s="12"/>
      <c r="TX44" s="12"/>
      <c r="TY44" s="12"/>
      <c r="TZ44" s="12"/>
      <c r="UA44" s="12"/>
      <c r="UB44" s="12"/>
      <c r="UC44" s="12"/>
      <c r="UD44" s="12"/>
      <c r="UE44" s="12"/>
      <c r="UF44" s="12"/>
      <c r="UG44" s="12"/>
      <c r="UH44" s="12"/>
      <c r="UI44" s="12"/>
      <c r="UJ44" s="12"/>
      <c r="UK44" s="12"/>
      <c r="UL44" s="12"/>
      <c r="UM44" s="12"/>
      <c r="UN44" s="12"/>
      <c r="UO44" s="12"/>
      <c r="UP44" s="12"/>
      <c r="UQ44" s="12"/>
      <c r="UR44" s="12"/>
      <c r="US44" s="12"/>
      <c r="UT44" s="12"/>
      <c r="UU44" s="12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2"/>
      <c r="VG44" s="12"/>
      <c r="VH44" s="12"/>
      <c r="VI44" s="12"/>
      <c r="VJ44" s="12"/>
      <c r="VK44" s="12"/>
      <c r="VL44" s="12"/>
      <c r="VM44" s="12"/>
      <c r="VN44" s="12"/>
      <c r="VO44" s="12"/>
      <c r="VP44" s="12"/>
      <c r="VQ44" s="12"/>
      <c r="VR44" s="12"/>
      <c r="VS44" s="12"/>
      <c r="VT44" s="12"/>
      <c r="VU44" s="12"/>
      <c r="VV44" s="12"/>
      <c r="VW44" s="12"/>
      <c r="VX44" s="12"/>
      <c r="VY44" s="12"/>
      <c r="VZ44" s="12"/>
      <c r="WA44" s="12"/>
      <c r="WB44" s="12"/>
      <c r="WC44" s="12"/>
      <c r="WD44" s="12"/>
      <c r="WE44" s="12"/>
      <c r="WF44" s="12"/>
      <c r="WG44" s="12"/>
      <c r="WH44" s="12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2"/>
      <c r="WT44" s="12"/>
      <c r="WU44" s="12"/>
      <c r="WV44" s="12"/>
      <c r="WW44" s="12"/>
      <c r="WX44" s="12"/>
      <c r="WY44" s="12"/>
      <c r="WZ44" s="12"/>
      <c r="XA44" s="12"/>
      <c r="XB44" s="12"/>
      <c r="XC44" s="12"/>
      <c r="XD44" s="12"/>
      <c r="XE44" s="12"/>
      <c r="XF44" s="12"/>
      <c r="XG44" s="12"/>
      <c r="XH44" s="12"/>
      <c r="XI44" s="12"/>
      <c r="XJ44" s="12"/>
      <c r="XK44" s="12"/>
      <c r="XL44" s="12"/>
      <c r="XM44" s="12"/>
      <c r="XN44" s="12"/>
      <c r="XO44" s="12"/>
      <c r="XP44" s="12"/>
      <c r="XQ44" s="12"/>
      <c r="XR44" s="12"/>
      <c r="XS44" s="12"/>
      <c r="XT44" s="12"/>
      <c r="XU44" s="12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2"/>
      <c r="YG44" s="12"/>
      <c r="YH44" s="12"/>
      <c r="YI44" s="12"/>
      <c r="YJ44" s="12"/>
      <c r="YK44" s="12"/>
      <c r="YL44" s="12"/>
      <c r="YM44" s="12"/>
      <c r="YN44" s="12"/>
      <c r="YO44" s="12"/>
      <c r="YP44" s="12"/>
      <c r="YQ44" s="12"/>
      <c r="YR44" s="12"/>
      <c r="YS44" s="12"/>
      <c r="YT44" s="12"/>
      <c r="YU44" s="12"/>
      <c r="YV44" s="12"/>
      <c r="YW44" s="12"/>
      <c r="YX44" s="12"/>
      <c r="YY44" s="12"/>
      <c r="YZ44" s="12"/>
      <c r="ZA44" s="12"/>
      <c r="ZB44" s="12"/>
      <c r="ZC44" s="12"/>
      <c r="ZD44" s="12"/>
      <c r="ZE44" s="12"/>
      <c r="ZF44" s="12"/>
      <c r="ZG44" s="12"/>
      <c r="ZH44" s="12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2"/>
      <c r="ZT44" s="12"/>
      <c r="ZU44" s="12"/>
      <c r="ZV44" s="12"/>
      <c r="ZW44" s="12"/>
      <c r="ZX44" s="12"/>
      <c r="ZY44" s="12"/>
      <c r="ZZ44" s="12"/>
      <c r="AAA44" s="12"/>
      <c r="AAB44" s="12"/>
      <c r="AAC44" s="12"/>
      <c r="AAD44" s="12"/>
      <c r="AAE44" s="12"/>
      <c r="AAF44" s="12"/>
      <c r="AAG44" s="12"/>
      <c r="AAH44" s="12"/>
      <c r="AAI44" s="12"/>
      <c r="AAJ44" s="12"/>
      <c r="AAK44" s="12"/>
      <c r="AAL44" s="12"/>
      <c r="AAM44" s="12"/>
      <c r="AAN44" s="12"/>
      <c r="AAO44" s="12"/>
      <c r="AAP44" s="12"/>
      <c r="AAQ44" s="12"/>
      <c r="AAR44" s="12"/>
      <c r="AAS44" s="12"/>
      <c r="AAT44" s="12"/>
      <c r="AAU44" s="12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2"/>
      <c r="ABG44" s="12"/>
      <c r="ABH44" s="12"/>
      <c r="ABI44" s="12"/>
      <c r="ABJ44" s="12"/>
      <c r="ABK44" s="12"/>
      <c r="ABL44" s="12"/>
      <c r="ABM44" s="12"/>
      <c r="ABN44" s="12"/>
      <c r="ABO44" s="12"/>
      <c r="ABP44" s="12"/>
      <c r="ABQ44" s="12"/>
      <c r="ABR44" s="12"/>
      <c r="ABS44" s="12"/>
      <c r="ABT44" s="12"/>
      <c r="ABU44" s="12"/>
      <c r="ABV44" s="12"/>
      <c r="ABW44" s="12"/>
      <c r="ABX44" s="12"/>
      <c r="ABY44" s="12"/>
      <c r="ABZ44" s="12"/>
      <c r="ACA44" s="12"/>
      <c r="ACB44" s="12"/>
      <c r="ACC44" s="12"/>
      <c r="ACD44" s="12"/>
      <c r="ACE44" s="12"/>
      <c r="ACF44" s="12"/>
      <c r="ACG44" s="12"/>
      <c r="ACH44" s="12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2"/>
      <c r="ACT44" s="12"/>
      <c r="ACU44" s="12"/>
      <c r="ACV44" s="12"/>
      <c r="ACW44" s="12"/>
      <c r="ACX44" s="12"/>
      <c r="ACY44" s="12"/>
      <c r="ACZ44" s="12"/>
      <c r="ADA44" s="12"/>
      <c r="ADB44" s="12"/>
      <c r="ADC44" s="12"/>
      <c r="ADD44" s="12"/>
      <c r="ADE44" s="12"/>
      <c r="ADF44" s="12"/>
      <c r="ADG44" s="12"/>
      <c r="ADH44" s="12"/>
      <c r="ADI44" s="12"/>
      <c r="ADJ44" s="12"/>
      <c r="ADK44" s="12"/>
      <c r="ADL44" s="12"/>
      <c r="ADM44" s="12"/>
      <c r="ADN44" s="12"/>
      <c r="ADO44" s="12"/>
      <c r="ADP44" s="12"/>
      <c r="ADQ44" s="12"/>
      <c r="ADR44" s="12"/>
      <c r="ADS44" s="12"/>
      <c r="ADT44" s="12"/>
      <c r="ADU44" s="12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2"/>
      <c r="AEG44" s="12"/>
      <c r="AEH44" s="12"/>
      <c r="AEI44" s="12"/>
      <c r="AEJ44" s="12"/>
      <c r="AEK44" s="12"/>
      <c r="AEL44" s="12"/>
      <c r="AEM44" s="12"/>
      <c r="AEN44" s="12"/>
      <c r="AEO44" s="12"/>
      <c r="AEP44" s="12"/>
      <c r="AEQ44" s="12"/>
      <c r="AER44" s="12"/>
      <c r="AES44" s="12"/>
      <c r="AET44" s="12"/>
      <c r="AEU44" s="12"/>
      <c r="AEV44" s="12"/>
    </row>
    <row r="45" spans="1:828" s="27" customFormat="1" ht="18" x14ac:dyDescent="0.2">
      <c r="A45" s="28"/>
      <c r="C45" s="23"/>
      <c r="D45" s="29"/>
      <c r="E45" s="23"/>
      <c r="F45" s="23"/>
      <c r="G45" s="23"/>
      <c r="H45" s="30"/>
      <c r="I45" s="23"/>
      <c r="J45" s="29"/>
      <c r="K45" s="30"/>
      <c r="L45" s="23"/>
      <c r="M45" s="29"/>
      <c r="N45" s="47"/>
      <c r="O45" s="12"/>
      <c r="P45" s="48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2"/>
      <c r="JG45" s="12"/>
      <c r="JH45" s="12"/>
      <c r="JI45" s="12"/>
      <c r="JJ45" s="12"/>
      <c r="JK45" s="12"/>
      <c r="JL45" s="12"/>
      <c r="JM45" s="12"/>
      <c r="JN45" s="12"/>
      <c r="JO45" s="12"/>
      <c r="JP45" s="12"/>
      <c r="JQ45" s="12"/>
      <c r="JR45" s="12"/>
      <c r="JS45" s="12"/>
      <c r="JT45" s="12"/>
      <c r="JU45" s="12"/>
      <c r="JV45" s="12"/>
      <c r="JW45" s="12"/>
      <c r="JX45" s="12"/>
      <c r="JY45" s="12"/>
      <c r="JZ45" s="12"/>
      <c r="KA45" s="12"/>
      <c r="KB45" s="12"/>
      <c r="KC45" s="12"/>
      <c r="KD45" s="12"/>
      <c r="KE45" s="12"/>
      <c r="KF45" s="12"/>
      <c r="KG45" s="12"/>
      <c r="KH45" s="12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2"/>
      <c r="KT45" s="12"/>
      <c r="KU45" s="12"/>
      <c r="KV45" s="12"/>
      <c r="KW45" s="12"/>
      <c r="KX45" s="12"/>
      <c r="KY45" s="12"/>
      <c r="KZ45" s="12"/>
      <c r="LA45" s="12"/>
      <c r="LB45" s="12"/>
      <c r="LC45" s="12"/>
      <c r="LD45" s="12"/>
      <c r="LE45" s="12"/>
      <c r="LF45" s="12"/>
      <c r="LG45" s="12"/>
      <c r="LH45" s="12"/>
      <c r="LI45" s="12"/>
      <c r="LJ45" s="12"/>
      <c r="LK45" s="12"/>
      <c r="LL45" s="12"/>
      <c r="LM45" s="12"/>
      <c r="LN45" s="12"/>
      <c r="LO45" s="12"/>
      <c r="LP45" s="12"/>
      <c r="LQ45" s="12"/>
      <c r="LR45" s="12"/>
      <c r="LS45" s="12"/>
      <c r="LT45" s="12"/>
      <c r="LU45" s="12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2"/>
      <c r="MG45" s="12"/>
      <c r="MH45" s="12"/>
      <c r="MI45" s="12"/>
      <c r="MJ45" s="12"/>
      <c r="MK45" s="12"/>
      <c r="ML45" s="12"/>
      <c r="MM45" s="12"/>
      <c r="MN45" s="12"/>
      <c r="MO45" s="12"/>
      <c r="MP45" s="12"/>
      <c r="MQ45" s="12"/>
      <c r="MR45" s="12"/>
      <c r="MS45" s="12"/>
      <c r="MT45" s="12"/>
      <c r="MU45" s="12"/>
      <c r="MV45" s="12"/>
      <c r="MW45" s="12"/>
      <c r="MX45" s="12"/>
      <c r="MY45" s="12"/>
      <c r="MZ45" s="12"/>
      <c r="NA45" s="12"/>
      <c r="NB45" s="12"/>
      <c r="NC45" s="12"/>
      <c r="ND45" s="12"/>
      <c r="NE45" s="12"/>
      <c r="NF45" s="12"/>
      <c r="NG45" s="12"/>
      <c r="NH45" s="12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2"/>
      <c r="NT45" s="12"/>
      <c r="NU45" s="12"/>
      <c r="NV45" s="12"/>
      <c r="NW45" s="12"/>
      <c r="NX45" s="12"/>
      <c r="NY45" s="12"/>
      <c r="NZ45" s="12"/>
      <c r="OA45" s="12"/>
      <c r="OB45" s="12"/>
      <c r="OC45" s="12"/>
      <c r="OD45" s="12"/>
      <c r="OE45" s="12"/>
      <c r="OF45" s="12"/>
      <c r="OG45" s="12"/>
      <c r="OH45" s="12"/>
      <c r="OI45" s="12"/>
      <c r="OJ45" s="12"/>
      <c r="OK45" s="12"/>
      <c r="OL45" s="12"/>
      <c r="OM45" s="12"/>
      <c r="ON45" s="12"/>
      <c r="OO45" s="12"/>
      <c r="OP45" s="12"/>
      <c r="OQ45" s="12"/>
      <c r="OR45" s="12"/>
      <c r="OS45" s="12"/>
      <c r="OT45" s="12"/>
      <c r="OU45" s="12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2"/>
      <c r="PG45" s="12"/>
      <c r="PH45" s="12"/>
      <c r="PI45" s="12"/>
      <c r="PJ45" s="12"/>
      <c r="PK45" s="12"/>
      <c r="PL45" s="12"/>
      <c r="PM45" s="12"/>
      <c r="PN45" s="12"/>
      <c r="PO45" s="12"/>
      <c r="PP45" s="12"/>
      <c r="PQ45" s="12"/>
      <c r="PR45" s="12"/>
      <c r="PS45" s="12"/>
      <c r="PT45" s="12"/>
      <c r="PU45" s="12"/>
      <c r="PV45" s="12"/>
      <c r="PW45" s="12"/>
      <c r="PX45" s="12"/>
      <c r="PY45" s="12"/>
      <c r="PZ45" s="12"/>
      <c r="QA45" s="12"/>
      <c r="QB45" s="12"/>
      <c r="QC45" s="12"/>
      <c r="QD45" s="12"/>
      <c r="QE45" s="12"/>
      <c r="QF45" s="12"/>
      <c r="QG45" s="12"/>
      <c r="QH45" s="12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2"/>
      <c r="QT45" s="12"/>
      <c r="QU45" s="12"/>
      <c r="QV45" s="12"/>
      <c r="QW45" s="12"/>
      <c r="QX45" s="12"/>
      <c r="QY45" s="12"/>
      <c r="QZ45" s="12"/>
      <c r="RA45" s="12"/>
      <c r="RB45" s="12"/>
      <c r="RC45" s="12"/>
      <c r="RD45" s="12"/>
      <c r="RE45" s="12"/>
      <c r="RF45" s="12"/>
      <c r="RG45" s="12"/>
      <c r="RH45" s="12"/>
      <c r="RI45" s="12"/>
      <c r="RJ45" s="12"/>
      <c r="RK45" s="12"/>
      <c r="RL45" s="12"/>
      <c r="RM45" s="12"/>
      <c r="RN45" s="12"/>
      <c r="RO45" s="12"/>
      <c r="RP45" s="12"/>
      <c r="RQ45" s="12"/>
      <c r="RR45" s="12"/>
      <c r="RS45" s="12"/>
      <c r="RT45" s="12"/>
      <c r="RU45" s="12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2"/>
      <c r="SG45" s="12"/>
      <c r="SH45" s="12"/>
      <c r="SI45" s="12"/>
      <c r="SJ45" s="12"/>
      <c r="SK45" s="12"/>
      <c r="SL45" s="12"/>
      <c r="SM45" s="12"/>
      <c r="SN45" s="12"/>
      <c r="SO45" s="12"/>
      <c r="SP45" s="12"/>
      <c r="SQ45" s="12"/>
      <c r="SR45" s="12"/>
      <c r="SS45" s="12"/>
      <c r="ST45" s="12"/>
      <c r="SU45" s="12"/>
      <c r="SV45" s="12"/>
      <c r="SW45" s="12"/>
      <c r="SX45" s="12"/>
      <c r="SY45" s="12"/>
      <c r="SZ45" s="12"/>
      <c r="TA45" s="12"/>
      <c r="TB45" s="12"/>
      <c r="TC45" s="12"/>
      <c r="TD45" s="12"/>
      <c r="TE45" s="12"/>
      <c r="TF45" s="12"/>
      <c r="TG45" s="12"/>
      <c r="TH45" s="12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2"/>
      <c r="TT45" s="12"/>
      <c r="TU45" s="12"/>
      <c r="TV45" s="12"/>
      <c r="TW45" s="12"/>
      <c r="TX45" s="12"/>
      <c r="TY45" s="12"/>
      <c r="TZ45" s="12"/>
      <c r="UA45" s="12"/>
      <c r="UB45" s="12"/>
      <c r="UC45" s="12"/>
      <c r="UD45" s="12"/>
      <c r="UE45" s="12"/>
      <c r="UF45" s="12"/>
      <c r="UG45" s="12"/>
      <c r="UH45" s="12"/>
      <c r="UI45" s="12"/>
      <c r="UJ45" s="12"/>
      <c r="UK45" s="12"/>
      <c r="UL45" s="12"/>
      <c r="UM45" s="12"/>
      <c r="UN45" s="12"/>
      <c r="UO45" s="12"/>
      <c r="UP45" s="12"/>
      <c r="UQ45" s="12"/>
      <c r="UR45" s="12"/>
      <c r="US45" s="12"/>
      <c r="UT45" s="12"/>
      <c r="UU45" s="12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2"/>
      <c r="VG45" s="12"/>
      <c r="VH45" s="12"/>
      <c r="VI45" s="12"/>
      <c r="VJ45" s="12"/>
      <c r="VK45" s="12"/>
      <c r="VL45" s="12"/>
      <c r="VM45" s="12"/>
      <c r="VN45" s="12"/>
      <c r="VO45" s="12"/>
      <c r="VP45" s="12"/>
      <c r="VQ45" s="12"/>
      <c r="VR45" s="12"/>
      <c r="VS45" s="12"/>
      <c r="VT45" s="12"/>
      <c r="VU45" s="12"/>
      <c r="VV45" s="12"/>
      <c r="VW45" s="12"/>
      <c r="VX45" s="12"/>
      <c r="VY45" s="12"/>
      <c r="VZ45" s="12"/>
      <c r="WA45" s="12"/>
      <c r="WB45" s="12"/>
      <c r="WC45" s="12"/>
      <c r="WD45" s="12"/>
      <c r="WE45" s="12"/>
      <c r="WF45" s="12"/>
      <c r="WG45" s="12"/>
      <c r="WH45" s="12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2"/>
      <c r="WT45" s="12"/>
      <c r="WU45" s="12"/>
      <c r="WV45" s="12"/>
      <c r="WW45" s="12"/>
      <c r="WX45" s="12"/>
      <c r="WY45" s="12"/>
      <c r="WZ45" s="12"/>
      <c r="XA45" s="12"/>
      <c r="XB45" s="12"/>
      <c r="XC45" s="12"/>
      <c r="XD45" s="12"/>
      <c r="XE45" s="12"/>
      <c r="XF45" s="12"/>
      <c r="XG45" s="12"/>
      <c r="XH45" s="12"/>
      <c r="XI45" s="12"/>
      <c r="XJ45" s="12"/>
      <c r="XK45" s="12"/>
      <c r="XL45" s="12"/>
      <c r="XM45" s="12"/>
      <c r="XN45" s="12"/>
      <c r="XO45" s="12"/>
      <c r="XP45" s="12"/>
      <c r="XQ45" s="12"/>
      <c r="XR45" s="12"/>
      <c r="XS45" s="12"/>
      <c r="XT45" s="12"/>
      <c r="XU45" s="12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2"/>
      <c r="YG45" s="12"/>
      <c r="YH45" s="12"/>
      <c r="YI45" s="12"/>
      <c r="YJ45" s="12"/>
      <c r="YK45" s="12"/>
      <c r="YL45" s="12"/>
      <c r="YM45" s="12"/>
      <c r="YN45" s="12"/>
      <c r="YO45" s="12"/>
      <c r="YP45" s="12"/>
      <c r="YQ45" s="12"/>
      <c r="YR45" s="12"/>
      <c r="YS45" s="12"/>
      <c r="YT45" s="12"/>
      <c r="YU45" s="12"/>
      <c r="YV45" s="12"/>
      <c r="YW45" s="12"/>
      <c r="YX45" s="12"/>
      <c r="YY45" s="12"/>
      <c r="YZ45" s="12"/>
      <c r="ZA45" s="12"/>
      <c r="ZB45" s="12"/>
      <c r="ZC45" s="12"/>
      <c r="ZD45" s="12"/>
      <c r="ZE45" s="12"/>
      <c r="ZF45" s="12"/>
      <c r="ZG45" s="12"/>
      <c r="ZH45" s="12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2"/>
      <c r="ZT45" s="12"/>
      <c r="ZU45" s="12"/>
      <c r="ZV45" s="12"/>
      <c r="ZW45" s="12"/>
      <c r="ZX45" s="12"/>
      <c r="ZY45" s="12"/>
      <c r="ZZ45" s="12"/>
      <c r="AAA45" s="12"/>
      <c r="AAB45" s="12"/>
      <c r="AAC45" s="12"/>
      <c r="AAD45" s="12"/>
      <c r="AAE45" s="12"/>
      <c r="AAF45" s="12"/>
      <c r="AAG45" s="12"/>
      <c r="AAH45" s="12"/>
      <c r="AAI45" s="12"/>
      <c r="AAJ45" s="12"/>
      <c r="AAK45" s="12"/>
      <c r="AAL45" s="12"/>
      <c r="AAM45" s="12"/>
      <c r="AAN45" s="12"/>
      <c r="AAO45" s="12"/>
      <c r="AAP45" s="12"/>
      <c r="AAQ45" s="12"/>
      <c r="AAR45" s="12"/>
      <c r="AAS45" s="12"/>
      <c r="AAT45" s="12"/>
      <c r="AAU45" s="12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2"/>
      <c r="ABG45" s="12"/>
      <c r="ABH45" s="12"/>
      <c r="ABI45" s="12"/>
      <c r="ABJ45" s="12"/>
      <c r="ABK45" s="12"/>
      <c r="ABL45" s="12"/>
      <c r="ABM45" s="12"/>
      <c r="ABN45" s="12"/>
      <c r="ABO45" s="12"/>
      <c r="ABP45" s="12"/>
      <c r="ABQ45" s="12"/>
      <c r="ABR45" s="12"/>
      <c r="ABS45" s="12"/>
      <c r="ABT45" s="12"/>
      <c r="ABU45" s="12"/>
      <c r="ABV45" s="12"/>
      <c r="ABW45" s="12"/>
      <c r="ABX45" s="12"/>
      <c r="ABY45" s="12"/>
      <c r="ABZ45" s="12"/>
      <c r="ACA45" s="12"/>
      <c r="ACB45" s="12"/>
      <c r="ACC45" s="12"/>
      <c r="ACD45" s="12"/>
      <c r="ACE45" s="12"/>
      <c r="ACF45" s="12"/>
      <c r="ACG45" s="12"/>
      <c r="ACH45" s="12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2"/>
      <c r="ACT45" s="12"/>
      <c r="ACU45" s="12"/>
      <c r="ACV45" s="12"/>
      <c r="ACW45" s="12"/>
      <c r="ACX45" s="12"/>
      <c r="ACY45" s="12"/>
      <c r="ACZ45" s="12"/>
      <c r="ADA45" s="12"/>
      <c r="ADB45" s="12"/>
      <c r="ADC45" s="12"/>
      <c r="ADD45" s="12"/>
      <c r="ADE45" s="12"/>
      <c r="ADF45" s="12"/>
      <c r="ADG45" s="12"/>
      <c r="ADH45" s="12"/>
      <c r="ADI45" s="12"/>
      <c r="ADJ45" s="12"/>
      <c r="ADK45" s="12"/>
      <c r="ADL45" s="12"/>
      <c r="ADM45" s="12"/>
      <c r="ADN45" s="12"/>
      <c r="ADO45" s="12"/>
      <c r="ADP45" s="12"/>
      <c r="ADQ45" s="12"/>
      <c r="ADR45" s="12"/>
      <c r="ADS45" s="12"/>
      <c r="ADT45" s="12"/>
      <c r="ADU45" s="12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2"/>
      <c r="AEG45" s="12"/>
      <c r="AEH45" s="12"/>
      <c r="AEI45" s="12"/>
      <c r="AEJ45" s="12"/>
      <c r="AEK45" s="12"/>
      <c r="AEL45" s="12"/>
      <c r="AEM45" s="12"/>
      <c r="AEN45" s="12"/>
      <c r="AEO45" s="12"/>
      <c r="AEP45" s="12"/>
      <c r="AEQ45" s="12"/>
      <c r="AER45" s="12"/>
      <c r="AES45" s="12"/>
      <c r="AET45" s="12"/>
      <c r="AEU45" s="12"/>
      <c r="AEV45" s="12"/>
    </row>
    <row r="46" spans="1:828" s="27" customFormat="1" ht="18" x14ac:dyDescent="0.2">
      <c r="A46" s="28"/>
      <c r="C46" s="23"/>
      <c r="D46" s="29"/>
      <c r="E46" s="23"/>
      <c r="F46" s="23"/>
      <c r="G46" s="23"/>
      <c r="H46" s="30"/>
      <c r="I46" s="23"/>
      <c r="J46" s="29"/>
      <c r="K46" s="30"/>
      <c r="L46" s="23"/>
      <c r="M46" s="29"/>
      <c r="N46" s="47"/>
      <c r="O46" s="12"/>
      <c r="P46" s="48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2"/>
      <c r="JG46" s="12"/>
      <c r="JH46" s="12"/>
      <c r="JI46" s="12"/>
      <c r="JJ46" s="12"/>
      <c r="JK46" s="12"/>
      <c r="JL46" s="12"/>
      <c r="JM46" s="12"/>
      <c r="JN46" s="12"/>
      <c r="JO46" s="12"/>
      <c r="JP46" s="12"/>
      <c r="JQ46" s="12"/>
      <c r="JR46" s="12"/>
      <c r="JS46" s="12"/>
      <c r="JT46" s="12"/>
      <c r="JU46" s="12"/>
      <c r="JV46" s="12"/>
      <c r="JW46" s="12"/>
      <c r="JX46" s="12"/>
      <c r="JY46" s="12"/>
      <c r="JZ46" s="12"/>
      <c r="KA46" s="12"/>
      <c r="KB46" s="12"/>
      <c r="KC46" s="12"/>
      <c r="KD46" s="12"/>
      <c r="KE46" s="12"/>
      <c r="KF46" s="12"/>
      <c r="KG46" s="12"/>
      <c r="KH46" s="12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2"/>
      <c r="KT46" s="12"/>
      <c r="KU46" s="12"/>
      <c r="KV46" s="12"/>
      <c r="KW46" s="12"/>
      <c r="KX46" s="12"/>
      <c r="KY46" s="12"/>
      <c r="KZ46" s="12"/>
      <c r="LA46" s="12"/>
      <c r="LB46" s="12"/>
      <c r="LC46" s="12"/>
      <c r="LD46" s="12"/>
      <c r="LE46" s="12"/>
      <c r="LF46" s="12"/>
      <c r="LG46" s="12"/>
      <c r="LH46" s="12"/>
      <c r="LI46" s="12"/>
      <c r="LJ46" s="12"/>
      <c r="LK46" s="12"/>
      <c r="LL46" s="12"/>
      <c r="LM46" s="12"/>
      <c r="LN46" s="12"/>
      <c r="LO46" s="12"/>
      <c r="LP46" s="12"/>
      <c r="LQ46" s="12"/>
      <c r="LR46" s="12"/>
      <c r="LS46" s="12"/>
      <c r="LT46" s="12"/>
      <c r="LU46" s="12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2"/>
      <c r="MG46" s="12"/>
      <c r="MH46" s="12"/>
      <c r="MI46" s="12"/>
      <c r="MJ46" s="12"/>
      <c r="MK46" s="12"/>
      <c r="ML46" s="12"/>
      <c r="MM46" s="12"/>
      <c r="MN46" s="12"/>
      <c r="MO46" s="12"/>
      <c r="MP46" s="12"/>
      <c r="MQ46" s="12"/>
      <c r="MR46" s="12"/>
      <c r="MS46" s="12"/>
      <c r="MT46" s="12"/>
      <c r="MU46" s="12"/>
      <c r="MV46" s="12"/>
      <c r="MW46" s="12"/>
      <c r="MX46" s="12"/>
      <c r="MY46" s="12"/>
      <c r="MZ46" s="12"/>
      <c r="NA46" s="12"/>
      <c r="NB46" s="12"/>
      <c r="NC46" s="12"/>
      <c r="ND46" s="12"/>
      <c r="NE46" s="12"/>
      <c r="NF46" s="12"/>
      <c r="NG46" s="12"/>
      <c r="NH46" s="12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2"/>
      <c r="NT46" s="12"/>
      <c r="NU46" s="12"/>
      <c r="NV46" s="12"/>
      <c r="NW46" s="12"/>
      <c r="NX46" s="12"/>
      <c r="NY46" s="12"/>
      <c r="NZ46" s="12"/>
      <c r="OA46" s="12"/>
      <c r="OB46" s="12"/>
      <c r="OC46" s="12"/>
      <c r="OD46" s="12"/>
      <c r="OE46" s="12"/>
      <c r="OF46" s="12"/>
      <c r="OG46" s="12"/>
      <c r="OH46" s="12"/>
      <c r="OI46" s="12"/>
      <c r="OJ46" s="12"/>
      <c r="OK46" s="12"/>
      <c r="OL46" s="12"/>
      <c r="OM46" s="12"/>
      <c r="ON46" s="12"/>
      <c r="OO46" s="12"/>
      <c r="OP46" s="12"/>
      <c r="OQ46" s="12"/>
      <c r="OR46" s="12"/>
      <c r="OS46" s="12"/>
      <c r="OT46" s="12"/>
      <c r="OU46" s="12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2"/>
      <c r="PG46" s="12"/>
      <c r="PH46" s="12"/>
      <c r="PI46" s="12"/>
      <c r="PJ46" s="12"/>
      <c r="PK46" s="12"/>
      <c r="PL46" s="12"/>
      <c r="PM46" s="12"/>
      <c r="PN46" s="12"/>
      <c r="PO46" s="12"/>
      <c r="PP46" s="12"/>
      <c r="PQ46" s="12"/>
      <c r="PR46" s="12"/>
      <c r="PS46" s="12"/>
      <c r="PT46" s="12"/>
      <c r="PU46" s="12"/>
      <c r="PV46" s="12"/>
      <c r="PW46" s="12"/>
      <c r="PX46" s="12"/>
      <c r="PY46" s="12"/>
      <c r="PZ46" s="12"/>
      <c r="QA46" s="12"/>
      <c r="QB46" s="12"/>
      <c r="QC46" s="12"/>
      <c r="QD46" s="12"/>
      <c r="QE46" s="12"/>
      <c r="QF46" s="12"/>
      <c r="QG46" s="12"/>
      <c r="QH46" s="12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2"/>
      <c r="QT46" s="12"/>
      <c r="QU46" s="12"/>
      <c r="QV46" s="12"/>
      <c r="QW46" s="12"/>
      <c r="QX46" s="12"/>
      <c r="QY46" s="12"/>
      <c r="QZ46" s="12"/>
      <c r="RA46" s="12"/>
      <c r="RB46" s="12"/>
      <c r="RC46" s="12"/>
      <c r="RD46" s="12"/>
      <c r="RE46" s="12"/>
      <c r="RF46" s="12"/>
      <c r="RG46" s="12"/>
      <c r="RH46" s="12"/>
      <c r="RI46" s="12"/>
      <c r="RJ46" s="12"/>
      <c r="RK46" s="12"/>
      <c r="RL46" s="12"/>
      <c r="RM46" s="12"/>
      <c r="RN46" s="12"/>
      <c r="RO46" s="12"/>
      <c r="RP46" s="12"/>
      <c r="RQ46" s="12"/>
      <c r="RR46" s="12"/>
      <c r="RS46" s="12"/>
      <c r="RT46" s="12"/>
      <c r="RU46" s="12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2"/>
      <c r="SG46" s="12"/>
      <c r="SH46" s="12"/>
      <c r="SI46" s="12"/>
      <c r="SJ46" s="12"/>
      <c r="SK46" s="12"/>
      <c r="SL46" s="12"/>
      <c r="SM46" s="12"/>
      <c r="SN46" s="12"/>
      <c r="SO46" s="12"/>
      <c r="SP46" s="12"/>
      <c r="SQ46" s="12"/>
      <c r="SR46" s="12"/>
      <c r="SS46" s="12"/>
      <c r="ST46" s="12"/>
      <c r="SU46" s="12"/>
      <c r="SV46" s="12"/>
      <c r="SW46" s="12"/>
      <c r="SX46" s="12"/>
      <c r="SY46" s="12"/>
      <c r="SZ46" s="12"/>
      <c r="TA46" s="12"/>
      <c r="TB46" s="12"/>
      <c r="TC46" s="12"/>
      <c r="TD46" s="12"/>
      <c r="TE46" s="12"/>
      <c r="TF46" s="12"/>
      <c r="TG46" s="12"/>
      <c r="TH46" s="12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2"/>
      <c r="TT46" s="12"/>
      <c r="TU46" s="12"/>
      <c r="TV46" s="12"/>
      <c r="TW46" s="12"/>
      <c r="TX46" s="12"/>
      <c r="TY46" s="12"/>
      <c r="TZ46" s="12"/>
      <c r="UA46" s="12"/>
      <c r="UB46" s="12"/>
      <c r="UC46" s="12"/>
      <c r="UD46" s="12"/>
      <c r="UE46" s="12"/>
      <c r="UF46" s="12"/>
      <c r="UG46" s="12"/>
      <c r="UH46" s="12"/>
      <c r="UI46" s="12"/>
      <c r="UJ46" s="12"/>
      <c r="UK46" s="12"/>
      <c r="UL46" s="12"/>
      <c r="UM46" s="12"/>
      <c r="UN46" s="12"/>
      <c r="UO46" s="12"/>
      <c r="UP46" s="12"/>
      <c r="UQ46" s="12"/>
      <c r="UR46" s="12"/>
      <c r="US46" s="12"/>
      <c r="UT46" s="12"/>
      <c r="UU46" s="12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2"/>
      <c r="VG46" s="12"/>
      <c r="VH46" s="12"/>
      <c r="VI46" s="12"/>
      <c r="VJ46" s="12"/>
      <c r="VK46" s="12"/>
      <c r="VL46" s="12"/>
      <c r="VM46" s="12"/>
      <c r="VN46" s="12"/>
      <c r="VO46" s="12"/>
      <c r="VP46" s="12"/>
      <c r="VQ46" s="12"/>
      <c r="VR46" s="12"/>
      <c r="VS46" s="12"/>
      <c r="VT46" s="12"/>
      <c r="VU46" s="12"/>
      <c r="VV46" s="12"/>
      <c r="VW46" s="12"/>
      <c r="VX46" s="12"/>
      <c r="VY46" s="12"/>
      <c r="VZ46" s="12"/>
      <c r="WA46" s="12"/>
      <c r="WB46" s="12"/>
      <c r="WC46" s="12"/>
      <c r="WD46" s="12"/>
      <c r="WE46" s="12"/>
      <c r="WF46" s="12"/>
      <c r="WG46" s="12"/>
      <c r="WH46" s="12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2"/>
      <c r="WT46" s="12"/>
      <c r="WU46" s="12"/>
      <c r="WV46" s="12"/>
      <c r="WW46" s="12"/>
      <c r="WX46" s="12"/>
      <c r="WY46" s="12"/>
      <c r="WZ46" s="12"/>
      <c r="XA46" s="12"/>
      <c r="XB46" s="12"/>
      <c r="XC46" s="12"/>
      <c r="XD46" s="12"/>
      <c r="XE46" s="12"/>
      <c r="XF46" s="12"/>
      <c r="XG46" s="12"/>
      <c r="XH46" s="12"/>
      <c r="XI46" s="12"/>
      <c r="XJ46" s="12"/>
      <c r="XK46" s="12"/>
      <c r="XL46" s="12"/>
      <c r="XM46" s="12"/>
      <c r="XN46" s="12"/>
      <c r="XO46" s="12"/>
      <c r="XP46" s="12"/>
      <c r="XQ46" s="12"/>
      <c r="XR46" s="12"/>
      <c r="XS46" s="12"/>
      <c r="XT46" s="12"/>
      <c r="XU46" s="12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2"/>
      <c r="YG46" s="12"/>
      <c r="YH46" s="12"/>
      <c r="YI46" s="12"/>
      <c r="YJ46" s="12"/>
      <c r="YK46" s="12"/>
      <c r="YL46" s="12"/>
      <c r="YM46" s="12"/>
      <c r="YN46" s="12"/>
      <c r="YO46" s="12"/>
      <c r="YP46" s="12"/>
      <c r="YQ46" s="12"/>
      <c r="YR46" s="12"/>
      <c r="YS46" s="12"/>
      <c r="YT46" s="12"/>
      <c r="YU46" s="12"/>
      <c r="YV46" s="12"/>
      <c r="YW46" s="12"/>
      <c r="YX46" s="12"/>
      <c r="YY46" s="12"/>
      <c r="YZ46" s="12"/>
      <c r="ZA46" s="12"/>
      <c r="ZB46" s="12"/>
      <c r="ZC46" s="12"/>
      <c r="ZD46" s="12"/>
      <c r="ZE46" s="12"/>
      <c r="ZF46" s="12"/>
      <c r="ZG46" s="12"/>
      <c r="ZH46" s="12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2"/>
      <c r="ZT46" s="12"/>
      <c r="ZU46" s="12"/>
      <c r="ZV46" s="12"/>
      <c r="ZW46" s="12"/>
      <c r="ZX46" s="12"/>
      <c r="ZY46" s="12"/>
      <c r="ZZ46" s="12"/>
      <c r="AAA46" s="12"/>
      <c r="AAB46" s="12"/>
      <c r="AAC46" s="12"/>
      <c r="AAD46" s="12"/>
      <c r="AAE46" s="12"/>
      <c r="AAF46" s="12"/>
      <c r="AAG46" s="12"/>
      <c r="AAH46" s="12"/>
      <c r="AAI46" s="12"/>
      <c r="AAJ46" s="12"/>
      <c r="AAK46" s="12"/>
      <c r="AAL46" s="12"/>
      <c r="AAM46" s="12"/>
      <c r="AAN46" s="12"/>
      <c r="AAO46" s="12"/>
      <c r="AAP46" s="12"/>
      <c r="AAQ46" s="12"/>
      <c r="AAR46" s="12"/>
      <c r="AAS46" s="12"/>
      <c r="AAT46" s="12"/>
      <c r="AAU46" s="12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2"/>
      <c r="ABG46" s="12"/>
      <c r="ABH46" s="12"/>
      <c r="ABI46" s="12"/>
      <c r="ABJ46" s="12"/>
      <c r="ABK46" s="12"/>
      <c r="ABL46" s="12"/>
      <c r="ABM46" s="12"/>
      <c r="ABN46" s="12"/>
      <c r="ABO46" s="12"/>
      <c r="ABP46" s="12"/>
      <c r="ABQ46" s="12"/>
      <c r="ABR46" s="12"/>
      <c r="ABS46" s="12"/>
      <c r="ABT46" s="12"/>
      <c r="ABU46" s="12"/>
      <c r="ABV46" s="12"/>
      <c r="ABW46" s="12"/>
      <c r="ABX46" s="12"/>
      <c r="ABY46" s="12"/>
      <c r="ABZ46" s="12"/>
      <c r="ACA46" s="12"/>
      <c r="ACB46" s="12"/>
      <c r="ACC46" s="12"/>
      <c r="ACD46" s="12"/>
      <c r="ACE46" s="12"/>
      <c r="ACF46" s="12"/>
      <c r="ACG46" s="12"/>
      <c r="ACH46" s="12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2"/>
      <c r="ACT46" s="12"/>
      <c r="ACU46" s="12"/>
      <c r="ACV46" s="12"/>
      <c r="ACW46" s="12"/>
      <c r="ACX46" s="12"/>
      <c r="ACY46" s="12"/>
      <c r="ACZ46" s="12"/>
      <c r="ADA46" s="12"/>
      <c r="ADB46" s="12"/>
      <c r="ADC46" s="12"/>
      <c r="ADD46" s="12"/>
      <c r="ADE46" s="12"/>
      <c r="ADF46" s="12"/>
      <c r="ADG46" s="12"/>
      <c r="ADH46" s="12"/>
      <c r="ADI46" s="12"/>
      <c r="ADJ46" s="12"/>
      <c r="ADK46" s="12"/>
      <c r="ADL46" s="12"/>
      <c r="ADM46" s="12"/>
      <c r="ADN46" s="12"/>
      <c r="ADO46" s="12"/>
      <c r="ADP46" s="12"/>
      <c r="ADQ46" s="12"/>
      <c r="ADR46" s="12"/>
      <c r="ADS46" s="12"/>
      <c r="ADT46" s="12"/>
      <c r="ADU46" s="12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2"/>
      <c r="AEG46" s="12"/>
      <c r="AEH46" s="12"/>
      <c r="AEI46" s="12"/>
      <c r="AEJ46" s="12"/>
      <c r="AEK46" s="12"/>
      <c r="AEL46" s="12"/>
      <c r="AEM46" s="12"/>
      <c r="AEN46" s="12"/>
      <c r="AEO46" s="12"/>
      <c r="AEP46" s="12"/>
      <c r="AEQ46" s="12"/>
      <c r="AER46" s="12"/>
      <c r="AES46" s="12"/>
      <c r="AET46" s="12"/>
      <c r="AEU46" s="12"/>
      <c r="AEV46" s="12"/>
    </row>
    <row r="47" spans="1:828" s="61" customFormat="1" ht="19" x14ac:dyDescent="0.2">
      <c r="A47" s="53" t="s">
        <v>43</v>
      </c>
      <c r="B47" s="54">
        <f t="shared" si="0"/>
        <v>2.0981955518254302E-3</v>
      </c>
      <c r="C47" s="55" t="s">
        <v>44</v>
      </c>
      <c r="D47" s="56">
        <v>260</v>
      </c>
      <c r="E47" s="57">
        <f>SUM(G47:G49)/D74</f>
        <v>4.7451499402821262E-3</v>
      </c>
      <c r="F47" s="58" t="s">
        <v>73</v>
      </c>
      <c r="G47" s="58">
        <v>542</v>
      </c>
      <c r="H47" s="59">
        <f>J47/J74</f>
        <v>3.9527647362807726E-3</v>
      </c>
      <c r="I47" s="55" t="s">
        <v>45</v>
      </c>
      <c r="J47" s="56">
        <v>719</v>
      </c>
      <c r="K47" s="59">
        <f>SUM(M47:M49)/J74</f>
        <v>9.9616268458146869E-3</v>
      </c>
      <c r="L47" s="55" t="s">
        <v>46</v>
      </c>
      <c r="M47" s="56">
        <v>1590</v>
      </c>
      <c r="N47" s="47"/>
      <c r="O47" s="12"/>
      <c r="P47" s="48"/>
      <c r="Q47" s="12"/>
      <c r="R47" s="12"/>
      <c r="S47" s="12"/>
      <c r="T47" s="12"/>
      <c r="U47" s="12"/>
      <c r="V47" s="12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  <c r="DN47" s="60"/>
      <c r="DO47" s="60"/>
      <c r="DP47" s="60"/>
      <c r="DQ47" s="60"/>
      <c r="DR47" s="60"/>
      <c r="DS47" s="60"/>
      <c r="DT47" s="60"/>
      <c r="DU47" s="60"/>
      <c r="DV47" s="60"/>
      <c r="DW47" s="60"/>
      <c r="DX47" s="60"/>
      <c r="DY47" s="60"/>
      <c r="DZ47" s="60"/>
      <c r="EA47" s="60"/>
      <c r="EB47" s="60"/>
      <c r="EC47" s="60"/>
      <c r="ED47" s="60"/>
      <c r="EE47" s="60"/>
      <c r="EF47" s="60"/>
      <c r="EG47" s="60"/>
      <c r="EH47" s="60"/>
      <c r="EI47" s="60"/>
      <c r="EJ47" s="60"/>
      <c r="EK47" s="60"/>
      <c r="EL47" s="60"/>
      <c r="EM47" s="60"/>
      <c r="EN47" s="60"/>
      <c r="EO47" s="60"/>
      <c r="EP47" s="60"/>
      <c r="EQ47" s="60"/>
      <c r="ER47" s="60"/>
      <c r="ES47" s="60"/>
      <c r="ET47" s="60"/>
      <c r="EU47" s="60"/>
      <c r="EV47" s="60"/>
      <c r="EW47" s="60"/>
      <c r="EX47" s="60"/>
      <c r="EY47" s="60"/>
      <c r="EZ47" s="60"/>
      <c r="FA47" s="60"/>
      <c r="FB47" s="60"/>
      <c r="FC47" s="60"/>
      <c r="FD47" s="60"/>
      <c r="FE47" s="60"/>
      <c r="FF47" s="60"/>
      <c r="FG47" s="60"/>
      <c r="FH47" s="60"/>
      <c r="FI47" s="60"/>
      <c r="FJ47" s="60"/>
      <c r="FK47" s="60"/>
      <c r="FL47" s="60"/>
      <c r="FM47" s="60"/>
      <c r="FN47" s="60"/>
      <c r="FO47" s="60"/>
      <c r="FP47" s="60"/>
      <c r="FQ47" s="60"/>
      <c r="FR47" s="60"/>
      <c r="FS47" s="60"/>
      <c r="FT47" s="60"/>
      <c r="FU47" s="60"/>
      <c r="FV47" s="60"/>
      <c r="FW47" s="60"/>
      <c r="FX47" s="60"/>
      <c r="FY47" s="60"/>
      <c r="FZ47" s="60"/>
      <c r="GA47" s="60"/>
      <c r="GB47" s="60"/>
      <c r="GC47" s="60"/>
      <c r="GD47" s="60"/>
      <c r="GE47" s="60"/>
      <c r="GF47" s="60"/>
      <c r="GG47" s="60"/>
      <c r="GH47" s="60"/>
      <c r="GI47" s="60"/>
      <c r="GJ47" s="60"/>
      <c r="GK47" s="60"/>
      <c r="GL47" s="60"/>
      <c r="GM47" s="60"/>
      <c r="GN47" s="60"/>
      <c r="GO47" s="60"/>
      <c r="GP47" s="60"/>
      <c r="GQ47" s="60"/>
      <c r="GR47" s="60"/>
      <c r="GS47" s="60"/>
      <c r="GT47" s="60"/>
      <c r="GU47" s="60"/>
      <c r="GV47" s="60"/>
      <c r="GW47" s="60"/>
      <c r="GX47" s="60"/>
      <c r="GY47" s="60"/>
      <c r="GZ47" s="60"/>
      <c r="HA47" s="60"/>
      <c r="HB47" s="60"/>
      <c r="HC47" s="60"/>
      <c r="HD47" s="60"/>
      <c r="HE47" s="60"/>
      <c r="HF47" s="60"/>
      <c r="HG47" s="60"/>
      <c r="HH47" s="60"/>
      <c r="HI47" s="60"/>
      <c r="HJ47" s="60"/>
      <c r="HK47" s="60"/>
      <c r="HL47" s="60"/>
      <c r="HM47" s="60"/>
      <c r="HN47" s="60"/>
      <c r="HO47" s="60"/>
      <c r="HP47" s="60"/>
      <c r="HQ47" s="60"/>
      <c r="HR47" s="60"/>
      <c r="HS47" s="60"/>
      <c r="HT47" s="60"/>
      <c r="HU47" s="60"/>
      <c r="HV47" s="60"/>
      <c r="HW47" s="60"/>
      <c r="HX47" s="60"/>
      <c r="HY47" s="60"/>
      <c r="HZ47" s="60"/>
      <c r="IA47" s="60"/>
      <c r="IB47" s="60"/>
      <c r="IC47" s="60"/>
      <c r="ID47" s="60"/>
      <c r="IE47" s="60"/>
      <c r="IF47" s="60"/>
      <c r="IG47" s="60"/>
      <c r="IH47" s="60"/>
      <c r="II47" s="60"/>
      <c r="IJ47" s="60"/>
      <c r="IK47" s="60"/>
      <c r="IL47" s="60"/>
      <c r="IM47" s="60"/>
      <c r="IN47" s="60"/>
      <c r="IO47" s="60"/>
      <c r="IP47" s="60"/>
      <c r="IQ47" s="60"/>
      <c r="IR47" s="60"/>
      <c r="IS47" s="60"/>
      <c r="IT47" s="60"/>
      <c r="IU47" s="60"/>
      <c r="IV47" s="60"/>
      <c r="IW47" s="60"/>
      <c r="IX47" s="60"/>
      <c r="IY47" s="60"/>
      <c r="IZ47" s="60"/>
      <c r="JA47" s="60"/>
      <c r="JB47" s="60"/>
      <c r="JC47" s="60"/>
      <c r="JD47" s="60"/>
      <c r="JE47" s="60"/>
      <c r="JF47" s="60"/>
      <c r="JG47" s="60"/>
      <c r="JH47" s="60"/>
      <c r="JI47" s="60"/>
      <c r="JJ47" s="60"/>
      <c r="JK47" s="60"/>
      <c r="JL47" s="60"/>
      <c r="JM47" s="60"/>
      <c r="JN47" s="60"/>
      <c r="JO47" s="60"/>
      <c r="JP47" s="60"/>
      <c r="JQ47" s="60"/>
      <c r="JR47" s="60"/>
      <c r="JS47" s="60"/>
      <c r="JT47" s="60"/>
      <c r="JU47" s="60"/>
      <c r="JV47" s="60"/>
      <c r="JW47" s="60"/>
      <c r="JX47" s="60"/>
      <c r="JY47" s="60"/>
      <c r="JZ47" s="60"/>
      <c r="KA47" s="60"/>
      <c r="KB47" s="60"/>
      <c r="KC47" s="60"/>
      <c r="KD47" s="60"/>
      <c r="KE47" s="60"/>
      <c r="KF47" s="60"/>
      <c r="KG47" s="60"/>
      <c r="KH47" s="60"/>
      <c r="KI47" s="60"/>
      <c r="KJ47" s="60"/>
      <c r="KK47" s="60"/>
      <c r="KL47" s="60"/>
      <c r="KM47" s="60"/>
      <c r="KN47" s="60"/>
      <c r="KO47" s="60"/>
      <c r="KP47" s="60"/>
      <c r="KQ47" s="60"/>
      <c r="KR47" s="60"/>
      <c r="KS47" s="60"/>
      <c r="KT47" s="60"/>
      <c r="KU47" s="60"/>
      <c r="KV47" s="60"/>
      <c r="KW47" s="60"/>
      <c r="KX47" s="60"/>
      <c r="KY47" s="60"/>
      <c r="KZ47" s="60"/>
      <c r="LA47" s="60"/>
      <c r="LB47" s="60"/>
      <c r="LC47" s="60"/>
      <c r="LD47" s="60"/>
      <c r="LE47" s="60"/>
      <c r="LF47" s="60"/>
      <c r="LG47" s="60"/>
      <c r="LH47" s="60"/>
      <c r="LI47" s="60"/>
      <c r="LJ47" s="60"/>
      <c r="LK47" s="60"/>
      <c r="LL47" s="60"/>
      <c r="LM47" s="60"/>
      <c r="LN47" s="60"/>
      <c r="LO47" s="60"/>
      <c r="LP47" s="60"/>
      <c r="LQ47" s="60"/>
      <c r="LR47" s="60"/>
      <c r="LS47" s="60"/>
      <c r="LT47" s="60"/>
      <c r="LU47" s="60"/>
      <c r="LV47" s="60"/>
      <c r="LW47" s="60"/>
      <c r="LX47" s="60"/>
      <c r="LY47" s="60"/>
      <c r="LZ47" s="60"/>
      <c r="MA47" s="60"/>
      <c r="MB47" s="60"/>
      <c r="MC47" s="60"/>
      <c r="MD47" s="60"/>
      <c r="ME47" s="60"/>
      <c r="MF47" s="60"/>
      <c r="MG47" s="60"/>
      <c r="MH47" s="60"/>
      <c r="MI47" s="60"/>
      <c r="MJ47" s="60"/>
      <c r="MK47" s="60"/>
      <c r="ML47" s="60"/>
      <c r="MM47" s="60"/>
      <c r="MN47" s="60"/>
      <c r="MO47" s="60"/>
      <c r="MP47" s="60"/>
      <c r="MQ47" s="60"/>
      <c r="MR47" s="60"/>
      <c r="MS47" s="60"/>
      <c r="MT47" s="60"/>
      <c r="MU47" s="60"/>
      <c r="MV47" s="60"/>
      <c r="MW47" s="60"/>
      <c r="MX47" s="60"/>
      <c r="MY47" s="60"/>
      <c r="MZ47" s="60"/>
      <c r="NA47" s="60"/>
      <c r="NB47" s="60"/>
      <c r="NC47" s="60"/>
      <c r="ND47" s="60"/>
      <c r="NE47" s="60"/>
      <c r="NF47" s="60"/>
      <c r="NG47" s="60"/>
      <c r="NH47" s="60"/>
      <c r="NI47" s="60"/>
      <c r="NJ47" s="60"/>
      <c r="NK47" s="60"/>
      <c r="NL47" s="60"/>
      <c r="NM47" s="60"/>
      <c r="NN47" s="60"/>
      <c r="NO47" s="60"/>
      <c r="NP47" s="60"/>
      <c r="NQ47" s="60"/>
      <c r="NR47" s="60"/>
      <c r="NS47" s="60"/>
      <c r="NT47" s="60"/>
      <c r="NU47" s="60"/>
      <c r="NV47" s="60"/>
      <c r="NW47" s="60"/>
      <c r="NX47" s="60"/>
      <c r="NY47" s="60"/>
      <c r="NZ47" s="60"/>
      <c r="OA47" s="60"/>
      <c r="OB47" s="60"/>
      <c r="OC47" s="60"/>
      <c r="OD47" s="60"/>
      <c r="OE47" s="60"/>
      <c r="OF47" s="60"/>
      <c r="OG47" s="60"/>
      <c r="OH47" s="60"/>
      <c r="OI47" s="60"/>
      <c r="OJ47" s="60"/>
      <c r="OK47" s="60"/>
      <c r="OL47" s="60"/>
      <c r="OM47" s="60"/>
      <c r="ON47" s="60"/>
      <c r="OO47" s="60"/>
      <c r="OP47" s="60"/>
      <c r="OQ47" s="60"/>
      <c r="OR47" s="60"/>
      <c r="OS47" s="60"/>
      <c r="OT47" s="60"/>
      <c r="OU47" s="60"/>
      <c r="OV47" s="60"/>
      <c r="OW47" s="60"/>
      <c r="OX47" s="60"/>
      <c r="OY47" s="60"/>
      <c r="OZ47" s="60"/>
      <c r="PA47" s="60"/>
      <c r="PB47" s="60"/>
      <c r="PC47" s="60"/>
      <c r="PD47" s="60"/>
      <c r="PE47" s="60"/>
      <c r="PF47" s="60"/>
      <c r="PG47" s="60"/>
      <c r="PH47" s="60"/>
      <c r="PI47" s="60"/>
      <c r="PJ47" s="60"/>
      <c r="PK47" s="60"/>
      <c r="PL47" s="60"/>
      <c r="PM47" s="60"/>
      <c r="PN47" s="60"/>
      <c r="PO47" s="60"/>
      <c r="PP47" s="60"/>
      <c r="PQ47" s="60"/>
      <c r="PR47" s="60"/>
      <c r="PS47" s="60"/>
      <c r="PT47" s="60"/>
      <c r="PU47" s="60"/>
      <c r="PV47" s="60"/>
      <c r="PW47" s="60"/>
      <c r="PX47" s="60"/>
      <c r="PY47" s="60"/>
      <c r="PZ47" s="60"/>
      <c r="QA47" s="60"/>
      <c r="QB47" s="60"/>
      <c r="QC47" s="60"/>
      <c r="QD47" s="60"/>
      <c r="QE47" s="60"/>
      <c r="QF47" s="60"/>
      <c r="QG47" s="60"/>
      <c r="QH47" s="60"/>
      <c r="QI47" s="60"/>
      <c r="QJ47" s="60"/>
      <c r="QK47" s="60"/>
      <c r="QL47" s="60"/>
      <c r="QM47" s="60"/>
      <c r="QN47" s="60"/>
      <c r="QO47" s="60"/>
      <c r="QP47" s="60"/>
      <c r="QQ47" s="60"/>
      <c r="QR47" s="60"/>
      <c r="QS47" s="60"/>
      <c r="QT47" s="60"/>
      <c r="QU47" s="60"/>
      <c r="QV47" s="60"/>
      <c r="QW47" s="60"/>
      <c r="QX47" s="60"/>
      <c r="QY47" s="60"/>
      <c r="QZ47" s="60"/>
      <c r="RA47" s="60"/>
      <c r="RB47" s="60"/>
      <c r="RC47" s="60"/>
      <c r="RD47" s="60"/>
      <c r="RE47" s="60"/>
      <c r="RF47" s="60"/>
      <c r="RG47" s="60"/>
      <c r="RH47" s="60"/>
      <c r="RI47" s="60"/>
      <c r="RJ47" s="60"/>
      <c r="RK47" s="60"/>
      <c r="RL47" s="60"/>
      <c r="RM47" s="60"/>
      <c r="RN47" s="60"/>
      <c r="RO47" s="60"/>
      <c r="RP47" s="60"/>
      <c r="RQ47" s="60"/>
      <c r="RR47" s="60"/>
      <c r="RS47" s="60"/>
      <c r="RT47" s="60"/>
      <c r="RU47" s="60"/>
      <c r="RV47" s="60"/>
      <c r="RW47" s="60"/>
      <c r="RX47" s="60"/>
      <c r="RY47" s="60"/>
      <c r="RZ47" s="60"/>
      <c r="SA47" s="60"/>
      <c r="SB47" s="60"/>
      <c r="SC47" s="60"/>
      <c r="SD47" s="60"/>
      <c r="SE47" s="60"/>
      <c r="SF47" s="60"/>
      <c r="SG47" s="60"/>
      <c r="SH47" s="60"/>
      <c r="SI47" s="60"/>
      <c r="SJ47" s="60"/>
      <c r="SK47" s="60"/>
      <c r="SL47" s="60"/>
      <c r="SM47" s="60"/>
      <c r="SN47" s="60"/>
      <c r="SO47" s="60"/>
      <c r="SP47" s="60"/>
      <c r="SQ47" s="60"/>
      <c r="SR47" s="60"/>
      <c r="SS47" s="60"/>
      <c r="ST47" s="60"/>
      <c r="SU47" s="60"/>
      <c r="SV47" s="60"/>
      <c r="SW47" s="60"/>
      <c r="SX47" s="60"/>
      <c r="SY47" s="60"/>
      <c r="SZ47" s="60"/>
      <c r="TA47" s="60"/>
      <c r="TB47" s="60"/>
      <c r="TC47" s="60"/>
      <c r="TD47" s="60"/>
      <c r="TE47" s="60"/>
      <c r="TF47" s="60"/>
      <c r="TG47" s="60"/>
      <c r="TH47" s="60"/>
      <c r="TI47" s="60"/>
      <c r="TJ47" s="60"/>
      <c r="TK47" s="60"/>
      <c r="TL47" s="60"/>
      <c r="TM47" s="60"/>
      <c r="TN47" s="60"/>
      <c r="TO47" s="60"/>
      <c r="TP47" s="60"/>
      <c r="TQ47" s="60"/>
      <c r="TR47" s="60"/>
      <c r="TS47" s="60"/>
      <c r="TT47" s="60"/>
      <c r="TU47" s="60"/>
      <c r="TV47" s="60"/>
      <c r="TW47" s="60"/>
      <c r="TX47" s="60"/>
      <c r="TY47" s="60"/>
      <c r="TZ47" s="60"/>
      <c r="UA47" s="60"/>
      <c r="UB47" s="60"/>
      <c r="UC47" s="60"/>
      <c r="UD47" s="60"/>
      <c r="UE47" s="60"/>
      <c r="UF47" s="60"/>
      <c r="UG47" s="60"/>
      <c r="UH47" s="60"/>
      <c r="UI47" s="60"/>
      <c r="UJ47" s="60"/>
      <c r="UK47" s="60"/>
      <c r="UL47" s="60"/>
      <c r="UM47" s="60"/>
      <c r="UN47" s="60"/>
      <c r="UO47" s="60"/>
      <c r="UP47" s="60"/>
      <c r="UQ47" s="60"/>
      <c r="UR47" s="60"/>
      <c r="US47" s="60"/>
      <c r="UT47" s="60"/>
      <c r="UU47" s="60"/>
      <c r="UV47" s="60"/>
      <c r="UW47" s="60"/>
      <c r="UX47" s="60"/>
      <c r="UY47" s="60"/>
      <c r="UZ47" s="60"/>
      <c r="VA47" s="60"/>
      <c r="VB47" s="60"/>
      <c r="VC47" s="60"/>
      <c r="VD47" s="60"/>
      <c r="VE47" s="60"/>
      <c r="VF47" s="60"/>
      <c r="VG47" s="60"/>
      <c r="VH47" s="60"/>
      <c r="VI47" s="60"/>
      <c r="VJ47" s="60"/>
      <c r="VK47" s="60"/>
      <c r="VL47" s="60"/>
      <c r="VM47" s="60"/>
      <c r="VN47" s="60"/>
      <c r="VO47" s="60"/>
      <c r="VP47" s="60"/>
      <c r="VQ47" s="60"/>
      <c r="VR47" s="60"/>
      <c r="VS47" s="60"/>
      <c r="VT47" s="60"/>
      <c r="VU47" s="60"/>
      <c r="VV47" s="60"/>
      <c r="VW47" s="60"/>
      <c r="VX47" s="60"/>
      <c r="VY47" s="60"/>
      <c r="VZ47" s="60"/>
      <c r="WA47" s="60"/>
      <c r="WB47" s="60"/>
      <c r="WC47" s="60"/>
      <c r="WD47" s="60"/>
      <c r="WE47" s="60"/>
      <c r="WF47" s="60"/>
      <c r="WG47" s="60"/>
      <c r="WH47" s="60"/>
      <c r="WI47" s="60"/>
      <c r="WJ47" s="60"/>
      <c r="WK47" s="60"/>
      <c r="WL47" s="60"/>
      <c r="WM47" s="60"/>
      <c r="WN47" s="60"/>
      <c r="WO47" s="60"/>
      <c r="WP47" s="60"/>
      <c r="WQ47" s="60"/>
      <c r="WR47" s="60"/>
      <c r="WS47" s="60"/>
      <c r="WT47" s="60"/>
      <c r="WU47" s="60"/>
      <c r="WV47" s="60"/>
      <c r="WW47" s="60"/>
      <c r="WX47" s="60"/>
      <c r="WY47" s="60"/>
      <c r="WZ47" s="60"/>
      <c r="XA47" s="60"/>
      <c r="XB47" s="60"/>
      <c r="XC47" s="60"/>
      <c r="XD47" s="60"/>
      <c r="XE47" s="60"/>
      <c r="XF47" s="60"/>
      <c r="XG47" s="60"/>
      <c r="XH47" s="60"/>
      <c r="XI47" s="60"/>
      <c r="XJ47" s="60"/>
      <c r="XK47" s="60"/>
      <c r="XL47" s="60"/>
      <c r="XM47" s="60"/>
      <c r="XN47" s="60"/>
      <c r="XO47" s="60"/>
      <c r="XP47" s="60"/>
      <c r="XQ47" s="60"/>
      <c r="XR47" s="60"/>
      <c r="XS47" s="60"/>
      <c r="XT47" s="60"/>
      <c r="XU47" s="60"/>
      <c r="XV47" s="60"/>
      <c r="XW47" s="60"/>
      <c r="XX47" s="60"/>
      <c r="XY47" s="60"/>
      <c r="XZ47" s="60"/>
      <c r="YA47" s="60"/>
      <c r="YB47" s="60"/>
      <c r="YC47" s="60"/>
      <c r="YD47" s="60"/>
      <c r="YE47" s="60"/>
      <c r="YF47" s="60"/>
      <c r="YG47" s="60"/>
      <c r="YH47" s="60"/>
      <c r="YI47" s="60"/>
      <c r="YJ47" s="60"/>
      <c r="YK47" s="60"/>
      <c r="YL47" s="60"/>
      <c r="YM47" s="60"/>
      <c r="YN47" s="60"/>
      <c r="YO47" s="60"/>
      <c r="YP47" s="60"/>
      <c r="YQ47" s="60"/>
      <c r="YR47" s="60"/>
      <c r="YS47" s="60"/>
      <c r="YT47" s="60"/>
      <c r="YU47" s="60"/>
      <c r="YV47" s="60"/>
      <c r="YW47" s="60"/>
      <c r="YX47" s="60"/>
      <c r="YY47" s="60"/>
      <c r="YZ47" s="60"/>
      <c r="ZA47" s="60"/>
      <c r="ZB47" s="60"/>
      <c r="ZC47" s="60"/>
      <c r="ZD47" s="60"/>
      <c r="ZE47" s="60"/>
      <c r="ZF47" s="60"/>
      <c r="ZG47" s="60"/>
      <c r="ZH47" s="60"/>
      <c r="ZI47" s="60"/>
      <c r="ZJ47" s="60"/>
      <c r="ZK47" s="60"/>
      <c r="ZL47" s="60"/>
      <c r="ZM47" s="60"/>
      <c r="ZN47" s="60"/>
      <c r="ZO47" s="60"/>
      <c r="ZP47" s="60"/>
      <c r="ZQ47" s="60"/>
      <c r="ZR47" s="60"/>
      <c r="ZS47" s="60"/>
      <c r="ZT47" s="60"/>
      <c r="ZU47" s="60"/>
      <c r="ZV47" s="60"/>
      <c r="ZW47" s="60"/>
      <c r="ZX47" s="60"/>
      <c r="ZY47" s="60"/>
      <c r="ZZ47" s="60"/>
      <c r="AAA47" s="60"/>
      <c r="AAB47" s="60"/>
      <c r="AAC47" s="60"/>
      <c r="AAD47" s="60"/>
      <c r="AAE47" s="60"/>
      <c r="AAF47" s="60"/>
      <c r="AAG47" s="60"/>
      <c r="AAH47" s="60"/>
      <c r="AAI47" s="60"/>
      <c r="AAJ47" s="60"/>
      <c r="AAK47" s="60"/>
      <c r="AAL47" s="60"/>
      <c r="AAM47" s="60"/>
      <c r="AAN47" s="60"/>
      <c r="AAO47" s="60"/>
      <c r="AAP47" s="60"/>
      <c r="AAQ47" s="60"/>
      <c r="AAR47" s="60"/>
      <c r="AAS47" s="60"/>
      <c r="AAT47" s="60"/>
      <c r="AAU47" s="60"/>
      <c r="AAV47" s="60"/>
      <c r="AAW47" s="60"/>
      <c r="AAX47" s="60"/>
      <c r="AAY47" s="60"/>
      <c r="AAZ47" s="60"/>
      <c r="ABA47" s="60"/>
      <c r="ABB47" s="60"/>
      <c r="ABC47" s="60"/>
      <c r="ABD47" s="60"/>
      <c r="ABE47" s="60"/>
      <c r="ABF47" s="60"/>
      <c r="ABG47" s="60"/>
      <c r="ABH47" s="60"/>
      <c r="ABI47" s="60"/>
      <c r="ABJ47" s="60"/>
      <c r="ABK47" s="60"/>
      <c r="ABL47" s="60"/>
      <c r="ABM47" s="60"/>
      <c r="ABN47" s="60"/>
      <c r="ABO47" s="60"/>
      <c r="ABP47" s="60"/>
      <c r="ABQ47" s="60"/>
      <c r="ABR47" s="60"/>
      <c r="ABS47" s="60"/>
      <c r="ABT47" s="60"/>
      <c r="ABU47" s="60"/>
      <c r="ABV47" s="60"/>
      <c r="ABW47" s="60"/>
      <c r="ABX47" s="60"/>
      <c r="ABY47" s="60"/>
      <c r="ABZ47" s="60"/>
      <c r="ACA47" s="60"/>
      <c r="ACB47" s="60"/>
      <c r="ACC47" s="60"/>
      <c r="ACD47" s="60"/>
      <c r="ACE47" s="60"/>
      <c r="ACF47" s="60"/>
      <c r="ACG47" s="60"/>
      <c r="ACH47" s="60"/>
      <c r="ACI47" s="60"/>
      <c r="ACJ47" s="60"/>
      <c r="ACK47" s="60"/>
      <c r="ACL47" s="60"/>
      <c r="ACM47" s="60"/>
      <c r="ACN47" s="60"/>
      <c r="ACO47" s="60"/>
      <c r="ACP47" s="60"/>
      <c r="ACQ47" s="60"/>
      <c r="ACR47" s="60"/>
      <c r="ACS47" s="60"/>
      <c r="ACT47" s="60"/>
      <c r="ACU47" s="60"/>
      <c r="ACV47" s="60"/>
      <c r="ACW47" s="60"/>
      <c r="ACX47" s="60"/>
      <c r="ACY47" s="60"/>
      <c r="ACZ47" s="60"/>
      <c r="ADA47" s="60"/>
      <c r="ADB47" s="60"/>
      <c r="ADC47" s="60"/>
      <c r="ADD47" s="60"/>
      <c r="ADE47" s="60"/>
      <c r="ADF47" s="60"/>
      <c r="ADG47" s="60"/>
      <c r="ADH47" s="60"/>
      <c r="ADI47" s="60"/>
      <c r="ADJ47" s="60"/>
      <c r="ADK47" s="60"/>
      <c r="ADL47" s="60"/>
      <c r="ADM47" s="60"/>
      <c r="ADN47" s="60"/>
      <c r="ADO47" s="60"/>
      <c r="ADP47" s="60"/>
      <c r="ADQ47" s="60"/>
      <c r="ADR47" s="60"/>
      <c r="ADS47" s="60"/>
      <c r="ADT47" s="60"/>
      <c r="ADU47" s="60"/>
      <c r="ADV47" s="60"/>
      <c r="ADW47" s="60"/>
      <c r="ADX47" s="60"/>
      <c r="ADY47" s="60"/>
      <c r="ADZ47" s="60"/>
      <c r="AEA47" s="60"/>
      <c r="AEB47" s="60"/>
      <c r="AEC47" s="60"/>
      <c r="AED47" s="60"/>
      <c r="AEE47" s="60"/>
      <c r="AEF47" s="60"/>
      <c r="AEG47" s="60"/>
      <c r="AEH47" s="60"/>
      <c r="AEI47" s="60"/>
      <c r="AEJ47" s="60"/>
      <c r="AEK47" s="60"/>
      <c r="AEL47" s="60"/>
      <c r="AEM47" s="60"/>
      <c r="AEN47" s="60"/>
      <c r="AEO47" s="60"/>
      <c r="AEP47" s="60"/>
      <c r="AEQ47" s="60"/>
      <c r="AER47" s="60"/>
      <c r="AES47" s="60"/>
      <c r="AET47" s="60"/>
      <c r="AEU47" s="60"/>
      <c r="AEV47" s="60"/>
    </row>
    <row r="48" spans="1:828" s="27" customFormat="1" ht="18" x14ac:dyDescent="0.2">
      <c r="A48" s="62"/>
      <c r="D48" s="29"/>
      <c r="E48" s="23"/>
      <c r="F48" s="27" t="s">
        <v>47</v>
      </c>
      <c r="G48" s="29">
        <v>30</v>
      </c>
      <c r="H48" s="30"/>
      <c r="K48" s="30"/>
      <c r="L48" s="23" t="s">
        <v>47</v>
      </c>
      <c r="M48" s="29">
        <v>145</v>
      </c>
      <c r="N48" s="47"/>
      <c r="O48" s="12"/>
      <c r="P48" s="48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2"/>
      <c r="JG48" s="12"/>
      <c r="JH48" s="12"/>
      <c r="JI48" s="12"/>
      <c r="JJ48" s="12"/>
      <c r="JK48" s="12"/>
      <c r="JL48" s="12"/>
      <c r="JM48" s="12"/>
      <c r="JN48" s="12"/>
      <c r="JO48" s="12"/>
      <c r="JP48" s="12"/>
      <c r="JQ48" s="12"/>
      <c r="JR48" s="12"/>
      <c r="JS48" s="12"/>
      <c r="JT48" s="12"/>
      <c r="JU48" s="12"/>
      <c r="JV48" s="12"/>
      <c r="JW48" s="12"/>
      <c r="JX48" s="12"/>
      <c r="JY48" s="12"/>
      <c r="JZ48" s="12"/>
      <c r="KA48" s="12"/>
      <c r="KB48" s="12"/>
      <c r="KC48" s="12"/>
      <c r="KD48" s="12"/>
      <c r="KE48" s="12"/>
      <c r="KF48" s="12"/>
      <c r="KG48" s="12"/>
      <c r="KH48" s="12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2"/>
      <c r="KT48" s="12"/>
      <c r="KU48" s="12"/>
      <c r="KV48" s="12"/>
      <c r="KW48" s="12"/>
      <c r="KX48" s="12"/>
      <c r="KY48" s="12"/>
      <c r="KZ48" s="12"/>
      <c r="LA48" s="12"/>
      <c r="LB48" s="12"/>
      <c r="LC48" s="12"/>
      <c r="LD48" s="12"/>
      <c r="LE48" s="12"/>
      <c r="LF48" s="12"/>
      <c r="LG48" s="12"/>
      <c r="LH48" s="12"/>
      <c r="LI48" s="12"/>
      <c r="LJ48" s="12"/>
      <c r="LK48" s="12"/>
      <c r="LL48" s="12"/>
      <c r="LM48" s="12"/>
      <c r="LN48" s="12"/>
      <c r="LO48" s="12"/>
      <c r="LP48" s="12"/>
      <c r="LQ48" s="12"/>
      <c r="LR48" s="12"/>
      <c r="LS48" s="12"/>
      <c r="LT48" s="12"/>
      <c r="LU48" s="12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2"/>
      <c r="MG48" s="12"/>
      <c r="MH48" s="12"/>
      <c r="MI48" s="12"/>
      <c r="MJ48" s="12"/>
      <c r="MK48" s="12"/>
      <c r="ML48" s="12"/>
      <c r="MM48" s="12"/>
      <c r="MN48" s="12"/>
      <c r="MO48" s="12"/>
      <c r="MP48" s="12"/>
      <c r="MQ48" s="12"/>
      <c r="MR48" s="12"/>
      <c r="MS48" s="12"/>
      <c r="MT48" s="12"/>
      <c r="MU48" s="12"/>
      <c r="MV48" s="12"/>
      <c r="MW48" s="12"/>
      <c r="MX48" s="12"/>
      <c r="MY48" s="12"/>
      <c r="MZ48" s="12"/>
      <c r="NA48" s="12"/>
      <c r="NB48" s="12"/>
      <c r="NC48" s="12"/>
      <c r="ND48" s="12"/>
      <c r="NE48" s="12"/>
      <c r="NF48" s="12"/>
      <c r="NG48" s="12"/>
      <c r="NH48" s="12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2"/>
      <c r="NT48" s="12"/>
      <c r="NU48" s="12"/>
      <c r="NV48" s="12"/>
      <c r="NW48" s="12"/>
      <c r="NX48" s="12"/>
      <c r="NY48" s="12"/>
      <c r="NZ48" s="12"/>
      <c r="OA48" s="12"/>
      <c r="OB48" s="12"/>
      <c r="OC48" s="12"/>
      <c r="OD48" s="12"/>
      <c r="OE48" s="12"/>
      <c r="OF48" s="12"/>
      <c r="OG48" s="12"/>
      <c r="OH48" s="12"/>
      <c r="OI48" s="12"/>
      <c r="OJ48" s="12"/>
      <c r="OK48" s="12"/>
      <c r="OL48" s="12"/>
      <c r="OM48" s="12"/>
      <c r="ON48" s="12"/>
      <c r="OO48" s="12"/>
      <c r="OP48" s="12"/>
      <c r="OQ48" s="12"/>
      <c r="OR48" s="12"/>
      <c r="OS48" s="12"/>
      <c r="OT48" s="12"/>
      <c r="OU48" s="12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2"/>
      <c r="PG48" s="12"/>
      <c r="PH48" s="12"/>
      <c r="PI48" s="12"/>
      <c r="PJ48" s="12"/>
      <c r="PK48" s="12"/>
      <c r="PL48" s="12"/>
      <c r="PM48" s="12"/>
      <c r="PN48" s="12"/>
      <c r="PO48" s="12"/>
      <c r="PP48" s="12"/>
      <c r="PQ48" s="12"/>
      <c r="PR48" s="12"/>
      <c r="PS48" s="12"/>
      <c r="PT48" s="12"/>
      <c r="PU48" s="12"/>
      <c r="PV48" s="12"/>
      <c r="PW48" s="12"/>
      <c r="PX48" s="12"/>
      <c r="PY48" s="12"/>
      <c r="PZ48" s="12"/>
      <c r="QA48" s="12"/>
      <c r="QB48" s="12"/>
      <c r="QC48" s="12"/>
      <c r="QD48" s="12"/>
      <c r="QE48" s="12"/>
      <c r="QF48" s="12"/>
      <c r="QG48" s="12"/>
      <c r="QH48" s="12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2"/>
      <c r="QT48" s="12"/>
      <c r="QU48" s="12"/>
      <c r="QV48" s="12"/>
      <c r="QW48" s="12"/>
      <c r="QX48" s="12"/>
      <c r="QY48" s="12"/>
      <c r="QZ48" s="12"/>
      <c r="RA48" s="12"/>
      <c r="RB48" s="12"/>
      <c r="RC48" s="12"/>
      <c r="RD48" s="12"/>
      <c r="RE48" s="12"/>
      <c r="RF48" s="12"/>
      <c r="RG48" s="12"/>
      <c r="RH48" s="12"/>
      <c r="RI48" s="12"/>
      <c r="RJ48" s="12"/>
      <c r="RK48" s="12"/>
      <c r="RL48" s="12"/>
      <c r="RM48" s="12"/>
      <c r="RN48" s="12"/>
      <c r="RO48" s="12"/>
      <c r="RP48" s="12"/>
      <c r="RQ48" s="12"/>
      <c r="RR48" s="12"/>
      <c r="RS48" s="12"/>
      <c r="RT48" s="12"/>
      <c r="RU48" s="12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2"/>
      <c r="SG48" s="12"/>
      <c r="SH48" s="12"/>
      <c r="SI48" s="12"/>
      <c r="SJ48" s="12"/>
      <c r="SK48" s="12"/>
      <c r="SL48" s="12"/>
      <c r="SM48" s="12"/>
      <c r="SN48" s="12"/>
      <c r="SO48" s="12"/>
      <c r="SP48" s="12"/>
      <c r="SQ48" s="12"/>
      <c r="SR48" s="12"/>
      <c r="SS48" s="12"/>
      <c r="ST48" s="12"/>
      <c r="SU48" s="12"/>
      <c r="SV48" s="12"/>
      <c r="SW48" s="12"/>
      <c r="SX48" s="12"/>
      <c r="SY48" s="12"/>
      <c r="SZ48" s="12"/>
      <c r="TA48" s="12"/>
      <c r="TB48" s="12"/>
      <c r="TC48" s="12"/>
      <c r="TD48" s="12"/>
      <c r="TE48" s="12"/>
      <c r="TF48" s="12"/>
      <c r="TG48" s="12"/>
      <c r="TH48" s="12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2"/>
      <c r="TT48" s="12"/>
      <c r="TU48" s="12"/>
      <c r="TV48" s="12"/>
      <c r="TW48" s="12"/>
      <c r="TX48" s="12"/>
      <c r="TY48" s="12"/>
      <c r="TZ48" s="12"/>
      <c r="UA48" s="12"/>
      <c r="UB48" s="12"/>
      <c r="UC48" s="12"/>
      <c r="UD48" s="12"/>
      <c r="UE48" s="12"/>
      <c r="UF48" s="12"/>
      <c r="UG48" s="12"/>
      <c r="UH48" s="12"/>
      <c r="UI48" s="12"/>
      <c r="UJ48" s="12"/>
      <c r="UK48" s="12"/>
      <c r="UL48" s="12"/>
      <c r="UM48" s="12"/>
      <c r="UN48" s="12"/>
      <c r="UO48" s="12"/>
      <c r="UP48" s="12"/>
      <c r="UQ48" s="12"/>
      <c r="UR48" s="12"/>
      <c r="US48" s="12"/>
      <c r="UT48" s="12"/>
      <c r="UU48" s="12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2"/>
      <c r="VG48" s="12"/>
      <c r="VH48" s="12"/>
      <c r="VI48" s="12"/>
      <c r="VJ48" s="12"/>
      <c r="VK48" s="12"/>
      <c r="VL48" s="12"/>
      <c r="VM48" s="12"/>
      <c r="VN48" s="12"/>
      <c r="VO48" s="12"/>
      <c r="VP48" s="12"/>
      <c r="VQ48" s="12"/>
      <c r="VR48" s="12"/>
      <c r="VS48" s="12"/>
      <c r="VT48" s="12"/>
      <c r="VU48" s="12"/>
      <c r="VV48" s="12"/>
      <c r="VW48" s="12"/>
      <c r="VX48" s="12"/>
      <c r="VY48" s="12"/>
      <c r="VZ48" s="12"/>
      <c r="WA48" s="12"/>
      <c r="WB48" s="12"/>
      <c r="WC48" s="12"/>
      <c r="WD48" s="12"/>
      <c r="WE48" s="12"/>
      <c r="WF48" s="12"/>
      <c r="WG48" s="12"/>
      <c r="WH48" s="12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2"/>
      <c r="WT48" s="12"/>
      <c r="WU48" s="12"/>
      <c r="WV48" s="12"/>
      <c r="WW48" s="12"/>
      <c r="WX48" s="12"/>
      <c r="WY48" s="12"/>
      <c r="WZ48" s="12"/>
      <c r="XA48" s="12"/>
      <c r="XB48" s="12"/>
      <c r="XC48" s="12"/>
      <c r="XD48" s="12"/>
      <c r="XE48" s="12"/>
      <c r="XF48" s="12"/>
      <c r="XG48" s="12"/>
      <c r="XH48" s="12"/>
      <c r="XI48" s="12"/>
      <c r="XJ48" s="12"/>
      <c r="XK48" s="12"/>
      <c r="XL48" s="12"/>
      <c r="XM48" s="12"/>
      <c r="XN48" s="12"/>
      <c r="XO48" s="12"/>
      <c r="XP48" s="12"/>
      <c r="XQ48" s="12"/>
      <c r="XR48" s="12"/>
      <c r="XS48" s="12"/>
      <c r="XT48" s="12"/>
      <c r="XU48" s="12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2"/>
      <c r="YG48" s="12"/>
      <c r="YH48" s="12"/>
      <c r="YI48" s="12"/>
      <c r="YJ48" s="12"/>
      <c r="YK48" s="12"/>
      <c r="YL48" s="12"/>
      <c r="YM48" s="12"/>
      <c r="YN48" s="12"/>
      <c r="YO48" s="12"/>
      <c r="YP48" s="12"/>
      <c r="YQ48" s="12"/>
      <c r="YR48" s="12"/>
      <c r="YS48" s="12"/>
      <c r="YT48" s="12"/>
      <c r="YU48" s="12"/>
      <c r="YV48" s="12"/>
      <c r="YW48" s="12"/>
      <c r="YX48" s="12"/>
      <c r="YY48" s="12"/>
      <c r="YZ48" s="12"/>
      <c r="ZA48" s="12"/>
      <c r="ZB48" s="12"/>
      <c r="ZC48" s="12"/>
      <c r="ZD48" s="12"/>
      <c r="ZE48" s="12"/>
      <c r="ZF48" s="12"/>
      <c r="ZG48" s="12"/>
      <c r="ZH48" s="12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2"/>
      <c r="ZT48" s="12"/>
      <c r="ZU48" s="12"/>
      <c r="ZV48" s="12"/>
      <c r="ZW48" s="12"/>
      <c r="ZX48" s="12"/>
      <c r="ZY48" s="12"/>
      <c r="ZZ48" s="12"/>
      <c r="AAA48" s="12"/>
      <c r="AAB48" s="12"/>
      <c r="AAC48" s="12"/>
      <c r="AAD48" s="12"/>
      <c r="AAE48" s="12"/>
      <c r="AAF48" s="12"/>
      <c r="AAG48" s="12"/>
      <c r="AAH48" s="12"/>
      <c r="AAI48" s="12"/>
      <c r="AAJ48" s="12"/>
      <c r="AAK48" s="12"/>
      <c r="AAL48" s="12"/>
      <c r="AAM48" s="12"/>
      <c r="AAN48" s="12"/>
      <c r="AAO48" s="12"/>
      <c r="AAP48" s="12"/>
      <c r="AAQ48" s="12"/>
      <c r="AAR48" s="12"/>
      <c r="AAS48" s="12"/>
      <c r="AAT48" s="12"/>
      <c r="AAU48" s="12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2"/>
      <c r="ABG48" s="12"/>
      <c r="ABH48" s="12"/>
      <c r="ABI48" s="12"/>
      <c r="ABJ48" s="12"/>
      <c r="ABK48" s="12"/>
      <c r="ABL48" s="12"/>
      <c r="ABM48" s="12"/>
      <c r="ABN48" s="12"/>
      <c r="ABO48" s="12"/>
      <c r="ABP48" s="12"/>
      <c r="ABQ48" s="12"/>
      <c r="ABR48" s="12"/>
      <c r="ABS48" s="12"/>
      <c r="ABT48" s="12"/>
      <c r="ABU48" s="12"/>
      <c r="ABV48" s="12"/>
      <c r="ABW48" s="12"/>
      <c r="ABX48" s="12"/>
      <c r="ABY48" s="12"/>
      <c r="ABZ48" s="12"/>
      <c r="ACA48" s="12"/>
      <c r="ACB48" s="12"/>
      <c r="ACC48" s="12"/>
      <c r="ACD48" s="12"/>
      <c r="ACE48" s="12"/>
      <c r="ACF48" s="12"/>
      <c r="ACG48" s="12"/>
      <c r="ACH48" s="12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2"/>
      <c r="ACT48" s="12"/>
      <c r="ACU48" s="12"/>
      <c r="ACV48" s="12"/>
      <c r="ACW48" s="12"/>
      <c r="ACX48" s="12"/>
      <c r="ACY48" s="12"/>
      <c r="ACZ48" s="12"/>
      <c r="ADA48" s="12"/>
      <c r="ADB48" s="12"/>
      <c r="ADC48" s="12"/>
      <c r="ADD48" s="12"/>
      <c r="ADE48" s="12"/>
      <c r="ADF48" s="12"/>
      <c r="ADG48" s="12"/>
      <c r="ADH48" s="12"/>
      <c r="ADI48" s="12"/>
      <c r="ADJ48" s="12"/>
      <c r="ADK48" s="12"/>
      <c r="ADL48" s="12"/>
      <c r="ADM48" s="12"/>
      <c r="ADN48" s="12"/>
      <c r="ADO48" s="12"/>
      <c r="ADP48" s="12"/>
      <c r="ADQ48" s="12"/>
      <c r="ADR48" s="12"/>
      <c r="ADS48" s="12"/>
      <c r="ADT48" s="12"/>
      <c r="ADU48" s="12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2"/>
      <c r="AEG48" s="12"/>
      <c r="AEH48" s="12"/>
      <c r="AEI48" s="12"/>
      <c r="AEJ48" s="12"/>
      <c r="AEK48" s="12"/>
      <c r="AEL48" s="12"/>
      <c r="AEM48" s="12"/>
      <c r="AEN48" s="12"/>
      <c r="AEO48" s="12"/>
      <c r="AEP48" s="12"/>
      <c r="AEQ48" s="12"/>
      <c r="AER48" s="12"/>
      <c r="AES48" s="12"/>
      <c r="AET48" s="12"/>
      <c r="AEU48" s="12"/>
      <c r="AEV48" s="12"/>
    </row>
    <row r="49" spans="1:828" s="27" customFormat="1" ht="18" x14ac:dyDescent="0.2">
      <c r="A49" s="62"/>
      <c r="D49" s="29"/>
      <c r="E49" s="23"/>
      <c r="F49" s="27" t="s">
        <v>75</v>
      </c>
      <c r="G49" s="29">
        <v>16</v>
      </c>
      <c r="H49" s="30"/>
      <c r="K49" s="30"/>
      <c r="L49" s="23" t="s">
        <v>48</v>
      </c>
      <c r="M49" s="29">
        <v>77</v>
      </c>
      <c r="N49" s="47"/>
      <c r="O49" s="12"/>
      <c r="P49" s="48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2"/>
      <c r="JG49" s="12"/>
      <c r="JH49" s="12"/>
      <c r="JI49" s="12"/>
      <c r="JJ49" s="12"/>
      <c r="JK49" s="12"/>
      <c r="JL49" s="12"/>
      <c r="JM49" s="12"/>
      <c r="JN49" s="12"/>
      <c r="JO49" s="12"/>
      <c r="JP49" s="12"/>
      <c r="JQ49" s="12"/>
      <c r="JR49" s="12"/>
      <c r="JS49" s="12"/>
      <c r="JT49" s="12"/>
      <c r="JU49" s="12"/>
      <c r="JV49" s="12"/>
      <c r="JW49" s="12"/>
      <c r="JX49" s="12"/>
      <c r="JY49" s="12"/>
      <c r="JZ49" s="12"/>
      <c r="KA49" s="12"/>
      <c r="KB49" s="12"/>
      <c r="KC49" s="12"/>
      <c r="KD49" s="12"/>
      <c r="KE49" s="12"/>
      <c r="KF49" s="12"/>
      <c r="KG49" s="12"/>
      <c r="KH49" s="12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2"/>
      <c r="KT49" s="12"/>
      <c r="KU49" s="12"/>
      <c r="KV49" s="12"/>
      <c r="KW49" s="12"/>
      <c r="KX49" s="12"/>
      <c r="KY49" s="12"/>
      <c r="KZ49" s="12"/>
      <c r="LA49" s="12"/>
      <c r="LB49" s="12"/>
      <c r="LC49" s="12"/>
      <c r="LD49" s="12"/>
      <c r="LE49" s="12"/>
      <c r="LF49" s="12"/>
      <c r="LG49" s="12"/>
      <c r="LH49" s="12"/>
      <c r="LI49" s="12"/>
      <c r="LJ49" s="12"/>
      <c r="LK49" s="12"/>
      <c r="LL49" s="12"/>
      <c r="LM49" s="12"/>
      <c r="LN49" s="12"/>
      <c r="LO49" s="12"/>
      <c r="LP49" s="12"/>
      <c r="LQ49" s="12"/>
      <c r="LR49" s="12"/>
      <c r="LS49" s="12"/>
      <c r="LT49" s="12"/>
      <c r="LU49" s="12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2"/>
      <c r="MG49" s="12"/>
      <c r="MH49" s="12"/>
      <c r="MI49" s="12"/>
      <c r="MJ49" s="12"/>
      <c r="MK49" s="12"/>
      <c r="ML49" s="12"/>
      <c r="MM49" s="12"/>
      <c r="MN49" s="12"/>
      <c r="MO49" s="12"/>
      <c r="MP49" s="12"/>
      <c r="MQ49" s="12"/>
      <c r="MR49" s="12"/>
      <c r="MS49" s="12"/>
      <c r="MT49" s="12"/>
      <c r="MU49" s="12"/>
      <c r="MV49" s="12"/>
      <c r="MW49" s="12"/>
      <c r="MX49" s="12"/>
      <c r="MY49" s="12"/>
      <c r="MZ49" s="12"/>
      <c r="NA49" s="12"/>
      <c r="NB49" s="12"/>
      <c r="NC49" s="12"/>
      <c r="ND49" s="12"/>
      <c r="NE49" s="12"/>
      <c r="NF49" s="12"/>
      <c r="NG49" s="12"/>
      <c r="NH49" s="12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2"/>
      <c r="NT49" s="12"/>
      <c r="NU49" s="12"/>
      <c r="NV49" s="12"/>
      <c r="NW49" s="12"/>
      <c r="NX49" s="12"/>
      <c r="NY49" s="12"/>
      <c r="NZ49" s="12"/>
      <c r="OA49" s="12"/>
      <c r="OB49" s="12"/>
      <c r="OC49" s="12"/>
      <c r="OD49" s="12"/>
      <c r="OE49" s="12"/>
      <c r="OF49" s="12"/>
      <c r="OG49" s="12"/>
      <c r="OH49" s="12"/>
      <c r="OI49" s="12"/>
      <c r="OJ49" s="12"/>
      <c r="OK49" s="12"/>
      <c r="OL49" s="12"/>
      <c r="OM49" s="12"/>
      <c r="ON49" s="12"/>
      <c r="OO49" s="12"/>
      <c r="OP49" s="12"/>
      <c r="OQ49" s="12"/>
      <c r="OR49" s="12"/>
      <c r="OS49" s="12"/>
      <c r="OT49" s="12"/>
      <c r="OU49" s="12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2"/>
      <c r="PG49" s="12"/>
      <c r="PH49" s="12"/>
      <c r="PI49" s="12"/>
      <c r="PJ49" s="12"/>
      <c r="PK49" s="12"/>
      <c r="PL49" s="12"/>
      <c r="PM49" s="12"/>
      <c r="PN49" s="12"/>
      <c r="PO49" s="12"/>
      <c r="PP49" s="12"/>
      <c r="PQ49" s="12"/>
      <c r="PR49" s="12"/>
      <c r="PS49" s="12"/>
      <c r="PT49" s="12"/>
      <c r="PU49" s="12"/>
      <c r="PV49" s="12"/>
      <c r="PW49" s="12"/>
      <c r="PX49" s="12"/>
      <c r="PY49" s="12"/>
      <c r="PZ49" s="12"/>
      <c r="QA49" s="12"/>
      <c r="QB49" s="12"/>
      <c r="QC49" s="12"/>
      <c r="QD49" s="12"/>
      <c r="QE49" s="12"/>
      <c r="QF49" s="12"/>
      <c r="QG49" s="12"/>
      <c r="QH49" s="12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2"/>
      <c r="QT49" s="12"/>
      <c r="QU49" s="12"/>
      <c r="QV49" s="12"/>
      <c r="QW49" s="12"/>
      <c r="QX49" s="12"/>
      <c r="QY49" s="12"/>
      <c r="QZ49" s="12"/>
      <c r="RA49" s="12"/>
      <c r="RB49" s="12"/>
      <c r="RC49" s="12"/>
      <c r="RD49" s="12"/>
      <c r="RE49" s="12"/>
      <c r="RF49" s="12"/>
      <c r="RG49" s="12"/>
      <c r="RH49" s="12"/>
      <c r="RI49" s="12"/>
      <c r="RJ49" s="12"/>
      <c r="RK49" s="12"/>
      <c r="RL49" s="12"/>
      <c r="RM49" s="12"/>
      <c r="RN49" s="12"/>
      <c r="RO49" s="12"/>
      <c r="RP49" s="12"/>
      <c r="RQ49" s="12"/>
      <c r="RR49" s="12"/>
      <c r="RS49" s="12"/>
      <c r="RT49" s="12"/>
      <c r="RU49" s="12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2"/>
      <c r="SG49" s="12"/>
      <c r="SH49" s="12"/>
      <c r="SI49" s="12"/>
      <c r="SJ49" s="12"/>
      <c r="SK49" s="12"/>
      <c r="SL49" s="12"/>
      <c r="SM49" s="12"/>
      <c r="SN49" s="12"/>
      <c r="SO49" s="12"/>
      <c r="SP49" s="12"/>
      <c r="SQ49" s="12"/>
      <c r="SR49" s="12"/>
      <c r="SS49" s="12"/>
      <c r="ST49" s="12"/>
      <c r="SU49" s="12"/>
      <c r="SV49" s="12"/>
      <c r="SW49" s="12"/>
      <c r="SX49" s="12"/>
      <c r="SY49" s="12"/>
      <c r="SZ49" s="12"/>
      <c r="TA49" s="12"/>
      <c r="TB49" s="12"/>
      <c r="TC49" s="12"/>
      <c r="TD49" s="12"/>
      <c r="TE49" s="12"/>
      <c r="TF49" s="12"/>
      <c r="TG49" s="12"/>
      <c r="TH49" s="12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2"/>
      <c r="TT49" s="12"/>
      <c r="TU49" s="12"/>
      <c r="TV49" s="12"/>
      <c r="TW49" s="12"/>
      <c r="TX49" s="12"/>
      <c r="TY49" s="12"/>
      <c r="TZ49" s="12"/>
      <c r="UA49" s="12"/>
      <c r="UB49" s="12"/>
      <c r="UC49" s="12"/>
      <c r="UD49" s="12"/>
      <c r="UE49" s="12"/>
      <c r="UF49" s="12"/>
      <c r="UG49" s="12"/>
      <c r="UH49" s="12"/>
      <c r="UI49" s="12"/>
      <c r="UJ49" s="12"/>
      <c r="UK49" s="12"/>
      <c r="UL49" s="12"/>
      <c r="UM49" s="12"/>
      <c r="UN49" s="12"/>
      <c r="UO49" s="12"/>
      <c r="UP49" s="12"/>
      <c r="UQ49" s="12"/>
      <c r="UR49" s="12"/>
      <c r="US49" s="12"/>
      <c r="UT49" s="12"/>
      <c r="UU49" s="12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2"/>
      <c r="VG49" s="12"/>
      <c r="VH49" s="12"/>
      <c r="VI49" s="12"/>
      <c r="VJ49" s="12"/>
      <c r="VK49" s="12"/>
      <c r="VL49" s="12"/>
      <c r="VM49" s="12"/>
      <c r="VN49" s="12"/>
      <c r="VO49" s="12"/>
      <c r="VP49" s="12"/>
      <c r="VQ49" s="12"/>
      <c r="VR49" s="12"/>
      <c r="VS49" s="12"/>
      <c r="VT49" s="12"/>
      <c r="VU49" s="12"/>
      <c r="VV49" s="12"/>
      <c r="VW49" s="12"/>
      <c r="VX49" s="12"/>
      <c r="VY49" s="12"/>
      <c r="VZ49" s="12"/>
      <c r="WA49" s="12"/>
      <c r="WB49" s="12"/>
      <c r="WC49" s="12"/>
      <c r="WD49" s="12"/>
      <c r="WE49" s="12"/>
      <c r="WF49" s="12"/>
      <c r="WG49" s="12"/>
      <c r="WH49" s="12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2"/>
      <c r="WT49" s="12"/>
      <c r="WU49" s="12"/>
      <c r="WV49" s="12"/>
      <c r="WW49" s="12"/>
      <c r="WX49" s="12"/>
      <c r="WY49" s="12"/>
      <c r="WZ49" s="12"/>
      <c r="XA49" s="12"/>
      <c r="XB49" s="12"/>
      <c r="XC49" s="12"/>
      <c r="XD49" s="12"/>
      <c r="XE49" s="12"/>
      <c r="XF49" s="12"/>
      <c r="XG49" s="12"/>
      <c r="XH49" s="12"/>
      <c r="XI49" s="12"/>
      <c r="XJ49" s="12"/>
      <c r="XK49" s="12"/>
      <c r="XL49" s="12"/>
      <c r="XM49" s="12"/>
      <c r="XN49" s="12"/>
      <c r="XO49" s="12"/>
      <c r="XP49" s="12"/>
      <c r="XQ49" s="12"/>
      <c r="XR49" s="12"/>
      <c r="XS49" s="12"/>
      <c r="XT49" s="12"/>
      <c r="XU49" s="12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2"/>
      <c r="YG49" s="12"/>
      <c r="YH49" s="12"/>
      <c r="YI49" s="12"/>
      <c r="YJ49" s="12"/>
      <c r="YK49" s="12"/>
      <c r="YL49" s="12"/>
      <c r="YM49" s="12"/>
      <c r="YN49" s="12"/>
      <c r="YO49" s="12"/>
      <c r="YP49" s="12"/>
      <c r="YQ49" s="12"/>
      <c r="YR49" s="12"/>
      <c r="YS49" s="12"/>
      <c r="YT49" s="12"/>
      <c r="YU49" s="12"/>
      <c r="YV49" s="12"/>
      <c r="YW49" s="12"/>
      <c r="YX49" s="12"/>
      <c r="YY49" s="12"/>
      <c r="YZ49" s="12"/>
      <c r="ZA49" s="12"/>
      <c r="ZB49" s="12"/>
      <c r="ZC49" s="12"/>
      <c r="ZD49" s="12"/>
      <c r="ZE49" s="12"/>
      <c r="ZF49" s="12"/>
      <c r="ZG49" s="12"/>
      <c r="ZH49" s="12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2"/>
      <c r="ZT49" s="12"/>
      <c r="ZU49" s="12"/>
      <c r="ZV49" s="12"/>
      <c r="ZW49" s="12"/>
      <c r="ZX49" s="12"/>
      <c r="ZY49" s="12"/>
      <c r="ZZ49" s="12"/>
      <c r="AAA49" s="12"/>
      <c r="AAB49" s="12"/>
      <c r="AAC49" s="12"/>
      <c r="AAD49" s="12"/>
      <c r="AAE49" s="12"/>
      <c r="AAF49" s="12"/>
      <c r="AAG49" s="12"/>
      <c r="AAH49" s="12"/>
      <c r="AAI49" s="12"/>
      <c r="AAJ49" s="12"/>
      <c r="AAK49" s="12"/>
      <c r="AAL49" s="12"/>
      <c r="AAM49" s="12"/>
      <c r="AAN49" s="12"/>
      <c r="AAO49" s="12"/>
      <c r="AAP49" s="12"/>
      <c r="AAQ49" s="12"/>
      <c r="AAR49" s="12"/>
      <c r="AAS49" s="12"/>
      <c r="AAT49" s="12"/>
      <c r="AAU49" s="12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2"/>
      <c r="ABG49" s="12"/>
      <c r="ABH49" s="12"/>
      <c r="ABI49" s="12"/>
      <c r="ABJ49" s="12"/>
      <c r="ABK49" s="12"/>
      <c r="ABL49" s="12"/>
      <c r="ABM49" s="12"/>
      <c r="ABN49" s="12"/>
      <c r="ABO49" s="12"/>
      <c r="ABP49" s="12"/>
      <c r="ABQ49" s="12"/>
      <c r="ABR49" s="12"/>
      <c r="ABS49" s="12"/>
      <c r="ABT49" s="12"/>
      <c r="ABU49" s="12"/>
      <c r="ABV49" s="12"/>
      <c r="ABW49" s="12"/>
      <c r="ABX49" s="12"/>
      <c r="ABY49" s="12"/>
      <c r="ABZ49" s="12"/>
      <c r="ACA49" s="12"/>
      <c r="ACB49" s="12"/>
      <c r="ACC49" s="12"/>
      <c r="ACD49" s="12"/>
      <c r="ACE49" s="12"/>
      <c r="ACF49" s="12"/>
      <c r="ACG49" s="12"/>
      <c r="ACH49" s="12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2"/>
      <c r="ACT49" s="12"/>
      <c r="ACU49" s="12"/>
      <c r="ACV49" s="12"/>
      <c r="ACW49" s="12"/>
      <c r="ACX49" s="12"/>
      <c r="ACY49" s="12"/>
      <c r="ACZ49" s="12"/>
      <c r="ADA49" s="12"/>
      <c r="ADB49" s="12"/>
      <c r="ADC49" s="12"/>
      <c r="ADD49" s="12"/>
      <c r="ADE49" s="12"/>
      <c r="ADF49" s="12"/>
      <c r="ADG49" s="12"/>
      <c r="ADH49" s="12"/>
      <c r="ADI49" s="12"/>
      <c r="ADJ49" s="12"/>
      <c r="ADK49" s="12"/>
      <c r="ADL49" s="12"/>
      <c r="ADM49" s="12"/>
      <c r="ADN49" s="12"/>
      <c r="ADO49" s="12"/>
      <c r="ADP49" s="12"/>
      <c r="ADQ49" s="12"/>
      <c r="ADR49" s="12"/>
      <c r="ADS49" s="12"/>
      <c r="ADT49" s="12"/>
      <c r="ADU49" s="12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2"/>
      <c r="AEG49" s="12"/>
      <c r="AEH49" s="12"/>
      <c r="AEI49" s="12"/>
      <c r="AEJ49" s="12"/>
      <c r="AEK49" s="12"/>
      <c r="AEL49" s="12"/>
      <c r="AEM49" s="12"/>
      <c r="AEN49" s="12"/>
      <c r="AEO49" s="12"/>
      <c r="AEP49" s="12"/>
      <c r="AEQ49" s="12"/>
      <c r="AER49" s="12"/>
      <c r="AES49" s="12"/>
      <c r="AET49" s="12"/>
      <c r="AEU49" s="12"/>
      <c r="AEV49" s="12"/>
    </row>
    <row r="50" spans="1:828" s="27" customFormat="1" ht="18" x14ac:dyDescent="0.2">
      <c r="A50" s="62"/>
      <c r="D50" s="29"/>
      <c r="E50" s="23"/>
      <c r="F50" s="23"/>
      <c r="G50" s="23"/>
      <c r="H50" s="30"/>
      <c r="K50" s="30"/>
      <c r="L50" s="23"/>
      <c r="M50" s="29"/>
      <c r="N50" s="47"/>
      <c r="O50" s="12"/>
      <c r="P50" s="48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2"/>
      <c r="JG50" s="12"/>
      <c r="JH50" s="12"/>
      <c r="JI50" s="12"/>
      <c r="JJ50" s="12"/>
      <c r="JK50" s="12"/>
      <c r="JL50" s="12"/>
      <c r="JM50" s="12"/>
      <c r="JN50" s="12"/>
      <c r="JO50" s="12"/>
      <c r="JP50" s="12"/>
      <c r="JQ50" s="12"/>
      <c r="JR50" s="12"/>
      <c r="JS50" s="12"/>
      <c r="JT50" s="12"/>
      <c r="JU50" s="12"/>
      <c r="JV50" s="12"/>
      <c r="JW50" s="12"/>
      <c r="JX50" s="12"/>
      <c r="JY50" s="12"/>
      <c r="JZ50" s="12"/>
      <c r="KA50" s="12"/>
      <c r="KB50" s="12"/>
      <c r="KC50" s="12"/>
      <c r="KD50" s="12"/>
      <c r="KE50" s="12"/>
      <c r="KF50" s="12"/>
      <c r="KG50" s="12"/>
      <c r="KH50" s="12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2"/>
      <c r="KT50" s="12"/>
      <c r="KU50" s="12"/>
      <c r="KV50" s="12"/>
      <c r="KW50" s="12"/>
      <c r="KX50" s="12"/>
      <c r="KY50" s="12"/>
      <c r="KZ50" s="12"/>
      <c r="LA50" s="12"/>
      <c r="LB50" s="12"/>
      <c r="LC50" s="12"/>
      <c r="LD50" s="12"/>
      <c r="LE50" s="12"/>
      <c r="LF50" s="12"/>
      <c r="LG50" s="12"/>
      <c r="LH50" s="12"/>
      <c r="LI50" s="12"/>
      <c r="LJ50" s="12"/>
      <c r="LK50" s="12"/>
      <c r="LL50" s="12"/>
      <c r="LM50" s="12"/>
      <c r="LN50" s="12"/>
      <c r="LO50" s="12"/>
      <c r="LP50" s="12"/>
      <c r="LQ50" s="12"/>
      <c r="LR50" s="12"/>
      <c r="LS50" s="12"/>
      <c r="LT50" s="12"/>
      <c r="LU50" s="12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2"/>
      <c r="MG50" s="12"/>
      <c r="MH50" s="12"/>
      <c r="MI50" s="12"/>
      <c r="MJ50" s="12"/>
      <c r="MK50" s="12"/>
      <c r="ML50" s="12"/>
      <c r="MM50" s="12"/>
      <c r="MN50" s="12"/>
      <c r="MO50" s="12"/>
      <c r="MP50" s="12"/>
      <c r="MQ50" s="12"/>
      <c r="MR50" s="12"/>
      <c r="MS50" s="12"/>
      <c r="MT50" s="12"/>
      <c r="MU50" s="12"/>
      <c r="MV50" s="12"/>
      <c r="MW50" s="12"/>
      <c r="MX50" s="12"/>
      <c r="MY50" s="12"/>
      <c r="MZ50" s="12"/>
      <c r="NA50" s="12"/>
      <c r="NB50" s="12"/>
      <c r="NC50" s="12"/>
      <c r="ND50" s="12"/>
      <c r="NE50" s="12"/>
      <c r="NF50" s="12"/>
      <c r="NG50" s="12"/>
      <c r="NH50" s="12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2"/>
      <c r="NT50" s="12"/>
      <c r="NU50" s="12"/>
      <c r="NV50" s="12"/>
      <c r="NW50" s="12"/>
      <c r="NX50" s="12"/>
      <c r="NY50" s="12"/>
      <c r="NZ50" s="12"/>
      <c r="OA50" s="12"/>
      <c r="OB50" s="12"/>
      <c r="OC50" s="12"/>
      <c r="OD50" s="12"/>
      <c r="OE50" s="12"/>
      <c r="OF50" s="12"/>
      <c r="OG50" s="12"/>
      <c r="OH50" s="12"/>
      <c r="OI50" s="12"/>
      <c r="OJ50" s="12"/>
      <c r="OK50" s="12"/>
      <c r="OL50" s="12"/>
      <c r="OM50" s="12"/>
      <c r="ON50" s="12"/>
      <c r="OO50" s="12"/>
      <c r="OP50" s="12"/>
      <c r="OQ50" s="12"/>
      <c r="OR50" s="12"/>
      <c r="OS50" s="12"/>
      <c r="OT50" s="12"/>
      <c r="OU50" s="12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2"/>
      <c r="PG50" s="12"/>
      <c r="PH50" s="12"/>
      <c r="PI50" s="12"/>
      <c r="PJ50" s="12"/>
      <c r="PK50" s="12"/>
      <c r="PL50" s="12"/>
      <c r="PM50" s="12"/>
      <c r="PN50" s="12"/>
      <c r="PO50" s="12"/>
      <c r="PP50" s="12"/>
      <c r="PQ50" s="12"/>
      <c r="PR50" s="12"/>
      <c r="PS50" s="12"/>
      <c r="PT50" s="12"/>
      <c r="PU50" s="12"/>
      <c r="PV50" s="12"/>
      <c r="PW50" s="12"/>
      <c r="PX50" s="12"/>
      <c r="PY50" s="12"/>
      <c r="PZ50" s="12"/>
      <c r="QA50" s="12"/>
      <c r="QB50" s="12"/>
      <c r="QC50" s="12"/>
      <c r="QD50" s="12"/>
      <c r="QE50" s="12"/>
      <c r="QF50" s="12"/>
      <c r="QG50" s="12"/>
      <c r="QH50" s="12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2"/>
      <c r="QT50" s="12"/>
      <c r="QU50" s="12"/>
      <c r="QV50" s="12"/>
      <c r="QW50" s="12"/>
      <c r="QX50" s="12"/>
      <c r="QY50" s="12"/>
      <c r="QZ50" s="12"/>
      <c r="RA50" s="12"/>
      <c r="RB50" s="12"/>
      <c r="RC50" s="12"/>
      <c r="RD50" s="12"/>
      <c r="RE50" s="12"/>
      <c r="RF50" s="12"/>
      <c r="RG50" s="12"/>
      <c r="RH50" s="12"/>
      <c r="RI50" s="12"/>
      <c r="RJ50" s="12"/>
      <c r="RK50" s="12"/>
      <c r="RL50" s="12"/>
      <c r="RM50" s="12"/>
      <c r="RN50" s="12"/>
      <c r="RO50" s="12"/>
      <c r="RP50" s="12"/>
      <c r="RQ50" s="12"/>
      <c r="RR50" s="12"/>
      <c r="RS50" s="12"/>
      <c r="RT50" s="12"/>
      <c r="RU50" s="12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2"/>
      <c r="SG50" s="12"/>
      <c r="SH50" s="12"/>
      <c r="SI50" s="12"/>
      <c r="SJ50" s="12"/>
      <c r="SK50" s="12"/>
      <c r="SL50" s="12"/>
      <c r="SM50" s="12"/>
      <c r="SN50" s="12"/>
      <c r="SO50" s="12"/>
      <c r="SP50" s="12"/>
      <c r="SQ50" s="12"/>
      <c r="SR50" s="12"/>
      <c r="SS50" s="12"/>
      <c r="ST50" s="12"/>
      <c r="SU50" s="12"/>
      <c r="SV50" s="12"/>
      <c r="SW50" s="12"/>
      <c r="SX50" s="12"/>
      <c r="SY50" s="12"/>
      <c r="SZ50" s="12"/>
      <c r="TA50" s="12"/>
      <c r="TB50" s="12"/>
      <c r="TC50" s="12"/>
      <c r="TD50" s="12"/>
      <c r="TE50" s="12"/>
      <c r="TF50" s="12"/>
      <c r="TG50" s="12"/>
      <c r="TH50" s="12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2"/>
      <c r="TT50" s="12"/>
      <c r="TU50" s="12"/>
      <c r="TV50" s="12"/>
      <c r="TW50" s="12"/>
      <c r="TX50" s="12"/>
      <c r="TY50" s="12"/>
      <c r="TZ50" s="12"/>
      <c r="UA50" s="12"/>
      <c r="UB50" s="12"/>
      <c r="UC50" s="12"/>
      <c r="UD50" s="12"/>
      <c r="UE50" s="12"/>
      <c r="UF50" s="12"/>
      <c r="UG50" s="12"/>
      <c r="UH50" s="12"/>
      <c r="UI50" s="12"/>
      <c r="UJ50" s="12"/>
      <c r="UK50" s="12"/>
      <c r="UL50" s="12"/>
      <c r="UM50" s="12"/>
      <c r="UN50" s="12"/>
      <c r="UO50" s="12"/>
      <c r="UP50" s="12"/>
      <c r="UQ50" s="12"/>
      <c r="UR50" s="12"/>
      <c r="US50" s="12"/>
      <c r="UT50" s="12"/>
      <c r="UU50" s="12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2"/>
      <c r="VG50" s="12"/>
      <c r="VH50" s="12"/>
      <c r="VI50" s="12"/>
      <c r="VJ50" s="12"/>
      <c r="VK50" s="12"/>
      <c r="VL50" s="12"/>
      <c r="VM50" s="12"/>
      <c r="VN50" s="12"/>
      <c r="VO50" s="12"/>
      <c r="VP50" s="12"/>
      <c r="VQ50" s="12"/>
      <c r="VR50" s="12"/>
      <c r="VS50" s="12"/>
      <c r="VT50" s="12"/>
      <c r="VU50" s="12"/>
      <c r="VV50" s="12"/>
      <c r="VW50" s="12"/>
      <c r="VX50" s="12"/>
      <c r="VY50" s="12"/>
      <c r="VZ50" s="12"/>
      <c r="WA50" s="12"/>
      <c r="WB50" s="12"/>
      <c r="WC50" s="12"/>
      <c r="WD50" s="12"/>
      <c r="WE50" s="12"/>
      <c r="WF50" s="12"/>
      <c r="WG50" s="12"/>
      <c r="WH50" s="12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2"/>
      <c r="WT50" s="12"/>
      <c r="WU50" s="12"/>
      <c r="WV50" s="12"/>
      <c r="WW50" s="12"/>
      <c r="WX50" s="12"/>
      <c r="WY50" s="12"/>
      <c r="WZ50" s="12"/>
      <c r="XA50" s="12"/>
      <c r="XB50" s="12"/>
      <c r="XC50" s="12"/>
      <c r="XD50" s="12"/>
      <c r="XE50" s="12"/>
      <c r="XF50" s="12"/>
      <c r="XG50" s="12"/>
      <c r="XH50" s="12"/>
      <c r="XI50" s="12"/>
      <c r="XJ50" s="12"/>
      <c r="XK50" s="12"/>
      <c r="XL50" s="12"/>
      <c r="XM50" s="12"/>
      <c r="XN50" s="12"/>
      <c r="XO50" s="12"/>
      <c r="XP50" s="12"/>
      <c r="XQ50" s="12"/>
      <c r="XR50" s="12"/>
      <c r="XS50" s="12"/>
      <c r="XT50" s="12"/>
      <c r="XU50" s="12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2"/>
      <c r="YG50" s="12"/>
      <c r="YH50" s="12"/>
      <c r="YI50" s="12"/>
      <c r="YJ50" s="12"/>
      <c r="YK50" s="12"/>
      <c r="YL50" s="12"/>
      <c r="YM50" s="12"/>
      <c r="YN50" s="12"/>
      <c r="YO50" s="12"/>
      <c r="YP50" s="12"/>
      <c r="YQ50" s="12"/>
      <c r="YR50" s="12"/>
      <c r="YS50" s="12"/>
      <c r="YT50" s="12"/>
      <c r="YU50" s="12"/>
      <c r="YV50" s="12"/>
      <c r="YW50" s="12"/>
      <c r="YX50" s="12"/>
      <c r="YY50" s="12"/>
      <c r="YZ50" s="12"/>
      <c r="ZA50" s="12"/>
      <c r="ZB50" s="12"/>
      <c r="ZC50" s="12"/>
      <c r="ZD50" s="12"/>
      <c r="ZE50" s="12"/>
      <c r="ZF50" s="12"/>
      <c r="ZG50" s="12"/>
      <c r="ZH50" s="12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2"/>
      <c r="ZT50" s="12"/>
      <c r="ZU50" s="12"/>
      <c r="ZV50" s="12"/>
      <c r="ZW50" s="12"/>
      <c r="ZX50" s="12"/>
      <c r="ZY50" s="12"/>
      <c r="ZZ50" s="12"/>
      <c r="AAA50" s="12"/>
      <c r="AAB50" s="12"/>
      <c r="AAC50" s="12"/>
      <c r="AAD50" s="12"/>
      <c r="AAE50" s="12"/>
      <c r="AAF50" s="12"/>
      <c r="AAG50" s="12"/>
      <c r="AAH50" s="12"/>
      <c r="AAI50" s="12"/>
      <c r="AAJ50" s="12"/>
      <c r="AAK50" s="12"/>
      <c r="AAL50" s="12"/>
      <c r="AAM50" s="12"/>
      <c r="AAN50" s="12"/>
      <c r="AAO50" s="12"/>
      <c r="AAP50" s="12"/>
      <c r="AAQ50" s="12"/>
      <c r="AAR50" s="12"/>
      <c r="AAS50" s="12"/>
      <c r="AAT50" s="12"/>
      <c r="AAU50" s="12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2"/>
      <c r="ABG50" s="12"/>
      <c r="ABH50" s="12"/>
      <c r="ABI50" s="12"/>
      <c r="ABJ50" s="12"/>
      <c r="ABK50" s="12"/>
      <c r="ABL50" s="12"/>
      <c r="ABM50" s="12"/>
      <c r="ABN50" s="12"/>
      <c r="ABO50" s="12"/>
      <c r="ABP50" s="12"/>
      <c r="ABQ50" s="12"/>
      <c r="ABR50" s="12"/>
      <c r="ABS50" s="12"/>
      <c r="ABT50" s="12"/>
      <c r="ABU50" s="12"/>
      <c r="ABV50" s="12"/>
      <c r="ABW50" s="12"/>
      <c r="ABX50" s="12"/>
      <c r="ABY50" s="12"/>
      <c r="ABZ50" s="12"/>
      <c r="ACA50" s="12"/>
      <c r="ACB50" s="12"/>
      <c r="ACC50" s="12"/>
      <c r="ACD50" s="12"/>
      <c r="ACE50" s="12"/>
      <c r="ACF50" s="12"/>
      <c r="ACG50" s="12"/>
      <c r="ACH50" s="12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2"/>
      <c r="ACT50" s="12"/>
      <c r="ACU50" s="12"/>
      <c r="ACV50" s="12"/>
      <c r="ACW50" s="12"/>
      <c r="ACX50" s="12"/>
      <c r="ACY50" s="12"/>
      <c r="ACZ50" s="12"/>
      <c r="ADA50" s="12"/>
      <c r="ADB50" s="12"/>
      <c r="ADC50" s="12"/>
      <c r="ADD50" s="12"/>
      <c r="ADE50" s="12"/>
      <c r="ADF50" s="12"/>
      <c r="ADG50" s="12"/>
      <c r="ADH50" s="12"/>
      <c r="ADI50" s="12"/>
      <c r="ADJ50" s="12"/>
      <c r="ADK50" s="12"/>
      <c r="ADL50" s="12"/>
      <c r="ADM50" s="12"/>
      <c r="ADN50" s="12"/>
      <c r="ADO50" s="12"/>
      <c r="ADP50" s="12"/>
      <c r="ADQ50" s="12"/>
      <c r="ADR50" s="12"/>
      <c r="ADS50" s="12"/>
      <c r="ADT50" s="12"/>
      <c r="ADU50" s="12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2"/>
      <c r="AEG50" s="12"/>
      <c r="AEH50" s="12"/>
      <c r="AEI50" s="12"/>
      <c r="AEJ50" s="12"/>
      <c r="AEK50" s="12"/>
      <c r="AEL50" s="12"/>
      <c r="AEM50" s="12"/>
      <c r="AEN50" s="12"/>
      <c r="AEO50" s="12"/>
      <c r="AEP50" s="12"/>
      <c r="AEQ50" s="12"/>
      <c r="AER50" s="12"/>
      <c r="AES50" s="12"/>
      <c r="AET50" s="12"/>
      <c r="AEU50" s="12"/>
      <c r="AEV50" s="12"/>
    </row>
    <row r="51" spans="1:828" s="27" customFormat="1" ht="18" x14ac:dyDescent="0.2">
      <c r="A51" s="62"/>
      <c r="D51" s="29"/>
      <c r="E51" s="23"/>
      <c r="F51" s="23"/>
      <c r="G51" s="23"/>
      <c r="H51" s="30"/>
      <c r="I51" s="23"/>
      <c r="J51" s="29"/>
      <c r="K51" s="30"/>
      <c r="L51" s="23"/>
      <c r="M51" s="29"/>
      <c r="N51" s="47"/>
      <c r="O51" s="12"/>
      <c r="P51" s="48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  <c r="IY51" s="12"/>
      <c r="IZ51" s="12"/>
      <c r="JA51" s="12"/>
      <c r="JB51" s="12"/>
      <c r="JC51" s="12"/>
      <c r="JD51" s="12"/>
      <c r="JE51" s="12"/>
      <c r="JF51" s="12"/>
      <c r="JG51" s="12"/>
      <c r="JH51" s="12"/>
      <c r="JI51" s="12"/>
      <c r="JJ51" s="12"/>
      <c r="JK51" s="12"/>
      <c r="JL51" s="12"/>
      <c r="JM51" s="12"/>
      <c r="JN51" s="12"/>
      <c r="JO51" s="12"/>
      <c r="JP51" s="12"/>
      <c r="JQ51" s="12"/>
      <c r="JR51" s="12"/>
      <c r="JS51" s="12"/>
      <c r="JT51" s="12"/>
      <c r="JU51" s="12"/>
      <c r="JV51" s="12"/>
      <c r="JW51" s="12"/>
      <c r="JX51" s="12"/>
      <c r="JY51" s="12"/>
      <c r="JZ51" s="12"/>
      <c r="KA51" s="12"/>
      <c r="KB51" s="12"/>
      <c r="KC51" s="12"/>
      <c r="KD51" s="12"/>
      <c r="KE51" s="12"/>
      <c r="KF51" s="12"/>
      <c r="KG51" s="12"/>
      <c r="KH51" s="12"/>
      <c r="KI51" s="12"/>
      <c r="KJ51" s="12"/>
      <c r="KK51" s="12"/>
      <c r="KL51" s="12"/>
      <c r="KM51" s="12"/>
      <c r="KN51" s="12"/>
      <c r="KO51" s="12"/>
      <c r="KP51" s="12"/>
      <c r="KQ51" s="12"/>
      <c r="KR51" s="12"/>
      <c r="KS51" s="12"/>
      <c r="KT51" s="12"/>
      <c r="KU51" s="12"/>
      <c r="KV51" s="12"/>
      <c r="KW51" s="12"/>
      <c r="KX51" s="12"/>
      <c r="KY51" s="12"/>
      <c r="KZ51" s="12"/>
      <c r="LA51" s="12"/>
      <c r="LB51" s="12"/>
      <c r="LC51" s="12"/>
      <c r="LD51" s="12"/>
      <c r="LE51" s="12"/>
      <c r="LF51" s="12"/>
      <c r="LG51" s="12"/>
      <c r="LH51" s="12"/>
      <c r="LI51" s="12"/>
      <c r="LJ51" s="12"/>
      <c r="LK51" s="12"/>
      <c r="LL51" s="12"/>
      <c r="LM51" s="12"/>
      <c r="LN51" s="12"/>
      <c r="LO51" s="12"/>
      <c r="LP51" s="12"/>
      <c r="LQ51" s="12"/>
      <c r="LR51" s="12"/>
      <c r="LS51" s="12"/>
      <c r="LT51" s="12"/>
      <c r="LU51" s="12"/>
      <c r="LV51" s="12"/>
      <c r="LW51" s="12"/>
      <c r="LX51" s="12"/>
      <c r="LY51" s="12"/>
      <c r="LZ51" s="12"/>
      <c r="MA51" s="12"/>
      <c r="MB51" s="12"/>
      <c r="MC51" s="12"/>
      <c r="MD51" s="12"/>
      <c r="ME51" s="12"/>
      <c r="MF51" s="12"/>
      <c r="MG51" s="12"/>
      <c r="MH51" s="12"/>
      <c r="MI51" s="12"/>
      <c r="MJ51" s="12"/>
      <c r="MK51" s="12"/>
      <c r="ML51" s="12"/>
      <c r="MM51" s="12"/>
      <c r="MN51" s="12"/>
      <c r="MO51" s="12"/>
      <c r="MP51" s="12"/>
      <c r="MQ51" s="12"/>
      <c r="MR51" s="12"/>
      <c r="MS51" s="12"/>
      <c r="MT51" s="12"/>
      <c r="MU51" s="12"/>
      <c r="MV51" s="12"/>
      <c r="MW51" s="12"/>
      <c r="MX51" s="12"/>
      <c r="MY51" s="12"/>
      <c r="MZ51" s="12"/>
      <c r="NA51" s="12"/>
      <c r="NB51" s="12"/>
      <c r="NC51" s="12"/>
      <c r="ND51" s="12"/>
      <c r="NE51" s="12"/>
      <c r="NF51" s="12"/>
      <c r="NG51" s="12"/>
      <c r="NH51" s="12"/>
      <c r="NI51" s="12"/>
      <c r="NJ51" s="12"/>
      <c r="NK51" s="12"/>
      <c r="NL51" s="12"/>
      <c r="NM51" s="12"/>
      <c r="NN51" s="12"/>
      <c r="NO51" s="12"/>
      <c r="NP51" s="12"/>
      <c r="NQ51" s="12"/>
      <c r="NR51" s="12"/>
      <c r="NS51" s="12"/>
      <c r="NT51" s="12"/>
      <c r="NU51" s="12"/>
      <c r="NV51" s="12"/>
      <c r="NW51" s="12"/>
      <c r="NX51" s="12"/>
      <c r="NY51" s="12"/>
      <c r="NZ51" s="12"/>
      <c r="OA51" s="12"/>
      <c r="OB51" s="12"/>
      <c r="OC51" s="12"/>
      <c r="OD51" s="12"/>
      <c r="OE51" s="12"/>
      <c r="OF51" s="12"/>
      <c r="OG51" s="12"/>
      <c r="OH51" s="12"/>
      <c r="OI51" s="12"/>
      <c r="OJ51" s="12"/>
      <c r="OK51" s="12"/>
      <c r="OL51" s="12"/>
      <c r="OM51" s="12"/>
      <c r="ON51" s="12"/>
      <c r="OO51" s="12"/>
      <c r="OP51" s="12"/>
      <c r="OQ51" s="12"/>
      <c r="OR51" s="12"/>
      <c r="OS51" s="12"/>
      <c r="OT51" s="12"/>
      <c r="OU51" s="12"/>
      <c r="OV51" s="12"/>
      <c r="OW51" s="12"/>
      <c r="OX51" s="12"/>
      <c r="OY51" s="12"/>
      <c r="OZ51" s="12"/>
      <c r="PA51" s="12"/>
      <c r="PB51" s="12"/>
      <c r="PC51" s="12"/>
      <c r="PD51" s="12"/>
      <c r="PE51" s="12"/>
      <c r="PF51" s="12"/>
      <c r="PG51" s="12"/>
      <c r="PH51" s="12"/>
      <c r="PI51" s="12"/>
      <c r="PJ51" s="12"/>
      <c r="PK51" s="12"/>
      <c r="PL51" s="12"/>
      <c r="PM51" s="12"/>
      <c r="PN51" s="12"/>
      <c r="PO51" s="12"/>
      <c r="PP51" s="12"/>
      <c r="PQ51" s="12"/>
      <c r="PR51" s="12"/>
      <c r="PS51" s="12"/>
      <c r="PT51" s="12"/>
      <c r="PU51" s="12"/>
      <c r="PV51" s="12"/>
      <c r="PW51" s="12"/>
      <c r="PX51" s="12"/>
      <c r="PY51" s="12"/>
      <c r="PZ51" s="12"/>
      <c r="QA51" s="12"/>
      <c r="QB51" s="12"/>
      <c r="QC51" s="12"/>
      <c r="QD51" s="12"/>
      <c r="QE51" s="12"/>
      <c r="QF51" s="12"/>
      <c r="QG51" s="12"/>
      <c r="QH51" s="12"/>
      <c r="QI51" s="12"/>
      <c r="QJ51" s="12"/>
      <c r="QK51" s="12"/>
      <c r="QL51" s="12"/>
      <c r="QM51" s="12"/>
      <c r="QN51" s="12"/>
      <c r="QO51" s="12"/>
      <c r="QP51" s="12"/>
      <c r="QQ51" s="12"/>
      <c r="QR51" s="12"/>
      <c r="QS51" s="12"/>
      <c r="QT51" s="12"/>
      <c r="QU51" s="12"/>
      <c r="QV51" s="12"/>
      <c r="QW51" s="12"/>
      <c r="QX51" s="12"/>
      <c r="QY51" s="12"/>
      <c r="QZ51" s="12"/>
      <c r="RA51" s="12"/>
      <c r="RB51" s="12"/>
      <c r="RC51" s="12"/>
      <c r="RD51" s="12"/>
      <c r="RE51" s="12"/>
      <c r="RF51" s="12"/>
      <c r="RG51" s="12"/>
      <c r="RH51" s="12"/>
      <c r="RI51" s="12"/>
      <c r="RJ51" s="12"/>
      <c r="RK51" s="12"/>
      <c r="RL51" s="12"/>
      <c r="RM51" s="12"/>
      <c r="RN51" s="12"/>
      <c r="RO51" s="12"/>
      <c r="RP51" s="12"/>
      <c r="RQ51" s="12"/>
      <c r="RR51" s="12"/>
      <c r="RS51" s="12"/>
      <c r="RT51" s="12"/>
      <c r="RU51" s="12"/>
      <c r="RV51" s="12"/>
      <c r="RW51" s="12"/>
      <c r="RX51" s="12"/>
      <c r="RY51" s="12"/>
      <c r="RZ51" s="12"/>
      <c r="SA51" s="12"/>
      <c r="SB51" s="12"/>
      <c r="SC51" s="12"/>
      <c r="SD51" s="12"/>
      <c r="SE51" s="12"/>
      <c r="SF51" s="12"/>
      <c r="SG51" s="12"/>
      <c r="SH51" s="12"/>
      <c r="SI51" s="12"/>
      <c r="SJ51" s="12"/>
      <c r="SK51" s="12"/>
      <c r="SL51" s="12"/>
      <c r="SM51" s="12"/>
      <c r="SN51" s="12"/>
      <c r="SO51" s="12"/>
      <c r="SP51" s="12"/>
      <c r="SQ51" s="12"/>
      <c r="SR51" s="12"/>
      <c r="SS51" s="12"/>
      <c r="ST51" s="12"/>
      <c r="SU51" s="12"/>
      <c r="SV51" s="12"/>
      <c r="SW51" s="12"/>
      <c r="SX51" s="12"/>
      <c r="SY51" s="12"/>
      <c r="SZ51" s="12"/>
      <c r="TA51" s="12"/>
      <c r="TB51" s="12"/>
      <c r="TC51" s="12"/>
      <c r="TD51" s="12"/>
      <c r="TE51" s="12"/>
      <c r="TF51" s="12"/>
      <c r="TG51" s="12"/>
      <c r="TH51" s="12"/>
      <c r="TI51" s="12"/>
      <c r="TJ51" s="12"/>
      <c r="TK51" s="12"/>
      <c r="TL51" s="12"/>
      <c r="TM51" s="12"/>
      <c r="TN51" s="12"/>
      <c r="TO51" s="12"/>
      <c r="TP51" s="12"/>
      <c r="TQ51" s="12"/>
      <c r="TR51" s="12"/>
      <c r="TS51" s="12"/>
      <c r="TT51" s="12"/>
      <c r="TU51" s="12"/>
      <c r="TV51" s="12"/>
      <c r="TW51" s="12"/>
      <c r="TX51" s="12"/>
      <c r="TY51" s="12"/>
      <c r="TZ51" s="12"/>
      <c r="UA51" s="12"/>
      <c r="UB51" s="12"/>
      <c r="UC51" s="12"/>
      <c r="UD51" s="12"/>
      <c r="UE51" s="12"/>
      <c r="UF51" s="12"/>
      <c r="UG51" s="12"/>
      <c r="UH51" s="12"/>
      <c r="UI51" s="12"/>
      <c r="UJ51" s="12"/>
      <c r="UK51" s="12"/>
      <c r="UL51" s="12"/>
      <c r="UM51" s="12"/>
      <c r="UN51" s="12"/>
      <c r="UO51" s="12"/>
      <c r="UP51" s="12"/>
      <c r="UQ51" s="12"/>
      <c r="UR51" s="12"/>
      <c r="US51" s="12"/>
      <c r="UT51" s="12"/>
      <c r="UU51" s="12"/>
      <c r="UV51" s="12"/>
      <c r="UW51" s="12"/>
      <c r="UX51" s="12"/>
      <c r="UY51" s="12"/>
      <c r="UZ51" s="12"/>
      <c r="VA51" s="12"/>
      <c r="VB51" s="12"/>
      <c r="VC51" s="12"/>
      <c r="VD51" s="12"/>
      <c r="VE51" s="12"/>
      <c r="VF51" s="12"/>
      <c r="VG51" s="12"/>
      <c r="VH51" s="12"/>
      <c r="VI51" s="12"/>
      <c r="VJ51" s="12"/>
      <c r="VK51" s="12"/>
      <c r="VL51" s="12"/>
      <c r="VM51" s="12"/>
      <c r="VN51" s="12"/>
      <c r="VO51" s="12"/>
      <c r="VP51" s="12"/>
      <c r="VQ51" s="12"/>
      <c r="VR51" s="12"/>
      <c r="VS51" s="12"/>
      <c r="VT51" s="12"/>
      <c r="VU51" s="12"/>
      <c r="VV51" s="12"/>
      <c r="VW51" s="12"/>
      <c r="VX51" s="12"/>
      <c r="VY51" s="12"/>
      <c r="VZ51" s="12"/>
      <c r="WA51" s="12"/>
      <c r="WB51" s="12"/>
      <c r="WC51" s="12"/>
      <c r="WD51" s="12"/>
      <c r="WE51" s="12"/>
      <c r="WF51" s="12"/>
      <c r="WG51" s="12"/>
      <c r="WH51" s="12"/>
      <c r="WI51" s="12"/>
      <c r="WJ51" s="12"/>
      <c r="WK51" s="12"/>
      <c r="WL51" s="12"/>
      <c r="WM51" s="12"/>
      <c r="WN51" s="12"/>
      <c r="WO51" s="12"/>
      <c r="WP51" s="12"/>
      <c r="WQ51" s="12"/>
      <c r="WR51" s="12"/>
      <c r="WS51" s="12"/>
      <c r="WT51" s="12"/>
      <c r="WU51" s="12"/>
      <c r="WV51" s="12"/>
      <c r="WW51" s="12"/>
      <c r="WX51" s="12"/>
      <c r="WY51" s="12"/>
      <c r="WZ51" s="12"/>
      <c r="XA51" s="12"/>
      <c r="XB51" s="12"/>
      <c r="XC51" s="12"/>
      <c r="XD51" s="12"/>
      <c r="XE51" s="12"/>
      <c r="XF51" s="12"/>
      <c r="XG51" s="12"/>
      <c r="XH51" s="12"/>
      <c r="XI51" s="12"/>
      <c r="XJ51" s="12"/>
      <c r="XK51" s="12"/>
      <c r="XL51" s="12"/>
      <c r="XM51" s="12"/>
      <c r="XN51" s="12"/>
      <c r="XO51" s="12"/>
      <c r="XP51" s="12"/>
      <c r="XQ51" s="12"/>
      <c r="XR51" s="12"/>
      <c r="XS51" s="12"/>
      <c r="XT51" s="12"/>
      <c r="XU51" s="12"/>
      <c r="XV51" s="12"/>
      <c r="XW51" s="12"/>
      <c r="XX51" s="12"/>
      <c r="XY51" s="12"/>
      <c r="XZ51" s="12"/>
      <c r="YA51" s="12"/>
      <c r="YB51" s="12"/>
      <c r="YC51" s="12"/>
      <c r="YD51" s="12"/>
      <c r="YE51" s="12"/>
      <c r="YF51" s="12"/>
      <c r="YG51" s="12"/>
      <c r="YH51" s="12"/>
      <c r="YI51" s="12"/>
      <c r="YJ51" s="12"/>
      <c r="YK51" s="12"/>
      <c r="YL51" s="12"/>
      <c r="YM51" s="12"/>
      <c r="YN51" s="12"/>
      <c r="YO51" s="12"/>
      <c r="YP51" s="12"/>
      <c r="YQ51" s="12"/>
      <c r="YR51" s="12"/>
      <c r="YS51" s="12"/>
      <c r="YT51" s="12"/>
      <c r="YU51" s="12"/>
      <c r="YV51" s="12"/>
      <c r="YW51" s="12"/>
      <c r="YX51" s="12"/>
      <c r="YY51" s="12"/>
      <c r="YZ51" s="12"/>
      <c r="ZA51" s="12"/>
      <c r="ZB51" s="12"/>
      <c r="ZC51" s="12"/>
      <c r="ZD51" s="12"/>
      <c r="ZE51" s="12"/>
      <c r="ZF51" s="12"/>
      <c r="ZG51" s="12"/>
      <c r="ZH51" s="12"/>
      <c r="ZI51" s="12"/>
      <c r="ZJ51" s="12"/>
      <c r="ZK51" s="12"/>
      <c r="ZL51" s="12"/>
      <c r="ZM51" s="12"/>
      <c r="ZN51" s="12"/>
      <c r="ZO51" s="12"/>
      <c r="ZP51" s="12"/>
      <c r="ZQ51" s="12"/>
      <c r="ZR51" s="12"/>
      <c r="ZS51" s="12"/>
      <c r="ZT51" s="12"/>
      <c r="ZU51" s="12"/>
      <c r="ZV51" s="12"/>
      <c r="ZW51" s="12"/>
      <c r="ZX51" s="12"/>
      <c r="ZY51" s="12"/>
      <c r="ZZ51" s="12"/>
      <c r="AAA51" s="12"/>
      <c r="AAB51" s="12"/>
      <c r="AAC51" s="12"/>
      <c r="AAD51" s="12"/>
      <c r="AAE51" s="12"/>
      <c r="AAF51" s="12"/>
      <c r="AAG51" s="12"/>
      <c r="AAH51" s="12"/>
      <c r="AAI51" s="12"/>
      <c r="AAJ51" s="12"/>
      <c r="AAK51" s="12"/>
      <c r="AAL51" s="12"/>
      <c r="AAM51" s="12"/>
      <c r="AAN51" s="12"/>
      <c r="AAO51" s="12"/>
      <c r="AAP51" s="12"/>
      <c r="AAQ51" s="12"/>
      <c r="AAR51" s="12"/>
      <c r="AAS51" s="12"/>
      <c r="AAT51" s="12"/>
      <c r="AAU51" s="12"/>
      <c r="AAV51" s="12"/>
      <c r="AAW51" s="12"/>
      <c r="AAX51" s="12"/>
      <c r="AAY51" s="12"/>
      <c r="AAZ51" s="12"/>
      <c r="ABA51" s="12"/>
      <c r="ABB51" s="12"/>
      <c r="ABC51" s="12"/>
      <c r="ABD51" s="12"/>
      <c r="ABE51" s="12"/>
      <c r="ABF51" s="12"/>
      <c r="ABG51" s="12"/>
      <c r="ABH51" s="12"/>
      <c r="ABI51" s="12"/>
      <c r="ABJ51" s="12"/>
      <c r="ABK51" s="12"/>
      <c r="ABL51" s="12"/>
      <c r="ABM51" s="12"/>
      <c r="ABN51" s="12"/>
      <c r="ABO51" s="12"/>
      <c r="ABP51" s="12"/>
      <c r="ABQ51" s="12"/>
      <c r="ABR51" s="12"/>
      <c r="ABS51" s="12"/>
      <c r="ABT51" s="12"/>
      <c r="ABU51" s="12"/>
      <c r="ABV51" s="12"/>
      <c r="ABW51" s="12"/>
      <c r="ABX51" s="12"/>
      <c r="ABY51" s="12"/>
      <c r="ABZ51" s="12"/>
      <c r="ACA51" s="12"/>
      <c r="ACB51" s="12"/>
      <c r="ACC51" s="12"/>
      <c r="ACD51" s="12"/>
      <c r="ACE51" s="12"/>
      <c r="ACF51" s="12"/>
      <c r="ACG51" s="12"/>
      <c r="ACH51" s="12"/>
      <c r="ACI51" s="12"/>
      <c r="ACJ51" s="12"/>
      <c r="ACK51" s="12"/>
      <c r="ACL51" s="12"/>
      <c r="ACM51" s="12"/>
      <c r="ACN51" s="12"/>
      <c r="ACO51" s="12"/>
      <c r="ACP51" s="12"/>
      <c r="ACQ51" s="12"/>
      <c r="ACR51" s="12"/>
      <c r="ACS51" s="12"/>
      <c r="ACT51" s="12"/>
      <c r="ACU51" s="12"/>
      <c r="ACV51" s="12"/>
      <c r="ACW51" s="12"/>
      <c r="ACX51" s="12"/>
      <c r="ACY51" s="12"/>
      <c r="ACZ51" s="12"/>
      <c r="ADA51" s="12"/>
      <c r="ADB51" s="12"/>
      <c r="ADC51" s="12"/>
      <c r="ADD51" s="12"/>
      <c r="ADE51" s="12"/>
      <c r="ADF51" s="12"/>
      <c r="ADG51" s="12"/>
      <c r="ADH51" s="12"/>
      <c r="ADI51" s="12"/>
      <c r="ADJ51" s="12"/>
      <c r="ADK51" s="12"/>
      <c r="ADL51" s="12"/>
      <c r="ADM51" s="12"/>
      <c r="ADN51" s="12"/>
      <c r="ADO51" s="12"/>
      <c r="ADP51" s="12"/>
      <c r="ADQ51" s="12"/>
      <c r="ADR51" s="12"/>
      <c r="ADS51" s="12"/>
      <c r="ADT51" s="12"/>
      <c r="ADU51" s="12"/>
      <c r="ADV51" s="12"/>
      <c r="ADW51" s="12"/>
      <c r="ADX51" s="12"/>
      <c r="ADY51" s="12"/>
      <c r="ADZ51" s="12"/>
      <c r="AEA51" s="12"/>
      <c r="AEB51" s="12"/>
      <c r="AEC51" s="12"/>
      <c r="AED51" s="12"/>
      <c r="AEE51" s="12"/>
      <c r="AEF51" s="12"/>
      <c r="AEG51" s="12"/>
      <c r="AEH51" s="12"/>
      <c r="AEI51" s="12"/>
      <c r="AEJ51" s="12"/>
      <c r="AEK51" s="12"/>
      <c r="AEL51" s="12"/>
      <c r="AEM51" s="12"/>
      <c r="AEN51" s="12"/>
      <c r="AEO51" s="12"/>
      <c r="AEP51" s="12"/>
      <c r="AEQ51" s="12"/>
      <c r="AER51" s="12"/>
      <c r="AES51" s="12"/>
      <c r="AET51" s="12"/>
      <c r="AEU51" s="12"/>
      <c r="AEV51" s="12"/>
    </row>
    <row r="52" spans="1:828" s="27" customFormat="1" ht="18" x14ac:dyDescent="0.2">
      <c r="A52" s="62"/>
      <c r="D52" s="29"/>
      <c r="E52" s="23"/>
      <c r="F52" s="23"/>
      <c r="G52" s="23"/>
      <c r="H52" s="30"/>
      <c r="I52" s="23"/>
      <c r="J52" s="29"/>
      <c r="K52" s="30"/>
      <c r="L52" s="23"/>
      <c r="M52" s="29"/>
      <c r="N52" s="47"/>
      <c r="O52" s="12"/>
      <c r="P52" s="48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  <c r="IY52" s="12"/>
      <c r="IZ52" s="12"/>
      <c r="JA52" s="12"/>
      <c r="JB52" s="12"/>
      <c r="JC52" s="12"/>
      <c r="JD52" s="12"/>
      <c r="JE52" s="12"/>
      <c r="JF52" s="12"/>
      <c r="JG52" s="12"/>
      <c r="JH52" s="12"/>
      <c r="JI52" s="12"/>
      <c r="JJ52" s="12"/>
      <c r="JK52" s="12"/>
      <c r="JL52" s="12"/>
      <c r="JM52" s="12"/>
      <c r="JN52" s="12"/>
      <c r="JO52" s="12"/>
      <c r="JP52" s="12"/>
      <c r="JQ52" s="12"/>
      <c r="JR52" s="12"/>
      <c r="JS52" s="12"/>
      <c r="JT52" s="12"/>
      <c r="JU52" s="12"/>
      <c r="JV52" s="12"/>
      <c r="JW52" s="12"/>
      <c r="JX52" s="12"/>
      <c r="JY52" s="12"/>
      <c r="JZ52" s="12"/>
      <c r="KA52" s="12"/>
      <c r="KB52" s="12"/>
      <c r="KC52" s="12"/>
      <c r="KD52" s="12"/>
      <c r="KE52" s="12"/>
      <c r="KF52" s="12"/>
      <c r="KG52" s="12"/>
      <c r="KH52" s="12"/>
      <c r="KI52" s="12"/>
      <c r="KJ52" s="12"/>
      <c r="KK52" s="12"/>
      <c r="KL52" s="12"/>
      <c r="KM52" s="12"/>
      <c r="KN52" s="12"/>
      <c r="KO52" s="12"/>
      <c r="KP52" s="12"/>
      <c r="KQ52" s="12"/>
      <c r="KR52" s="12"/>
      <c r="KS52" s="12"/>
      <c r="KT52" s="12"/>
      <c r="KU52" s="12"/>
      <c r="KV52" s="12"/>
      <c r="KW52" s="12"/>
      <c r="KX52" s="12"/>
      <c r="KY52" s="12"/>
      <c r="KZ52" s="12"/>
      <c r="LA52" s="12"/>
      <c r="LB52" s="12"/>
      <c r="LC52" s="12"/>
      <c r="LD52" s="12"/>
      <c r="LE52" s="12"/>
      <c r="LF52" s="12"/>
      <c r="LG52" s="12"/>
      <c r="LH52" s="12"/>
      <c r="LI52" s="12"/>
      <c r="LJ52" s="12"/>
      <c r="LK52" s="12"/>
      <c r="LL52" s="12"/>
      <c r="LM52" s="12"/>
      <c r="LN52" s="12"/>
      <c r="LO52" s="12"/>
      <c r="LP52" s="12"/>
      <c r="LQ52" s="12"/>
      <c r="LR52" s="12"/>
      <c r="LS52" s="12"/>
      <c r="LT52" s="12"/>
      <c r="LU52" s="12"/>
      <c r="LV52" s="12"/>
      <c r="LW52" s="12"/>
      <c r="LX52" s="12"/>
      <c r="LY52" s="12"/>
      <c r="LZ52" s="12"/>
      <c r="MA52" s="12"/>
      <c r="MB52" s="12"/>
      <c r="MC52" s="12"/>
      <c r="MD52" s="12"/>
      <c r="ME52" s="12"/>
      <c r="MF52" s="12"/>
      <c r="MG52" s="12"/>
      <c r="MH52" s="12"/>
      <c r="MI52" s="12"/>
      <c r="MJ52" s="12"/>
      <c r="MK52" s="12"/>
      <c r="ML52" s="12"/>
      <c r="MM52" s="12"/>
      <c r="MN52" s="12"/>
      <c r="MO52" s="12"/>
      <c r="MP52" s="12"/>
      <c r="MQ52" s="12"/>
      <c r="MR52" s="12"/>
      <c r="MS52" s="12"/>
      <c r="MT52" s="12"/>
      <c r="MU52" s="12"/>
      <c r="MV52" s="12"/>
      <c r="MW52" s="12"/>
      <c r="MX52" s="12"/>
      <c r="MY52" s="12"/>
      <c r="MZ52" s="12"/>
      <c r="NA52" s="12"/>
      <c r="NB52" s="12"/>
      <c r="NC52" s="12"/>
      <c r="ND52" s="12"/>
      <c r="NE52" s="12"/>
      <c r="NF52" s="12"/>
      <c r="NG52" s="12"/>
      <c r="NH52" s="12"/>
      <c r="NI52" s="12"/>
      <c r="NJ52" s="12"/>
      <c r="NK52" s="12"/>
      <c r="NL52" s="12"/>
      <c r="NM52" s="12"/>
      <c r="NN52" s="12"/>
      <c r="NO52" s="12"/>
      <c r="NP52" s="12"/>
      <c r="NQ52" s="12"/>
      <c r="NR52" s="12"/>
      <c r="NS52" s="12"/>
      <c r="NT52" s="12"/>
      <c r="NU52" s="12"/>
      <c r="NV52" s="12"/>
      <c r="NW52" s="12"/>
      <c r="NX52" s="12"/>
      <c r="NY52" s="12"/>
      <c r="NZ52" s="12"/>
      <c r="OA52" s="12"/>
      <c r="OB52" s="12"/>
      <c r="OC52" s="12"/>
      <c r="OD52" s="12"/>
      <c r="OE52" s="12"/>
      <c r="OF52" s="12"/>
      <c r="OG52" s="12"/>
      <c r="OH52" s="12"/>
      <c r="OI52" s="12"/>
      <c r="OJ52" s="12"/>
      <c r="OK52" s="12"/>
      <c r="OL52" s="12"/>
      <c r="OM52" s="12"/>
      <c r="ON52" s="12"/>
      <c r="OO52" s="12"/>
      <c r="OP52" s="12"/>
      <c r="OQ52" s="12"/>
      <c r="OR52" s="12"/>
      <c r="OS52" s="12"/>
      <c r="OT52" s="12"/>
      <c r="OU52" s="12"/>
      <c r="OV52" s="12"/>
      <c r="OW52" s="12"/>
      <c r="OX52" s="12"/>
      <c r="OY52" s="12"/>
      <c r="OZ52" s="12"/>
      <c r="PA52" s="12"/>
      <c r="PB52" s="12"/>
      <c r="PC52" s="12"/>
      <c r="PD52" s="12"/>
      <c r="PE52" s="12"/>
      <c r="PF52" s="12"/>
      <c r="PG52" s="12"/>
      <c r="PH52" s="12"/>
      <c r="PI52" s="12"/>
      <c r="PJ52" s="12"/>
      <c r="PK52" s="12"/>
      <c r="PL52" s="12"/>
      <c r="PM52" s="12"/>
      <c r="PN52" s="12"/>
      <c r="PO52" s="12"/>
      <c r="PP52" s="12"/>
      <c r="PQ52" s="12"/>
      <c r="PR52" s="12"/>
      <c r="PS52" s="12"/>
      <c r="PT52" s="12"/>
      <c r="PU52" s="12"/>
      <c r="PV52" s="12"/>
      <c r="PW52" s="12"/>
      <c r="PX52" s="12"/>
      <c r="PY52" s="12"/>
      <c r="PZ52" s="12"/>
      <c r="QA52" s="12"/>
      <c r="QB52" s="12"/>
      <c r="QC52" s="12"/>
      <c r="QD52" s="12"/>
      <c r="QE52" s="12"/>
      <c r="QF52" s="12"/>
      <c r="QG52" s="12"/>
      <c r="QH52" s="12"/>
      <c r="QI52" s="12"/>
      <c r="QJ52" s="12"/>
      <c r="QK52" s="12"/>
      <c r="QL52" s="12"/>
      <c r="QM52" s="12"/>
      <c r="QN52" s="12"/>
      <c r="QO52" s="12"/>
      <c r="QP52" s="12"/>
      <c r="QQ52" s="12"/>
      <c r="QR52" s="12"/>
      <c r="QS52" s="12"/>
      <c r="QT52" s="12"/>
      <c r="QU52" s="12"/>
      <c r="QV52" s="12"/>
      <c r="QW52" s="12"/>
      <c r="QX52" s="12"/>
      <c r="QY52" s="12"/>
      <c r="QZ52" s="12"/>
      <c r="RA52" s="12"/>
      <c r="RB52" s="12"/>
      <c r="RC52" s="12"/>
      <c r="RD52" s="12"/>
      <c r="RE52" s="12"/>
      <c r="RF52" s="12"/>
      <c r="RG52" s="12"/>
      <c r="RH52" s="12"/>
      <c r="RI52" s="12"/>
      <c r="RJ52" s="12"/>
      <c r="RK52" s="12"/>
      <c r="RL52" s="12"/>
      <c r="RM52" s="12"/>
      <c r="RN52" s="12"/>
      <c r="RO52" s="12"/>
      <c r="RP52" s="12"/>
      <c r="RQ52" s="12"/>
      <c r="RR52" s="12"/>
      <c r="RS52" s="12"/>
      <c r="RT52" s="12"/>
      <c r="RU52" s="12"/>
      <c r="RV52" s="12"/>
      <c r="RW52" s="12"/>
      <c r="RX52" s="12"/>
      <c r="RY52" s="12"/>
      <c r="RZ52" s="12"/>
      <c r="SA52" s="12"/>
      <c r="SB52" s="12"/>
      <c r="SC52" s="12"/>
      <c r="SD52" s="12"/>
      <c r="SE52" s="12"/>
      <c r="SF52" s="12"/>
      <c r="SG52" s="12"/>
      <c r="SH52" s="12"/>
      <c r="SI52" s="12"/>
      <c r="SJ52" s="12"/>
      <c r="SK52" s="12"/>
      <c r="SL52" s="12"/>
      <c r="SM52" s="12"/>
      <c r="SN52" s="12"/>
      <c r="SO52" s="12"/>
      <c r="SP52" s="12"/>
      <c r="SQ52" s="12"/>
      <c r="SR52" s="12"/>
      <c r="SS52" s="12"/>
      <c r="ST52" s="12"/>
      <c r="SU52" s="12"/>
      <c r="SV52" s="12"/>
      <c r="SW52" s="12"/>
      <c r="SX52" s="12"/>
      <c r="SY52" s="12"/>
      <c r="SZ52" s="12"/>
      <c r="TA52" s="12"/>
      <c r="TB52" s="12"/>
      <c r="TC52" s="12"/>
      <c r="TD52" s="12"/>
      <c r="TE52" s="12"/>
      <c r="TF52" s="12"/>
      <c r="TG52" s="12"/>
      <c r="TH52" s="12"/>
      <c r="TI52" s="12"/>
      <c r="TJ52" s="12"/>
      <c r="TK52" s="12"/>
      <c r="TL52" s="12"/>
      <c r="TM52" s="12"/>
      <c r="TN52" s="12"/>
      <c r="TO52" s="12"/>
      <c r="TP52" s="12"/>
      <c r="TQ52" s="12"/>
      <c r="TR52" s="12"/>
      <c r="TS52" s="12"/>
      <c r="TT52" s="12"/>
      <c r="TU52" s="12"/>
      <c r="TV52" s="12"/>
      <c r="TW52" s="12"/>
      <c r="TX52" s="12"/>
      <c r="TY52" s="12"/>
      <c r="TZ52" s="12"/>
      <c r="UA52" s="12"/>
      <c r="UB52" s="12"/>
      <c r="UC52" s="12"/>
      <c r="UD52" s="12"/>
      <c r="UE52" s="12"/>
      <c r="UF52" s="12"/>
      <c r="UG52" s="12"/>
      <c r="UH52" s="12"/>
      <c r="UI52" s="12"/>
      <c r="UJ52" s="12"/>
      <c r="UK52" s="12"/>
      <c r="UL52" s="12"/>
      <c r="UM52" s="12"/>
      <c r="UN52" s="12"/>
      <c r="UO52" s="12"/>
      <c r="UP52" s="12"/>
      <c r="UQ52" s="12"/>
      <c r="UR52" s="12"/>
      <c r="US52" s="12"/>
      <c r="UT52" s="12"/>
      <c r="UU52" s="12"/>
      <c r="UV52" s="12"/>
      <c r="UW52" s="12"/>
      <c r="UX52" s="12"/>
      <c r="UY52" s="12"/>
      <c r="UZ52" s="12"/>
      <c r="VA52" s="12"/>
      <c r="VB52" s="12"/>
      <c r="VC52" s="12"/>
      <c r="VD52" s="12"/>
      <c r="VE52" s="12"/>
      <c r="VF52" s="12"/>
      <c r="VG52" s="12"/>
      <c r="VH52" s="12"/>
      <c r="VI52" s="12"/>
      <c r="VJ52" s="12"/>
      <c r="VK52" s="12"/>
      <c r="VL52" s="12"/>
      <c r="VM52" s="12"/>
      <c r="VN52" s="12"/>
      <c r="VO52" s="12"/>
      <c r="VP52" s="12"/>
      <c r="VQ52" s="12"/>
      <c r="VR52" s="12"/>
      <c r="VS52" s="12"/>
      <c r="VT52" s="12"/>
      <c r="VU52" s="12"/>
      <c r="VV52" s="12"/>
      <c r="VW52" s="12"/>
      <c r="VX52" s="12"/>
      <c r="VY52" s="12"/>
      <c r="VZ52" s="12"/>
      <c r="WA52" s="12"/>
      <c r="WB52" s="12"/>
      <c r="WC52" s="12"/>
      <c r="WD52" s="12"/>
      <c r="WE52" s="12"/>
      <c r="WF52" s="12"/>
      <c r="WG52" s="12"/>
      <c r="WH52" s="12"/>
      <c r="WI52" s="12"/>
      <c r="WJ52" s="12"/>
      <c r="WK52" s="12"/>
      <c r="WL52" s="12"/>
      <c r="WM52" s="12"/>
      <c r="WN52" s="12"/>
      <c r="WO52" s="12"/>
      <c r="WP52" s="12"/>
      <c r="WQ52" s="12"/>
      <c r="WR52" s="12"/>
      <c r="WS52" s="12"/>
      <c r="WT52" s="12"/>
      <c r="WU52" s="12"/>
      <c r="WV52" s="12"/>
      <c r="WW52" s="12"/>
      <c r="WX52" s="12"/>
      <c r="WY52" s="12"/>
      <c r="WZ52" s="12"/>
      <c r="XA52" s="12"/>
      <c r="XB52" s="12"/>
      <c r="XC52" s="12"/>
      <c r="XD52" s="12"/>
      <c r="XE52" s="12"/>
      <c r="XF52" s="12"/>
      <c r="XG52" s="12"/>
      <c r="XH52" s="12"/>
      <c r="XI52" s="12"/>
      <c r="XJ52" s="12"/>
      <c r="XK52" s="12"/>
      <c r="XL52" s="12"/>
      <c r="XM52" s="12"/>
      <c r="XN52" s="12"/>
      <c r="XO52" s="12"/>
      <c r="XP52" s="12"/>
      <c r="XQ52" s="12"/>
      <c r="XR52" s="12"/>
      <c r="XS52" s="12"/>
      <c r="XT52" s="12"/>
      <c r="XU52" s="12"/>
      <c r="XV52" s="12"/>
      <c r="XW52" s="12"/>
      <c r="XX52" s="12"/>
      <c r="XY52" s="12"/>
      <c r="XZ52" s="12"/>
      <c r="YA52" s="12"/>
      <c r="YB52" s="12"/>
      <c r="YC52" s="12"/>
      <c r="YD52" s="12"/>
      <c r="YE52" s="12"/>
      <c r="YF52" s="12"/>
      <c r="YG52" s="12"/>
      <c r="YH52" s="12"/>
      <c r="YI52" s="12"/>
      <c r="YJ52" s="12"/>
      <c r="YK52" s="12"/>
      <c r="YL52" s="12"/>
      <c r="YM52" s="12"/>
      <c r="YN52" s="12"/>
      <c r="YO52" s="12"/>
      <c r="YP52" s="12"/>
      <c r="YQ52" s="12"/>
      <c r="YR52" s="12"/>
      <c r="YS52" s="12"/>
      <c r="YT52" s="12"/>
      <c r="YU52" s="12"/>
      <c r="YV52" s="12"/>
      <c r="YW52" s="12"/>
      <c r="YX52" s="12"/>
      <c r="YY52" s="12"/>
      <c r="YZ52" s="12"/>
      <c r="ZA52" s="12"/>
      <c r="ZB52" s="12"/>
      <c r="ZC52" s="12"/>
      <c r="ZD52" s="12"/>
      <c r="ZE52" s="12"/>
      <c r="ZF52" s="12"/>
      <c r="ZG52" s="12"/>
      <c r="ZH52" s="12"/>
      <c r="ZI52" s="12"/>
      <c r="ZJ52" s="12"/>
      <c r="ZK52" s="12"/>
      <c r="ZL52" s="12"/>
      <c r="ZM52" s="12"/>
      <c r="ZN52" s="12"/>
      <c r="ZO52" s="12"/>
      <c r="ZP52" s="12"/>
      <c r="ZQ52" s="12"/>
      <c r="ZR52" s="12"/>
      <c r="ZS52" s="12"/>
      <c r="ZT52" s="12"/>
      <c r="ZU52" s="12"/>
      <c r="ZV52" s="12"/>
      <c r="ZW52" s="12"/>
      <c r="ZX52" s="12"/>
      <c r="ZY52" s="12"/>
      <c r="ZZ52" s="12"/>
      <c r="AAA52" s="12"/>
      <c r="AAB52" s="12"/>
      <c r="AAC52" s="12"/>
      <c r="AAD52" s="12"/>
      <c r="AAE52" s="12"/>
      <c r="AAF52" s="12"/>
      <c r="AAG52" s="12"/>
      <c r="AAH52" s="12"/>
      <c r="AAI52" s="12"/>
      <c r="AAJ52" s="12"/>
      <c r="AAK52" s="12"/>
      <c r="AAL52" s="12"/>
      <c r="AAM52" s="12"/>
      <c r="AAN52" s="12"/>
      <c r="AAO52" s="12"/>
      <c r="AAP52" s="12"/>
      <c r="AAQ52" s="12"/>
      <c r="AAR52" s="12"/>
      <c r="AAS52" s="12"/>
      <c r="AAT52" s="12"/>
      <c r="AAU52" s="12"/>
      <c r="AAV52" s="12"/>
      <c r="AAW52" s="12"/>
      <c r="AAX52" s="12"/>
      <c r="AAY52" s="12"/>
      <c r="AAZ52" s="12"/>
      <c r="ABA52" s="12"/>
      <c r="ABB52" s="12"/>
      <c r="ABC52" s="12"/>
      <c r="ABD52" s="12"/>
      <c r="ABE52" s="12"/>
      <c r="ABF52" s="12"/>
      <c r="ABG52" s="12"/>
      <c r="ABH52" s="12"/>
      <c r="ABI52" s="12"/>
      <c r="ABJ52" s="12"/>
      <c r="ABK52" s="12"/>
      <c r="ABL52" s="12"/>
      <c r="ABM52" s="12"/>
      <c r="ABN52" s="12"/>
      <c r="ABO52" s="12"/>
      <c r="ABP52" s="12"/>
      <c r="ABQ52" s="12"/>
      <c r="ABR52" s="12"/>
      <c r="ABS52" s="12"/>
      <c r="ABT52" s="12"/>
      <c r="ABU52" s="12"/>
      <c r="ABV52" s="12"/>
      <c r="ABW52" s="12"/>
      <c r="ABX52" s="12"/>
      <c r="ABY52" s="12"/>
      <c r="ABZ52" s="12"/>
      <c r="ACA52" s="12"/>
      <c r="ACB52" s="12"/>
      <c r="ACC52" s="12"/>
      <c r="ACD52" s="12"/>
      <c r="ACE52" s="12"/>
      <c r="ACF52" s="12"/>
      <c r="ACG52" s="12"/>
      <c r="ACH52" s="12"/>
      <c r="ACI52" s="12"/>
      <c r="ACJ52" s="12"/>
      <c r="ACK52" s="12"/>
      <c r="ACL52" s="12"/>
      <c r="ACM52" s="12"/>
      <c r="ACN52" s="12"/>
      <c r="ACO52" s="12"/>
      <c r="ACP52" s="12"/>
      <c r="ACQ52" s="12"/>
      <c r="ACR52" s="12"/>
      <c r="ACS52" s="12"/>
      <c r="ACT52" s="12"/>
      <c r="ACU52" s="12"/>
      <c r="ACV52" s="12"/>
      <c r="ACW52" s="12"/>
      <c r="ACX52" s="12"/>
      <c r="ACY52" s="12"/>
      <c r="ACZ52" s="12"/>
      <c r="ADA52" s="12"/>
      <c r="ADB52" s="12"/>
      <c r="ADC52" s="12"/>
      <c r="ADD52" s="12"/>
      <c r="ADE52" s="12"/>
      <c r="ADF52" s="12"/>
      <c r="ADG52" s="12"/>
      <c r="ADH52" s="12"/>
      <c r="ADI52" s="12"/>
      <c r="ADJ52" s="12"/>
      <c r="ADK52" s="12"/>
      <c r="ADL52" s="12"/>
      <c r="ADM52" s="12"/>
      <c r="ADN52" s="12"/>
      <c r="ADO52" s="12"/>
      <c r="ADP52" s="12"/>
      <c r="ADQ52" s="12"/>
      <c r="ADR52" s="12"/>
      <c r="ADS52" s="12"/>
      <c r="ADT52" s="12"/>
      <c r="ADU52" s="12"/>
      <c r="ADV52" s="12"/>
      <c r="ADW52" s="12"/>
      <c r="ADX52" s="12"/>
      <c r="ADY52" s="12"/>
      <c r="ADZ52" s="12"/>
      <c r="AEA52" s="12"/>
      <c r="AEB52" s="12"/>
      <c r="AEC52" s="12"/>
      <c r="AED52" s="12"/>
      <c r="AEE52" s="12"/>
      <c r="AEF52" s="12"/>
      <c r="AEG52" s="12"/>
      <c r="AEH52" s="12"/>
      <c r="AEI52" s="12"/>
      <c r="AEJ52" s="12"/>
      <c r="AEK52" s="12"/>
      <c r="AEL52" s="12"/>
      <c r="AEM52" s="12"/>
      <c r="AEN52" s="12"/>
      <c r="AEO52" s="12"/>
      <c r="AEP52" s="12"/>
      <c r="AEQ52" s="12"/>
      <c r="AER52" s="12"/>
      <c r="AES52" s="12"/>
      <c r="AET52" s="12"/>
      <c r="AEU52" s="12"/>
      <c r="AEV52" s="12"/>
    </row>
    <row r="53" spans="1:828" s="27" customFormat="1" ht="18" x14ac:dyDescent="0.2">
      <c r="A53" s="62"/>
      <c r="D53" s="29"/>
      <c r="E53" s="23"/>
      <c r="F53" s="23"/>
      <c r="G53" s="23"/>
      <c r="H53" s="30"/>
      <c r="K53" s="30"/>
      <c r="L53" s="23"/>
      <c r="M53" s="29"/>
      <c r="N53" s="47"/>
      <c r="O53" s="12"/>
      <c r="P53" s="48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2"/>
      <c r="FJ53" s="12"/>
      <c r="FK53" s="12"/>
      <c r="FL53" s="12"/>
      <c r="FM53" s="12"/>
      <c r="FN53" s="12"/>
      <c r="FO53" s="12"/>
      <c r="FP53" s="12"/>
      <c r="FQ53" s="12"/>
      <c r="FR53" s="12"/>
      <c r="FS53" s="12"/>
      <c r="FT53" s="12"/>
      <c r="FU53" s="12"/>
      <c r="FV53" s="12"/>
      <c r="FW53" s="12"/>
      <c r="FX53" s="12"/>
      <c r="FY53" s="12"/>
      <c r="FZ53" s="12"/>
      <c r="GA53" s="12"/>
      <c r="GB53" s="12"/>
      <c r="GC53" s="12"/>
      <c r="GD53" s="12"/>
      <c r="GE53" s="12"/>
      <c r="GF53" s="12"/>
      <c r="GG53" s="12"/>
      <c r="GH53" s="12"/>
      <c r="GI53" s="12"/>
      <c r="GJ53" s="12"/>
      <c r="GK53" s="12"/>
      <c r="GL53" s="12"/>
      <c r="GM53" s="12"/>
      <c r="GN53" s="12"/>
      <c r="GO53" s="12"/>
      <c r="GP53" s="12"/>
      <c r="GQ53" s="12"/>
      <c r="GR53" s="12"/>
      <c r="GS53" s="12"/>
      <c r="GT53" s="12"/>
      <c r="GU53" s="12"/>
      <c r="GV53" s="12"/>
      <c r="GW53" s="12"/>
      <c r="GX53" s="12"/>
      <c r="GY53" s="12"/>
      <c r="GZ53" s="12"/>
      <c r="HA53" s="12"/>
      <c r="HB53" s="12"/>
      <c r="HC53" s="12"/>
      <c r="HD53" s="12"/>
      <c r="HE53" s="12"/>
      <c r="HF53" s="12"/>
      <c r="HG53" s="12"/>
      <c r="HH53" s="12"/>
      <c r="HI53" s="12"/>
      <c r="HJ53" s="12"/>
      <c r="HK53" s="12"/>
      <c r="HL53" s="12"/>
      <c r="HM53" s="12"/>
      <c r="HN53" s="12"/>
      <c r="HO53" s="12"/>
      <c r="HP53" s="12"/>
      <c r="HQ53" s="12"/>
      <c r="HR53" s="12"/>
      <c r="HS53" s="12"/>
      <c r="HT53" s="12"/>
      <c r="HU53" s="12"/>
      <c r="HV53" s="12"/>
      <c r="HW53" s="12"/>
      <c r="HX53" s="12"/>
      <c r="HY53" s="12"/>
      <c r="HZ53" s="12"/>
      <c r="IA53" s="12"/>
      <c r="IB53" s="12"/>
      <c r="IC53" s="12"/>
      <c r="ID53" s="12"/>
      <c r="IE53" s="12"/>
      <c r="IF53" s="12"/>
      <c r="IG53" s="12"/>
      <c r="IH53" s="12"/>
      <c r="II53" s="12"/>
      <c r="IJ53" s="12"/>
      <c r="IK53" s="12"/>
      <c r="IL53" s="12"/>
      <c r="IM53" s="12"/>
      <c r="IN53" s="12"/>
      <c r="IO53" s="12"/>
      <c r="IP53" s="12"/>
      <c r="IQ53" s="12"/>
      <c r="IR53" s="12"/>
      <c r="IS53" s="12"/>
      <c r="IT53" s="12"/>
      <c r="IU53" s="12"/>
      <c r="IV53" s="12"/>
      <c r="IW53" s="12"/>
      <c r="IX53" s="12"/>
      <c r="IY53" s="12"/>
      <c r="IZ53" s="12"/>
      <c r="JA53" s="12"/>
      <c r="JB53" s="12"/>
      <c r="JC53" s="12"/>
      <c r="JD53" s="12"/>
      <c r="JE53" s="12"/>
      <c r="JF53" s="12"/>
      <c r="JG53" s="12"/>
      <c r="JH53" s="12"/>
      <c r="JI53" s="12"/>
      <c r="JJ53" s="12"/>
      <c r="JK53" s="12"/>
      <c r="JL53" s="12"/>
      <c r="JM53" s="12"/>
      <c r="JN53" s="12"/>
      <c r="JO53" s="12"/>
      <c r="JP53" s="12"/>
      <c r="JQ53" s="12"/>
      <c r="JR53" s="12"/>
      <c r="JS53" s="12"/>
      <c r="JT53" s="12"/>
      <c r="JU53" s="12"/>
      <c r="JV53" s="12"/>
      <c r="JW53" s="12"/>
      <c r="JX53" s="12"/>
      <c r="JY53" s="12"/>
      <c r="JZ53" s="12"/>
      <c r="KA53" s="12"/>
      <c r="KB53" s="12"/>
      <c r="KC53" s="12"/>
      <c r="KD53" s="12"/>
      <c r="KE53" s="12"/>
      <c r="KF53" s="12"/>
      <c r="KG53" s="12"/>
      <c r="KH53" s="12"/>
      <c r="KI53" s="12"/>
      <c r="KJ53" s="12"/>
      <c r="KK53" s="12"/>
      <c r="KL53" s="12"/>
      <c r="KM53" s="12"/>
      <c r="KN53" s="12"/>
      <c r="KO53" s="12"/>
      <c r="KP53" s="12"/>
      <c r="KQ53" s="12"/>
      <c r="KR53" s="12"/>
      <c r="KS53" s="12"/>
      <c r="KT53" s="12"/>
      <c r="KU53" s="12"/>
      <c r="KV53" s="12"/>
      <c r="KW53" s="12"/>
      <c r="KX53" s="12"/>
      <c r="KY53" s="12"/>
      <c r="KZ53" s="12"/>
      <c r="LA53" s="12"/>
      <c r="LB53" s="12"/>
      <c r="LC53" s="12"/>
      <c r="LD53" s="12"/>
      <c r="LE53" s="12"/>
      <c r="LF53" s="12"/>
      <c r="LG53" s="12"/>
      <c r="LH53" s="12"/>
      <c r="LI53" s="12"/>
      <c r="LJ53" s="12"/>
      <c r="LK53" s="12"/>
      <c r="LL53" s="12"/>
      <c r="LM53" s="12"/>
      <c r="LN53" s="12"/>
      <c r="LO53" s="12"/>
      <c r="LP53" s="12"/>
      <c r="LQ53" s="12"/>
      <c r="LR53" s="12"/>
      <c r="LS53" s="12"/>
      <c r="LT53" s="12"/>
      <c r="LU53" s="12"/>
      <c r="LV53" s="12"/>
      <c r="LW53" s="12"/>
      <c r="LX53" s="12"/>
      <c r="LY53" s="12"/>
      <c r="LZ53" s="12"/>
      <c r="MA53" s="12"/>
      <c r="MB53" s="12"/>
      <c r="MC53" s="12"/>
      <c r="MD53" s="12"/>
      <c r="ME53" s="12"/>
      <c r="MF53" s="12"/>
      <c r="MG53" s="12"/>
      <c r="MH53" s="12"/>
      <c r="MI53" s="12"/>
      <c r="MJ53" s="12"/>
      <c r="MK53" s="12"/>
      <c r="ML53" s="12"/>
      <c r="MM53" s="12"/>
      <c r="MN53" s="12"/>
      <c r="MO53" s="12"/>
      <c r="MP53" s="12"/>
      <c r="MQ53" s="12"/>
      <c r="MR53" s="12"/>
      <c r="MS53" s="12"/>
      <c r="MT53" s="12"/>
      <c r="MU53" s="12"/>
      <c r="MV53" s="12"/>
      <c r="MW53" s="12"/>
      <c r="MX53" s="12"/>
      <c r="MY53" s="12"/>
      <c r="MZ53" s="12"/>
      <c r="NA53" s="12"/>
      <c r="NB53" s="12"/>
      <c r="NC53" s="12"/>
      <c r="ND53" s="12"/>
      <c r="NE53" s="12"/>
      <c r="NF53" s="12"/>
      <c r="NG53" s="12"/>
      <c r="NH53" s="12"/>
      <c r="NI53" s="12"/>
      <c r="NJ53" s="12"/>
      <c r="NK53" s="12"/>
      <c r="NL53" s="12"/>
      <c r="NM53" s="12"/>
      <c r="NN53" s="12"/>
      <c r="NO53" s="12"/>
      <c r="NP53" s="12"/>
      <c r="NQ53" s="12"/>
      <c r="NR53" s="12"/>
      <c r="NS53" s="12"/>
      <c r="NT53" s="12"/>
      <c r="NU53" s="12"/>
      <c r="NV53" s="12"/>
      <c r="NW53" s="12"/>
      <c r="NX53" s="12"/>
      <c r="NY53" s="12"/>
      <c r="NZ53" s="12"/>
      <c r="OA53" s="12"/>
      <c r="OB53" s="12"/>
      <c r="OC53" s="12"/>
      <c r="OD53" s="12"/>
      <c r="OE53" s="12"/>
      <c r="OF53" s="12"/>
      <c r="OG53" s="12"/>
      <c r="OH53" s="12"/>
      <c r="OI53" s="12"/>
      <c r="OJ53" s="12"/>
      <c r="OK53" s="12"/>
      <c r="OL53" s="12"/>
      <c r="OM53" s="12"/>
      <c r="ON53" s="12"/>
      <c r="OO53" s="12"/>
      <c r="OP53" s="12"/>
      <c r="OQ53" s="12"/>
      <c r="OR53" s="12"/>
      <c r="OS53" s="12"/>
      <c r="OT53" s="12"/>
      <c r="OU53" s="12"/>
      <c r="OV53" s="12"/>
      <c r="OW53" s="12"/>
      <c r="OX53" s="12"/>
      <c r="OY53" s="12"/>
      <c r="OZ53" s="12"/>
      <c r="PA53" s="12"/>
      <c r="PB53" s="12"/>
      <c r="PC53" s="12"/>
      <c r="PD53" s="12"/>
      <c r="PE53" s="12"/>
      <c r="PF53" s="12"/>
      <c r="PG53" s="12"/>
      <c r="PH53" s="12"/>
      <c r="PI53" s="12"/>
      <c r="PJ53" s="12"/>
      <c r="PK53" s="12"/>
      <c r="PL53" s="12"/>
      <c r="PM53" s="12"/>
      <c r="PN53" s="12"/>
      <c r="PO53" s="12"/>
      <c r="PP53" s="12"/>
      <c r="PQ53" s="12"/>
      <c r="PR53" s="12"/>
      <c r="PS53" s="12"/>
      <c r="PT53" s="12"/>
      <c r="PU53" s="12"/>
      <c r="PV53" s="12"/>
      <c r="PW53" s="12"/>
      <c r="PX53" s="12"/>
      <c r="PY53" s="12"/>
      <c r="PZ53" s="12"/>
      <c r="QA53" s="12"/>
      <c r="QB53" s="12"/>
      <c r="QC53" s="12"/>
      <c r="QD53" s="12"/>
      <c r="QE53" s="12"/>
      <c r="QF53" s="12"/>
      <c r="QG53" s="12"/>
      <c r="QH53" s="12"/>
      <c r="QI53" s="12"/>
      <c r="QJ53" s="12"/>
      <c r="QK53" s="12"/>
      <c r="QL53" s="12"/>
      <c r="QM53" s="12"/>
      <c r="QN53" s="12"/>
      <c r="QO53" s="12"/>
      <c r="QP53" s="12"/>
      <c r="QQ53" s="12"/>
      <c r="QR53" s="12"/>
      <c r="QS53" s="12"/>
      <c r="QT53" s="12"/>
      <c r="QU53" s="12"/>
      <c r="QV53" s="12"/>
      <c r="QW53" s="12"/>
      <c r="QX53" s="12"/>
      <c r="QY53" s="12"/>
      <c r="QZ53" s="12"/>
      <c r="RA53" s="12"/>
      <c r="RB53" s="12"/>
      <c r="RC53" s="12"/>
      <c r="RD53" s="12"/>
      <c r="RE53" s="12"/>
      <c r="RF53" s="12"/>
      <c r="RG53" s="12"/>
      <c r="RH53" s="12"/>
      <c r="RI53" s="12"/>
      <c r="RJ53" s="12"/>
      <c r="RK53" s="12"/>
      <c r="RL53" s="12"/>
      <c r="RM53" s="12"/>
      <c r="RN53" s="12"/>
      <c r="RO53" s="12"/>
      <c r="RP53" s="12"/>
      <c r="RQ53" s="12"/>
      <c r="RR53" s="12"/>
      <c r="RS53" s="12"/>
      <c r="RT53" s="12"/>
      <c r="RU53" s="12"/>
      <c r="RV53" s="12"/>
      <c r="RW53" s="12"/>
      <c r="RX53" s="12"/>
      <c r="RY53" s="12"/>
      <c r="RZ53" s="12"/>
      <c r="SA53" s="12"/>
      <c r="SB53" s="12"/>
      <c r="SC53" s="12"/>
      <c r="SD53" s="12"/>
      <c r="SE53" s="12"/>
      <c r="SF53" s="12"/>
      <c r="SG53" s="12"/>
      <c r="SH53" s="12"/>
      <c r="SI53" s="12"/>
      <c r="SJ53" s="12"/>
      <c r="SK53" s="12"/>
      <c r="SL53" s="12"/>
      <c r="SM53" s="12"/>
      <c r="SN53" s="12"/>
      <c r="SO53" s="12"/>
      <c r="SP53" s="12"/>
      <c r="SQ53" s="12"/>
      <c r="SR53" s="12"/>
      <c r="SS53" s="12"/>
      <c r="ST53" s="12"/>
      <c r="SU53" s="12"/>
      <c r="SV53" s="12"/>
      <c r="SW53" s="12"/>
      <c r="SX53" s="12"/>
      <c r="SY53" s="12"/>
      <c r="SZ53" s="12"/>
      <c r="TA53" s="12"/>
      <c r="TB53" s="12"/>
      <c r="TC53" s="12"/>
      <c r="TD53" s="12"/>
      <c r="TE53" s="12"/>
      <c r="TF53" s="12"/>
      <c r="TG53" s="12"/>
      <c r="TH53" s="12"/>
      <c r="TI53" s="12"/>
      <c r="TJ53" s="12"/>
      <c r="TK53" s="12"/>
      <c r="TL53" s="12"/>
      <c r="TM53" s="12"/>
      <c r="TN53" s="12"/>
      <c r="TO53" s="12"/>
      <c r="TP53" s="12"/>
      <c r="TQ53" s="12"/>
      <c r="TR53" s="12"/>
      <c r="TS53" s="12"/>
      <c r="TT53" s="12"/>
      <c r="TU53" s="12"/>
      <c r="TV53" s="12"/>
      <c r="TW53" s="12"/>
      <c r="TX53" s="12"/>
      <c r="TY53" s="12"/>
      <c r="TZ53" s="12"/>
      <c r="UA53" s="12"/>
      <c r="UB53" s="12"/>
      <c r="UC53" s="12"/>
      <c r="UD53" s="12"/>
      <c r="UE53" s="12"/>
      <c r="UF53" s="12"/>
      <c r="UG53" s="12"/>
      <c r="UH53" s="12"/>
      <c r="UI53" s="12"/>
      <c r="UJ53" s="12"/>
      <c r="UK53" s="12"/>
      <c r="UL53" s="12"/>
      <c r="UM53" s="12"/>
      <c r="UN53" s="12"/>
      <c r="UO53" s="12"/>
      <c r="UP53" s="12"/>
      <c r="UQ53" s="12"/>
      <c r="UR53" s="12"/>
      <c r="US53" s="12"/>
      <c r="UT53" s="12"/>
      <c r="UU53" s="12"/>
      <c r="UV53" s="12"/>
      <c r="UW53" s="12"/>
      <c r="UX53" s="12"/>
      <c r="UY53" s="12"/>
      <c r="UZ53" s="12"/>
      <c r="VA53" s="12"/>
      <c r="VB53" s="12"/>
      <c r="VC53" s="12"/>
      <c r="VD53" s="12"/>
      <c r="VE53" s="12"/>
      <c r="VF53" s="12"/>
      <c r="VG53" s="12"/>
      <c r="VH53" s="12"/>
      <c r="VI53" s="12"/>
      <c r="VJ53" s="12"/>
      <c r="VK53" s="12"/>
      <c r="VL53" s="12"/>
      <c r="VM53" s="12"/>
      <c r="VN53" s="12"/>
      <c r="VO53" s="12"/>
      <c r="VP53" s="12"/>
      <c r="VQ53" s="12"/>
      <c r="VR53" s="12"/>
      <c r="VS53" s="12"/>
      <c r="VT53" s="12"/>
      <c r="VU53" s="12"/>
      <c r="VV53" s="12"/>
      <c r="VW53" s="12"/>
      <c r="VX53" s="12"/>
      <c r="VY53" s="12"/>
      <c r="VZ53" s="12"/>
      <c r="WA53" s="12"/>
      <c r="WB53" s="12"/>
      <c r="WC53" s="12"/>
      <c r="WD53" s="12"/>
      <c r="WE53" s="12"/>
      <c r="WF53" s="12"/>
      <c r="WG53" s="12"/>
      <c r="WH53" s="12"/>
      <c r="WI53" s="12"/>
      <c r="WJ53" s="12"/>
      <c r="WK53" s="12"/>
      <c r="WL53" s="12"/>
      <c r="WM53" s="12"/>
      <c r="WN53" s="12"/>
      <c r="WO53" s="12"/>
      <c r="WP53" s="12"/>
      <c r="WQ53" s="12"/>
      <c r="WR53" s="12"/>
      <c r="WS53" s="12"/>
      <c r="WT53" s="12"/>
      <c r="WU53" s="12"/>
      <c r="WV53" s="12"/>
      <c r="WW53" s="12"/>
      <c r="WX53" s="12"/>
      <c r="WY53" s="12"/>
      <c r="WZ53" s="12"/>
      <c r="XA53" s="12"/>
      <c r="XB53" s="12"/>
      <c r="XC53" s="12"/>
      <c r="XD53" s="12"/>
      <c r="XE53" s="12"/>
      <c r="XF53" s="12"/>
      <c r="XG53" s="12"/>
      <c r="XH53" s="12"/>
      <c r="XI53" s="12"/>
      <c r="XJ53" s="12"/>
      <c r="XK53" s="12"/>
      <c r="XL53" s="12"/>
      <c r="XM53" s="12"/>
      <c r="XN53" s="12"/>
      <c r="XO53" s="12"/>
      <c r="XP53" s="12"/>
      <c r="XQ53" s="12"/>
      <c r="XR53" s="12"/>
      <c r="XS53" s="12"/>
      <c r="XT53" s="12"/>
      <c r="XU53" s="12"/>
      <c r="XV53" s="12"/>
      <c r="XW53" s="12"/>
      <c r="XX53" s="12"/>
      <c r="XY53" s="12"/>
      <c r="XZ53" s="12"/>
      <c r="YA53" s="12"/>
      <c r="YB53" s="12"/>
      <c r="YC53" s="12"/>
      <c r="YD53" s="12"/>
      <c r="YE53" s="12"/>
      <c r="YF53" s="12"/>
      <c r="YG53" s="12"/>
      <c r="YH53" s="12"/>
      <c r="YI53" s="12"/>
      <c r="YJ53" s="12"/>
      <c r="YK53" s="12"/>
      <c r="YL53" s="12"/>
      <c r="YM53" s="12"/>
      <c r="YN53" s="12"/>
      <c r="YO53" s="12"/>
      <c r="YP53" s="12"/>
      <c r="YQ53" s="12"/>
      <c r="YR53" s="12"/>
      <c r="YS53" s="12"/>
      <c r="YT53" s="12"/>
      <c r="YU53" s="12"/>
      <c r="YV53" s="12"/>
      <c r="YW53" s="12"/>
      <c r="YX53" s="12"/>
      <c r="YY53" s="12"/>
      <c r="YZ53" s="12"/>
      <c r="ZA53" s="12"/>
      <c r="ZB53" s="12"/>
      <c r="ZC53" s="12"/>
      <c r="ZD53" s="12"/>
      <c r="ZE53" s="12"/>
      <c r="ZF53" s="12"/>
      <c r="ZG53" s="12"/>
      <c r="ZH53" s="12"/>
      <c r="ZI53" s="12"/>
      <c r="ZJ53" s="12"/>
      <c r="ZK53" s="12"/>
      <c r="ZL53" s="12"/>
      <c r="ZM53" s="12"/>
      <c r="ZN53" s="12"/>
      <c r="ZO53" s="12"/>
      <c r="ZP53" s="12"/>
      <c r="ZQ53" s="12"/>
      <c r="ZR53" s="12"/>
      <c r="ZS53" s="12"/>
      <c r="ZT53" s="12"/>
      <c r="ZU53" s="12"/>
      <c r="ZV53" s="12"/>
      <c r="ZW53" s="12"/>
      <c r="ZX53" s="12"/>
      <c r="ZY53" s="12"/>
      <c r="ZZ53" s="12"/>
      <c r="AAA53" s="12"/>
      <c r="AAB53" s="12"/>
      <c r="AAC53" s="12"/>
      <c r="AAD53" s="12"/>
      <c r="AAE53" s="12"/>
      <c r="AAF53" s="12"/>
      <c r="AAG53" s="12"/>
      <c r="AAH53" s="12"/>
      <c r="AAI53" s="12"/>
      <c r="AAJ53" s="12"/>
      <c r="AAK53" s="12"/>
      <c r="AAL53" s="12"/>
      <c r="AAM53" s="12"/>
      <c r="AAN53" s="12"/>
      <c r="AAO53" s="12"/>
      <c r="AAP53" s="12"/>
      <c r="AAQ53" s="12"/>
      <c r="AAR53" s="12"/>
      <c r="AAS53" s="12"/>
      <c r="AAT53" s="12"/>
      <c r="AAU53" s="12"/>
      <c r="AAV53" s="12"/>
      <c r="AAW53" s="12"/>
      <c r="AAX53" s="12"/>
      <c r="AAY53" s="12"/>
      <c r="AAZ53" s="12"/>
      <c r="ABA53" s="12"/>
      <c r="ABB53" s="12"/>
      <c r="ABC53" s="12"/>
      <c r="ABD53" s="12"/>
      <c r="ABE53" s="12"/>
      <c r="ABF53" s="12"/>
      <c r="ABG53" s="12"/>
      <c r="ABH53" s="12"/>
      <c r="ABI53" s="12"/>
      <c r="ABJ53" s="12"/>
      <c r="ABK53" s="12"/>
      <c r="ABL53" s="12"/>
      <c r="ABM53" s="12"/>
      <c r="ABN53" s="12"/>
      <c r="ABO53" s="12"/>
      <c r="ABP53" s="12"/>
      <c r="ABQ53" s="12"/>
      <c r="ABR53" s="12"/>
      <c r="ABS53" s="12"/>
      <c r="ABT53" s="12"/>
      <c r="ABU53" s="12"/>
      <c r="ABV53" s="12"/>
      <c r="ABW53" s="12"/>
      <c r="ABX53" s="12"/>
      <c r="ABY53" s="12"/>
      <c r="ABZ53" s="12"/>
      <c r="ACA53" s="12"/>
      <c r="ACB53" s="12"/>
      <c r="ACC53" s="12"/>
      <c r="ACD53" s="12"/>
      <c r="ACE53" s="12"/>
      <c r="ACF53" s="12"/>
      <c r="ACG53" s="12"/>
      <c r="ACH53" s="12"/>
      <c r="ACI53" s="12"/>
      <c r="ACJ53" s="12"/>
      <c r="ACK53" s="12"/>
      <c r="ACL53" s="12"/>
      <c r="ACM53" s="12"/>
      <c r="ACN53" s="12"/>
      <c r="ACO53" s="12"/>
      <c r="ACP53" s="12"/>
      <c r="ACQ53" s="12"/>
      <c r="ACR53" s="12"/>
      <c r="ACS53" s="12"/>
      <c r="ACT53" s="12"/>
      <c r="ACU53" s="12"/>
      <c r="ACV53" s="12"/>
      <c r="ACW53" s="12"/>
      <c r="ACX53" s="12"/>
      <c r="ACY53" s="12"/>
      <c r="ACZ53" s="12"/>
      <c r="ADA53" s="12"/>
      <c r="ADB53" s="12"/>
      <c r="ADC53" s="12"/>
      <c r="ADD53" s="12"/>
      <c r="ADE53" s="12"/>
      <c r="ADF53" s="12"/>
      <c r="ADG53" s="12"/>
      <c r="ADH53" s="12"/>
      <c r="ADI53" s="12"/>
      <c r="ADJ53" s="12"/>
      <c r="ADK53" s="12"/>
      <c r="ADL53" s="12"/>
      <c r="ADM53" s="12"/>
      <c r="ADN53" s="12"/>
      <c r="ADO53" s="12"/>
      <c r="ADP53" s="12"/>
      <c r="ADQ53" s="12"/>
      <c r="ADR53" s="12"/>
      <c r="ADS53" s="12"/>
      <c r="ADT53" s="12"/>
      <c r="ADU53" s="12"/>
      <c r="ADV53" s="12"/>
      <c r="ADW53" s="12"/>
      <c r="ADX53" s="12"/>
      <c r="ADY53" s="12"/>
      <c r="ADZ53" s="12"/>
      <c r="AEA53" s="12"/>
      <c r="AEB53" s="12"/>
      <c r="AEC53" s="12"/>
      <c r="AED53" s="12"/>
      <c r="AEE53" s="12"/>
      <c r="AEF53" s="12"/>
      <c r="AEG53" s="12"/>
      <c r="AEH53" s="12"/>
      <c r="AEI53" s="12"/>
      <c r="AEJ53" s="12"/>
      <c r="AEK53" s="12"/>
      <c r="AEL53" s="12"/>
      <c r="AEM53" s="12"/>
      <c r="AEN53" s="12"/>
      <c r="AEO53" s="12"/>
      <c r="AEP53" s="12"/>
      <c r="AEQ53" s="12"/>
      <c r="AER53" s="12"/>
      <c r="AES53" s="12"/>
      <c r="AET53" s="12"/>
      <c r="AEU53" s="12"/>
      <c r="AEV53" s="12"/>
    </row>
    <row r="54" spans="1:828" s="27" customFormat="1" ht="18" x14ac:dyDescent="0.2">
      <c r="A54" s="62"/>
      <c r="C54" s="23"/>
      <c r="D54" s="29"/>
      <c r="E54" s="23"/>
      <c r="F54" s="23"/>
      <c r="G54" s="23"/>
      <c r="H54" s="30"/>
      <c r="K54" s="30"/>
      <c r="L54" s="23"/>
      <c r="M54" s="29"/>
      <c r="N54" s="47"/>
      <c r="O54" s="12"/>
      <c r="P54" s="48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  <c r="ID54" s="12"/>
      <c r="IE54" s="12"/>
      <c r="IF54" s="12"/>
      <c r="IG54" s="12"/>
      <c r="IH54" s="12"/>
      <c r="II54" s="12"/>
      <c r="IJ54" s="12"/>
      <c r="IK54" s="12"/>
      <c r="IL54" s="12"/>
      <c r="IM54" s="12"/>
      <c r="IN54" s="12"/>
      <c r="IO54" s="12"/>
      <c r="IP54" s="12"/>
      <c r="IQ54" s="12"/>
      <c r="IR54" s="12"/>
      <c r="IS54" s="12"/>
      <c r="IT54" s="12"/>
      <c r="IU54" s="12"/>
      <c r="IV54" s="12"/>
      <c r="IW54" s="12"/>
      <c r="IX54" s="12"/>
      <c r="IY54" s="12"/>
      <c r="IZ54" s="12"/>
      <c r="JA54" s="12"/>
      <c r="JB54" s="12"/>
      <c r="JC54" s="12"/>
      <c r="JD54" s="12"/>
      <c r="JE54" s="12"/>
      <c r="JF54" s="12"/>
      <c r="JG54" s="12"/>
      <c r="JH54" s="12"/>
      <c r="JI54" s="12"/>
      <c r="JJ54" s="12"/>
      <c r="JK54" s="12"/>
      <c r="JL54" s="12"/>
      <c r="JM54" s="12"/>
      <c r="JN54" s="12"/>
      <c r="JO54" s="12"/>
      <c r="JP54" s="12"/>
      <c r="JQ54" s="12"/>
      <c r="JR54" s="12"/>
      <c r="JS54" s="12"/>
      <c r="JT54" s="12"/>
      <c r="JU54" s="12"/>
      <c r="JV54" s="12"/>
      <c r="JW54" s="12"/>
      <c r="JX54" s="12"/>
      <c r="JY54" s="12"/>
      <c r="JZ54" s="12"/>
      <c r="KA54" s="12"/>
      <c r="KB54" s="12"/>
      <c r="KC54" s="12"/>
      <c r="KD54" s="12"/>
      <c r="KE54" s="12"/>
      <c r="KF54" s="12"/>
      <c r="KG54" s="12"/>
      <c r="KH54" s="12"/>
      <c r="KI54" s="12"/>
      <c r="KJ54" s="12"/>
      <c r="KK54" s="12"/>
      <c r="KL54" s="12"/>
      <c r="KM54" s="12"/>
      <c r="KN54" s="12"/>
      <c r="KO54" s="12"/>
      <c r="KP54" s="12"/>
      <c r="KQ54" s="12"/>
      <c r="KR54" s="12"/>
      <c r="KS54" s="12"/>
      <c r="KT54" s="12"/>
      <c r="KU54" s="12"/>
      <c r="KV54" s="12"/>
      <c r="KW54" s="12"/>
      <c r="KX54" s="12"/>
      <c r="KY54" s="12"/>
      <c r="KZ54" s="12"/>
      <c r="LA54" s="12"/>
      <c r="LB54" s="12"/>
      <c r="LC54" s="12"/>
      <c r="LD54" s="12"/>
      <c r="LE54" s="12"/>
      <c r="LF54" s="12"/>
      <c r="LG54" s="12"/>
      <c r="LH54" s="12"/>
      <c r="LI54" s="12"/>
      <c r="LJ54" s="12"/>
      <c r="LK54" s="12"/>
      <c r="LL54" s="12"/>
      <c r="LM54" s="12"/>
      <c r="LN54" s="12"/>
      <c r="LO54" s="12"/>
      <c r="LP54" s="12"/>
      <c r="LQ54" s="12"/>
      <c r="LR54" s="12"/>
      <c r="LS54" s="12"/>
      <c r="LT54" s="12"/>
      <c r="LU54" s="12"/>
      <c r="LV54" s="12"/>
      <c r="LW54" s="12"/>
      <c r="LX54" s="12"/>
      <c r="LY54" s="12"/>
      <c r="LZ54" s="12"/>
      <c r="MA54" s="12"/>
      <c r="MB54" s="12"/>
      <c r="MC54" s="12"/>
      <c r="MD54" s="12"/>
      <c r="ME54" s="12"/>
      <c r="MF54" s="12"/>
      <c r="MG54" s="12"/>
      <c r="MH54" s="12"/>
      <c r="MI54" s="12"/>
      <c r="MJ54" s="12"/>
      <c r="MK54" s="12"/>
      <c r="ML54" s="12"/>
      <c r="MM54" s="12"/>
      <c r="MN54" s="12"/>
      <c r="MO54" s="12"/>
      <c r="MP54" s="12"/>
      <c r="MQ54" s="12"/>
      <c r="MR54" s="12"/>
      <c r="MS54" s="12"/>
      <c r="MT54" s="12"/>
      <c r="MU54" s="12"/>
      <c r="MV54" s="12"/>
      <c r="MW54" s="12"/>
      <c r="MX54" s="12"/>
      <c r="MY54" s="12"/>
      <c r="MZ54" s="12"/>
      <c r="NA54" s="12"/>
      <c r="NB54" s="12"/>
      <c r="NC54" s="12"/>
      <c r="ND54" s="12"/>
      <c r="NE54" s="12"/>
      <c r="NF54" s="12"/>
      <c r="NG54" s="12"/>
      <c r="NH54" s="12"/>
      <c r="NI54" s="12"/>
      <c r="NJ54" s="12"/>
      <c r="NK54" s="12"/>
      <c r="NL54" s="12"/>
      <c r="NM54" s="12"/>
      <c r="NN54" s="12"/>
      <c r="NO54" s="12"/>
      <c r="NP54" s="12"/>
      <c r="NQ54" s="12"/>
      <c r="NR54" s="12"/>
      <c r="NS54" s="12"/>
      <c r="NT54" s="12"/>
      <c r="NU54" s="12"/>
      <c r="NV54" s="12"/>
      <c r="NW54" s="12"/>
      <c r="NX54" s="12"/>
      <c r="NY54" s="12"/>
      <c r="NZ54" s="12"/>
      <c r="OA54" s="12"/>
      <c r="OB54" s="12"/>
      <c r="OC54" s="12"/>
      <c r="OD54" s="12"/>
      <c r="OE54" s="12"/>
      <c r="OF54" s="12"/>
      <c r="OG54" s="12"/>
      <c r="OH54" s="12"/>
      <c r="OI54" s="12"/>
      <c r="OJ54" s="12"/>
      <c r="OK54" s="12"/>
      <c r="OL54" s="12"/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/>
      <c r="PS54" s="12"/>
      <c r="PT54" s="12"/>
      <c r="PU54" s="12"/>
      <c r="PV54" s="12"/>
      <c r="PW54" s="12"/>
      <c r="PX54" s="12"/>
      <c r="PY54" s="12"/>
      <c r="PZ54" s="12"/>
      <c r="QA54" s="12"/>
      <c r="QB54" s="12"/>
      <c r="QC54" s="12"/>
      <c r="QD54" s="12"/>
      <c r="QE54" s="12"/>
      <c r="QF54" s="12"/>
      <c r="QG54" s="12"/>
      <c r="QH54" s="12"/>
      <c r="QI54" s="12"/>
      <c r="QJ54" s="12"/>
      <c r="QK54" s="12"/>
      <c r="QL54" s="12"/>
      <c r="QM54" s="12"/>
      <c r="QN54" s="12"/>
      <c r="QO54" s="12"/>
      <c r="QP54" s="12"/>
      <c r="QQ54" s="12"/>
      <c r="QR54" s="12"/>
      <c r="QS54" s="12"/>
      <c r="QT54" s="12"/>
      <c r="QU54" s="12"/>
      <c r="QV54" s="12"/>
      <c r="QW54" s="12"/>
      <c r="QX54" s="12"/>
      <c r="QY54" s="12"/>
      <c r="QZ54" s="12"/>
      <c r="RA54" s="12"/>
      <c r="RB54" s="12"/>
      <c r="RC54" s="12"/>
      <c r="RD54" s="12"/>
      <c r="RE54" s="12"/>
      <c r="RF54" s="12"/>
      <c r="RG54" s="12"/>
      <c r="RH54" s="12"/>
      <c r="RI54" s="12"/>
      <c r="RJ54" s="12"/>
      <c r="RK54" s="12"/>
      <c r="RL54" s="12"/>
      <c r="RM54" s="12"/>
      <c r="RN54" s="12"/>
      <c r="RO54" s="12"/>
      <c r="RP54" s="12"/>
      <c r="RQ54" s="12"/>
      <c r="RR54" s="12"/>
      <c r="RS54" s="12"/>
      <c r="RT54" s="12"/>
      <c r="RU54" s="12"/>
      <c r="RV54" s="12"/>
      <c r="RW54" s="12"/>
      <c r="RX54" s="12"/>
      <c r="RY54" s="12"/>
      <c r="RZ54" s="12"/>
      <c r="SA54" s="12"/>
      <c r="SB54" s="12"/>
      <c r="SC54" s="12"/>
      <c r="SD54" s="12"/>
      <c r="SE54" s="12"/>
      <c r="SF54" s="12"/>
      <c r="SG54" s="12"/>
      <c r="SH54" s="12"/>
      <c r="SI54" s="12"/>
      <c r="SJ54" s="12"/>
      <c r="SK54" s="12"/>
      <c r="SL54" s="12"/>
      <c r="SM54" s="12"/>
      <c r="SN54" s="12"/>
      <c r="SO54" s="12"/>
      <c r="SP54" s="12"/>
      <c r="SQ54" s="12"/>
      <c r="SR54" s="12"/>
      <c r="SS54" s="12"/>
      <c r="ST54" s="12"/>
      <c r="SU54" s="12"/>
      <c r="SV54" s="12"/>
      <c r="SW54" s="12"/>
      <c r="SX54" s="12"/>
      <c r="SY54" s="12"/>
      <c r="SZ54" s="12"/>
      <c r="TA54" s="12"/>
      <c r="TB54" s="12"/>
      <c r="TC54" s="12"/>
      <c r="TD54" s="12"/>
      <c r="TE54" s="12"/>
      <c r="TF54" s="12"/>
      <c r="TG54" s="12"/>
      <c r="TH54" s="12"/>
      <c r="TI54" s="12"/>
      <c r="TJ54" s="12"/>
      <c r="TK54" s="12"/>
      <c r="TL54" s="12"/>
      <c r="TM54" s="12"/>
      <c r="TN54" s="12"/>
      <c r="TO54" s="12"/>
      <c r="TP54" s="12"/>
      <c r="TQ54" s="12"/>
      <c r="TR54" s="12"/>
      <c r="TS54" s="12"/>
      <c r="TT54" s="12"/>
      <c r="TU54" s="12"/>
      <c r="TV54" s="12"/>
      <c r="TW54" s="12"/>
      <c r="TX54" s="12"/>
      <c r="TY54" s="12"/>
      <c r="TZ54" s="12"/>
      <c r="UA54" s="12"/>
      <c r="UB54" s="12"/>
      <c r="UC54" s="12"/>
      <c r="UD54" s="12"/>
      <c r="UE54" s="12"/>
      <c r="UF54" s="12"/>
      <c r="UG54" s="12"/>
      <c r="UH54" s="12"/>
      <c r="UI54" s="12"/>
      <c r="UJ54" s="12"/>
      <c r="UK54" s="12"/>
      <c r="UL54" s="12"/>
      <c r="UM54" s="12"/>
      <c r="UN54" s="12"/>
      <c r="UO54" s="12"/>
      <c r="UP54" s="12"/>
      <c r="UQ54" s="12"/>
      <c r="UR54" s="12"/>
      <c r="US54" s="12"/>
      <c r="UT54" s="12"/>
      <c r="UU54" s="12"/>
      <c r="UV54" s="12"/>
      <c r="UW54" s="12"/>
      <c r="UX54" s="12"/>
      <c r="UY54" s="12"/>
      <c r="UZ54" s="12"/>
      <c r="VA54" s="12"/>
      <c r="VB54" s="12"/>
      <c r="VC54" s="12"/>
      <c r="VD54" s="12"/>
      <c r="VE54" s="12"/>
      <c r="VF54" s="12"/>
      <c r="VG54" s="12"/>
      <c r="VH54" s="12"/>
      <c r="VI54" s="12"/>
      <c r="VJ54" s="12"/>
      <c r="VK54" s="12"/>
      <c r="VL54" s="12"/>
      <c r="VM54" s="12"/>
      <c r="VN54" s="12"/>
      <c r="VO54" s="12"/>
      <c r="VP54" s="12"/>
      <c r="VQ54" s="12"/>
      <c r="VR54" s="12"/>
      <c r="VS54" s="12"/>
      <c r="VT54" s="12"/>
      <c r="VU54" s="12"/>
      <c r="VV54" s="12"/>
      <c r="VW54" s="12"/>
      <c r="VX54" s="12"/>
      <c r="VY54" s="12"/>
      <c r="VZ54" s="12"/>
      <c r="WA54" s="12"/>
      <c r="WB54" s="12"/>
      <c r="WC54" s="12"/>
      <c r="WD54" s="12"/>
      <c r="WE54" s="12"/>
      <c r="WF54" s="12"/>
      <c r="WG54" s="12"/>
      <c r="WH54" s="12"/>
      <c r="WI54" s="12"/>
      <c r="WJ54" s="12"/>
      <c r="WK54" s="12"/>
      <c r="WL54" s="12"/>
      <c r="WM54" s="12"/>
      <c r="WN54" s="12"/>
      <c r="WO54" s="12"/>
      <c r="WP54" s="12"/>
      <c r="WQ54" s="12"/>
      <c r="WR54" s="12"/>
      <c r="WS54" s="12"/>
      <c r="WT54" s="12"/>
      <c r="WU54" s="12"/>
      <c r="WV54" s="12"/>
      <c r="WW54" s="12"/>
      <c r="WX54" s="12"/>
      <c r="WY54" s="12"/>
      <c r="WZ54" s="12"/>
      <c r="XA54" s="12"/>
      <c r="XB54" s="12"/>
      <c r="XC54" s="12"/>
      <c r="XD54" s="12"/>
      <c r="XE54" s="12"/>
      <c r="XF54" s="12"/>
      <c r="XG54" s="12"/>
      <c r="XH54" s="12"/>
      <c r="XI54" s="12"/>
      <c r="XJ54" s="12"/>
      <c r="XK54" s="12"/>
      <c r="XL54" s="12"/>
      <c r="XM54" s="12"/>
      <c r="XN54" s="12"/>
      <c r="XO54" s="12"/>
      <c r="XP54" s="12"/>
      <c r="XQ54" s="12"/>
      <c r="XR54" s="12"/>
      <c r="XS54" s="12"/>
      <c r="XT54" s="12"/>
      <c r="XU54" s="12"/>
      <c r="XV54" s="12"/>
      <c r="XW54" s="12"/>
      <c r="XX54" s="12"/>
      <c r="XY54" s="12"/>
      <c r="XZ54" s="12"/>
      <c r="YA54" s="12"/>
      <c r="YB54" s="12"/>
      <c r="YC54" s="12"/>
      <c r="YD54" s="12"/>
      <c r="YE54" s="12"/>
      <c r="YF54" s="12"/>
      <c r="YG54" s="12"/>
      <c r="YH54" s="12"/>
      <c r="YI54" s="12"/>
      <c r="YJ54" s="12"/>
      <c r="YK54" s="12"/>
      <c r="YL54" s="12"/>
      <c r="YM54" s="12"/>
      <c r="YN54" s="12"/>
      <c r="YO54" s="12"/>
      <c r="YP54" s="12"/>
      <c r="YQ54" s="12"/>
      <c r="YR54" s="12"/>
      <c r="YS54" s="12"/>
      <c r="YT54" s="12"/>
      <c r="YU54" s="12"/>
      <c r="YV54" s="12"/>
      <c r="YW54" s="12"/>
      <c r="YX54" s="12"/>
      <c r="YY54" s="12"/>
      <c r="YZ54" s="12"/>
      <c r="ZA54" s="12"/>
      <c r="ZB54" s="12"/>
      <c r="ZC54" s="12"/>
      <c r="ZD54" s="12"/>
      <c r="ZE54" s="12"/>
      <c r="ZF54" s="12"/>
      <c r="ZG54" s="12"/>
      <c r="ZH54" s="12"/>
      <c r="ZI54" s="12"/>
      <c r="ZJ54" s="12"/>
      <c r="ZK54" s="12"/>
      <c r="ZL54" s="12"/>
      <c r="ZM54" s="12"/>
      <c r="ZN54" s="12"/>
      <c r="ZO54" s="12"/>
      <c r="ZP54" s="12"/>
      <c r="ZQ54" s="12"/>
      <c r="ZR54" s="12"/>
      <c r="ZS54" s="12"/>
      <c r="ZT54" s="12"/>
      <c r="ZU54" s="12"/>
      <c r="ZV54" s="12"/>
      <c r="ZW54" s="12"/>
      <c r="ZX54" s="12"/>
      <c r="ZY54" s="12"/>
      <c r="ZZ54" s="12"/>
      <c r="AAA54" s="12"/>
      <c r="AAB54" s="12"/>
      <c r="AAC54" s="12"/>
      <c r="AAD54" s="12"/>
      <c r="AAE54" s="12"/>
      <c r="AAF54" s="12"/>
      <c r="AAG54" s="12"/>
      <c r="AAH54" s="12"/>
      <c r="AAI54" s="12"/>
      <c r="AAJ54" s="12"/>
      <c r="AAK54" s="12"/>
      <c r="AAL54" s="12"/>
      <c r="AAM54" s="12"/>
      <c r="AAN54" s="12"/>
      <c r="AAO54" s="12"/>
      <c r="AAP54" s="12"/>
      <c r="AAQ54" s="12"/>
      <c r="AAR54" s="12"/>
      <c r="AAS54" s="12"/>
      <c r="AAT54" s="12"/>
      <c r="AAU54" s="12"/>
      <c r="AAV54" s="12"/>
      <c r="AAW54" s="12"/>
      <c r="AAX54" s="12"/>
      <c r="AAY54" s="12"/>
      <c r="AAZ54" s="12"/>
      <c r="ABA54" s="12"/>
      <c r="ABB54" s="12"/>
      <c r="ABC54" s="12"/>
      <c r="ABD54" s="12"/>
      <c r="ABE54" s="12"/>
      <c r="ABF54" s="12"/>
      <c r="ABG54" s="12"/>
      <c r="ABH54" s="12"/>
      <c r="ABI54" s="12"/>
      <c r="ABJ54" s="12"/>
      <c r="ABK54" s="12"/>
      <c r="ABL54" s="12"/>
      <c r="ABM54" s="12"/>
      <c r="ABN54" s="12"/>
      <c r="ABO54" s="12"/>
      <c r="ABP54" s="12"/>
      <c r="ABQ54" s="12"/>
      <c r="ABR54" s="12"/>
      <c r="ABS54" s="12"/>
      <c r="ABT54" s="12"/>
      <c r="ABU54" s="12"/>
      <c r="ABV54" s="12"/>
      <c r="ABW54" s="12"/>
      <c r="ABX54" s="12"/>
      <c r="ABY54" s="12"/>
      <c r="ABZ54" s="12"/>
      <c r="ACA54" s="12"/>
      <c r="ACB54" s="12"/>
      <c r="ACC54" s="12"/>
      <c r="ACD54" s="12"/>
      <c r="ACE54" s="12"/>
      <c r="ACF54" s="12"/>
      <c r="ACG54" s="12"/>
      <c r="ACH54" s="12"/>
      <c r="ACI54" s="12"/>
      <c r="ACJ54" s="12"/>
      <c r="ACK54" s="12"/>
      <c r="ACL54" s="12"/>
      <c r="ACM54" s="12"/>
      <c r="ACN54" s="12"/>
      <c r="ACO54" s="12"/>
      <c r="ACP54" s="12"/>
      <c r="ACQ54" s="12"/>
      <c r="ACR54" s="12"/>
      <c r="ACS54" s="12"/>
      <c r="ACT54" s="12"/>
      <c r="ACU54" s="12"/>
      <c r="ACV54" s="12"/>
      <c r="ACW54" s="12"/>
      <c r="ACX54" s="12"/>
      <c r="ACY54" s="12"/>
      <c r="ACZ54" s="12"/>
      <c r="ADA54" s="12"/>
      <c r="ADB54" s="12"/>
      <c r="ADC54" s="12"/>
      <c r="ADD54" s="12"/>
      <c r="ADE54" s="12"/>
      <c r="ADF54" s="12"/>
      <c r="ADG54" s="12"/>
      <c r="ADH54" s="12"/>
      <c r="ADI54" s="12"/>
      <c r="ADJ54" s="12"/>
      <c r="ADK54" s="12"/>
      <c r="ADL54" s="12"/>
      <c r="ADM54" s="12"/>
      <c r="ADN54" s="12"/>
      <c r="ADO54" s="12"/>
      <c r="ADP54" s="12"/>
      <c r="ADQ54" s="12"/>
      <c r="ADR54" s="12"/>
      <c r="ADS54" s="12"/>
      <c r="ADT54" s="12"/>
      <c r="ADU54" s="12"/>
      <c r="ADV54" s="12"/>
      <c r="ADW54" s="12"/>
      <c r="ADX54" s="12"/>
      <c r="ADY54" s="12"/>
      <c r="ADZ54" s="12"/>
      <c r="AEA54" s="12"/>
      <c r="AEB54" s="12"/>
      <c r="AEC54" s="12"/>
      <c r="AED54" s="12"/>
      <c r="AEE54" s="12"/>
      <c r="AEF54" s="12"/>
      <c r="AEG54" s="12"/>
      <c r="AEH54" s="12"/>
      <c r="AEI54" s="12"/>
      <c r="AEJ54" s="12"/>
      <c r="AEK54" s="12"/>
      <c r="AEL54" s="12"/>
      <c r="AEM54" s="12"/>
      <c r="AEN54" s="12"/>
      <c r="AEO54" s="12"/>
      <c r="AEP54" s="12"/>
      <c r="AEQ54" s="12"/>
      <c r="AER54" s="12"/>
      <c r="AES54" s="12"/>
      <c r="AET54" s="12"/>
      <c r="AEU54" s="12"/>
      <c r="AEV54" s="12"/>
    </row>
    <row r="55" spans="1:828" s="27" customFormat="1" ht="18" x14ac:dyDescent="0.2">
      <c r="A55" s="62"/>
      <c r="C55" s="23"/>
      <c r="D55" s="29"/>
      <c r="E55" s="23"/>
      <c r="F55" s="23"/>
      <c r="G55" s="23"/>
      <c r="H55" s="30"/>
      <c r="I55" s="23"/>
      <c r="J55" s="29"/>
      <c r="K55" s="30"/>
      <c r="L55" s="23"/>
      <c r="M55" s="29"/>
      <c r="N55" s="47"/>
      <c r="O55" s="12"/>
      <c r="P55" s="48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  <c r="ID55" s="12"/>
      <c r="IE55" s="12"/>
      <c r="IF55" s="12"/>
      <c r="IG55" s="12"/>
      <c r="IH55" s="12"/>
      <c r="II55" s="12"/>
      <c r="IJ55" s="12"/>
      <c r="IK55" s="12"/>
      <c r="IL55" s="12"/>
      <c r="IM55" s="12"/>
      <c r="IN55" s="12"/>
      <c r="IO55" s="12"/>
      <c r="IP55" s="12"/>
      <c r="IQ55" s="12"/>
      <c r="IR55" s="12"/>
      <c r="IS55" s="12"/>
      <c r="IT55" s="12"/>
      <c r="IU55" s="12"/>
      <c r="IV55" s="12"/>
      <c r="IW55" s="12"/>
      <c r="IX55" s="12"/>
      <c r="IY55" s="12"/>
      <c r="IZ55" s="12"/>
      <c r="JA55" s="12"/>
      <c r="JB55" s="12"/>
      <c r="JC55" s="12"/>
      <c r="JD55" s="12"/>
      <c r="JE55" s="12"/>
      <c r="JF55" s="12"/>
      <c r="JG55" s="12"/>
      <c r="JH55" s="12"/>
      <c r="JI55" s="12"/>
      <c r="JJ55" s="12"/>
      <c r="JK55" s="12"/>
      <c r="JL55" s="12"/>
      <c r="JM55" s="12"/>
      <c r="JN55" s="12"/>
      <c r="JO55" s="12"/>
      <c r="JP55" s="12"/>
      <c r="JQ55" s="12"/>
      <c r="JR55" s="12"/>
      <c r="JS55" s="12"/>
      <c r="JT55" s="12"/>
      <c r="JU55" s="12"/>
      <c r="JV55" s="12"/>
      <c r="JW55" s="12"/>
      <c r="JX55" s="12"/>
      <c r="JY55" s="12"/>
      <c r="JZ55" s="12"/>
      <c r="KA55" s="12"/>
      <c r="KB55" s="12"/>
      <c r="KC55" s="12"/>
      <c r="KD55" s="12"/>
      <c r="KE55" s="12"/>
      <c r="KF55" s="12"/>
      <c r="KG55" s="12"/>
      <c r="KH55" s="12"/>
      <c r="KI55" s="12"/>
      <c r="KJ55" s="12"/>
      <c r="KK55" s="12"/>
      <c r="KL55" s="12"/>
      <c r="KM55" s="12"/>
      <c r="KN55" s="12"/>
      <c r="KO55" s="12"/>
      <c r="KP55" s="12"/>
      <c r="KQ55" s="12"/>
      <c r="KR55" s="12"/>
      <c r="KS55" s="12"/>
      <c r="KT55" s="12"/>
      <c r="KU55" s="12"/>
      <c r="KV55" s="12"/>
      <c r="KW55" s="12"/>
      <c r="KX55" s="12"/>
      <c r="KY55" s="12"/>
      <c r="KZ55" s="12"/>
      <c r="LA55" s="12"/>
      <c r="LB55" s="12"/>
      <c r="LC55" s="12"/>
      <c r="LD55" s="12"/>
      <c r="LE55" s="12"/>
      <c r="LF55" s="12"/>
      <c r="LG55" s="12"/>
      <c r="LH55" s="12"/>
      <c r="LI55" s="12"/>
      <c r="LJ55" s="12"/>
      <c r="LK55" s="12"/>
      <c r="LL55" s="12"/>
      <c r="LM55" s="12"/>
      <c r="LN55" s="12"/>
      <c r="LO55" s="12"/>
      <c r="LP55" s="12"/>
      <c r="LQ55" s="12"/>
      <c r="LR55" s="12"/>
      <c r="LS55" s="12"/>
      <c r="LT55" s="12"/>
      <c r="LU55" s="12"/>
      <c r="LV55" s="12"/>
      <c r="LW55" s="12"/>
      <c r="LX55" s="12"/>
      <c r="LY55" s="12"/>
      <c r="LZ55" s="12"/>
      <c r="MA55" s="12"/>
      <c r="MB55" s="12"/>
      <c r="MC55" s="12"/>
      <c r="MD55" s="12"/>
      <c r="ME55" s="12"/>
      <c r="MF55" s="12"/>
      <c r="MG55" s="12"/>
      <c r="MH55" s="12"/>
      <c r="MI55" s="12"/>
      <c r="MJ55" s="12"/>
      <c r="MK55" s="12"/>
      <c r="ML55" s="12"/>
      <c r="MM55" s="12"/>
      <c r="MN55" s="12"/>
      <c r="MO55" s="12"/>
      <c r="MP55" s="12"/>
      <c r="MQ55" s="12"/>
      <c r="MR55" s="12"/>
      <c r="MS55" s="12"/>
      <c r="MT55" s="12"/>
      <c r="MU55" s="12"/>
      <c r="MV55" s="12"/>
      <c r="MW55" s="12"/>
      <c r="MX55" s="12"/>
      <c r="MY55" s="12"/>
      <c r="MZ55" s="12"/>
      <c r="NA55" s="12"/>
      <c r="NB55" s="12"/>
      <c r="NC55" s="12"/>
      <c r="ND55" s="12"/>
      <c r="NE55" s="12"/>
      <c r="NF55" s="12"/>
      <c r="NG55" s="12"/>
      <c r="NH55" s="12"/>
      <c r="NI55" s="12"/>
      <c r="NJ55" s="12"/>
      <c r="NK55" s="12"/>
      <c r="NL55" s="12"/>
      <c r="NM55" s="12"/>
      <c r="NN55" s="12"/>
      <c r="NO55" s="12"/>
      <c r="NP55" s="12"/>
      <c r="NQ55" s="12"/>
      <c r="NR55" s="12"/>
      <c r="NS55" s="12"/>
      <c r="NT55" s="12"/>
      <c r="NU55" s="12"/>
      <c r="NV55" s="12"/>
      <c r="NW55" s="12"/>
      <c r="NX55" s="12"/>
      <c r="NY55" s="12"/>
      <c r="NZ55" s="12"/>
      <c r="OA55" s="12"/>
      <c r="OB55" s="12"/>
      <c r="OC55" s="12"/>
      <c r="OD55" s="12"/>
      <c r="OE55" s="12"/>
      <c r="OF55" s="12"/>
      <c r="OG55" s="12"/>
      <c r="OH55" s="12"/>
      <c r="OI55" s="12"/>
      <c r="OJ55" s="12"/>
      <c r="OK55" s="12"/>
      <c r="OL55" s="12"/>
      <c r="OM55" s="12"/>
      <c r="ON55" s="12"/>
      <c r="OO55" s="12"/>
      <c r="OP55" s="12"/>
      <c r="OQ55" s="12"/>
      <c r="OR55" s="12"/>
      <c r="OS55" s="12"/>
      <c r="OT55" s="12"/>
      <c r="OU55" s="12"/>
      <c r="OV55" s="12"/>
      <c r="OW55" s="12"/>
      <c r="OX55" s="12"/>
      <c r="OY55" s="12"/>
      <c r="OZ55" s="12"/>
      <c r="PA55" s="12"/>
      <c r="PB55" s="12"/>
      <c r="PC55" s="12"/>
      <c r="PD55" s="12"/>
      <c r="PE55" s="12"/>
      <c r="PF55" s="12"/>
      <c r="PG55" s="12"/>
      <c r="PH55" s="12"/>
      <c r="PI55" s="12"/>
      <c r="PJ55" s="12"/>
      <c r="PK55" s="12"/>
      <c r="PL55" s="12"/>
      <c r="PM55" s="12"/>
      <c r="PN55" s="12"/>
      <c r="PO55" s="12"/>
      <c r="PP55" s="12"/>
      <c r="PQ55" s="12"/>
      <c r="PR55" s="12"/>
      <c r="PS55" s="12"/>
      <c r="PT55" s="12"/>
      <c r="PU55" s="12"/>
      <c r="PV55" s="12"/>
      <c r="PW55" s="12"/>
      <c r="PX55" s="12"/>
      <c r="PY55" s="12"/>
      <c r="PZ55" s="12"/>
      <c r="QA55" s="12"/>
      <c r="QB55" s="12"/>
      <c r="QC55" s="12"/>
      <c r="QD55" s="12"/>
      <c r="QE55" s="12"/>
      <c r="QF55" s="12"/>
      <c r="QG55" s="12"/>
      <c r="QH55" s="12"/>
      <c r="QI55" s="12"/>
      <c r="QJ55" s="12"/>
      <c r="QK55" s="12"/>
      <c r="QL55" s="12"/>
      <c r="QM55" s="12"/>
      <c r="QN55" s="12"/>
      <c r="QO55" s="12"/>
      <c r="QP55" s="12"/>
      <c r="QQ55" s="12"/>
      <c r="QR55" s="12"/>
      <c r="QS55" s="12"/>
      <c r="QT55" s="12"/>
      <c r="QU55" s="12"/>
      <c r="QV55" s="12"/>
      <c r="QW55" s="12"/>
      <c r="QX55" s="12"/>
      <c r="QY55" s="12"/>
      <c r="QZ55" s="12"/>
      <c r="RA55" s="12"/>
      <c r="RB55" s="12"/>
      <c r="RC55" s="12"/>
      <c r="RD55" s="12"/>
      <c r="RE55" s="12"/>
      <c r="RF55" s="12"/>
      <c r="RG55" s="12"/>
      <c r="RH55" s="12"/>
      <c r="RI55" s="12"/>
      <c r="RJ55" s="12"/>
      <c r="RK55" s="12"/>
      <c r="RL55" s="12"/>
      <c r="RM55" s="12"/>
      <c r="RN55" s="12"/>
      <c r="RO55" s="12"/>
      <c r="RP55" s="12"/>
      <c r="RQ55" s="12"/>
      <c r="RR55" s="12"/>
      <c r="RS55" s="12"/>
      <c r="RT55" s="12"/>
      <c r="RU55" s="12"/>
      <c r="RV55" s="12"/>
      <c r="RW55" s="12"/>
      <c r="RX55" s="12"/>
      <c r="RY55" s="12"/>
      <c r="RZ55" s="12"/>
      <c r="SA55" s="12"/>
      <c r="SB55" s="12"/>
      <c r="SC55" s="12"/>
      <c r="SD55" s="12"/>
      <c r="SE55" s="12"/>
      <c r="SF55" s="12"/>
      <c r="SG55" s="12"/>
      <c r="SH55" s="12"/>
      <c r="SI55" s="12"/>
      <c r="SJ55" s="12"/>
      <c r="SK55" s="12"/>
      <c r="SL55" s="12"/>
      <c r="SM55" s="12"/>
      <c r="SN55" s="12"/>
      <c r="SO55" s="12"/>
      <c r="SP55" s="12"/>
      <c r="SQ55" s="12"/>
      <c r="SR55" s="12"/>
      <c r="SS55" s="12"/>
      <c r="ST55" s="12"/>
      <c r="SU55" s="12"/>
      <c r="SV55" s="12"/>
      <c r="SW55" s="12"/>
      <c r="SX55" s="12"/>
      <c r="SY55" s="12"/>
      <c r="SZ55" s="12"/>
      <c r="TA55" s="12"/>
      <c r="TB55" s="12"/>
      <c r="TC55" s="12"/>
      <c r="TD55" s="12"/>
      <c r="TE55" s="12"/>
      <c r="TF55" s="12"/>
      <c r="TG55" s="12"/>
      <c r="TH55" s="12"/>
      <c r="TI55" s="12"/>
      <c r="TJ55" s="12"/>
      <c r="TK55" s="12"/>
      <c r="TL55" s="12"/>
      <c r="TM55" s="12"/>
      <c r="TN55" s="12"/>
      <c r="TO55" s="12"/>
      <c r="TP55" s="12"/>
      <c r="TQ55" s="12"/>
      <c r="TR55" s="12"/>
      <c r="TS55" s="12"/>
      <c r="TT55" s="12"/>
      <c r="TU55" s="12"/>
      <c r="TV55" s="12"/>
      <c r="TW55" s="12"/>
      <c r="TX55" s="12"/>
      <c r="TY55" s="12"/>
      <c r="TZ55" s="12"/>
      <c r="UA55" s="12"/>
      <c r="UB55" s="12"/>
      <c r="UC55" s="12"/>
      <c r="UD55" s="12"/>
      <c r="UE55" s="12"/>
      <c r="UF55" s="12"/>
      <c r="UG55" s="12"/>
      <c r="UH55" s="12"/>
      <c r="UI55" s="12"/>
      <c r="UJ55" s="12"/>
      <c r="UK55" s="12"/>
      <c r="UL55" s="12"/>
      <c r="UM55" s="12"/>
      <c r="UN55" s="12"/>
      <c r="UO55" s="12"/>
      <c r="UP55" s="12"/>
      <c r="UQ55" s="12"/>
      <c r="UR55" s="12"/>
      <c r="US55" s="12"/>
      <c r="UT55" s="12"/>
      <c r="UU55" s="12"/>
      <c r="UV55" s="12"/>
      <c r="UW55" s="12"/>
      <c r="UX55" s="12"/>
      <c r="UY55" s="12"/>
      <c r="UZ55" s="12"/>
      <c r="VA55" s="12"/>
      <c r="VB55" s="12"/>
      <c r="VC55" s="12"/>
      <c r="VD55" s="12"/>
      <c r="VE55" s="12"/>
      <c r="VF55" s="12"/>
      <c r="VG55" s="12"/>
      <c r="VH55" s="12"/>
      <c r="VI55" s="12"/>
      <c r="VJ55" s="12"/>
      <c r="VK55" s="12"/>
      <c r="VL55" s="12"/>
      <c r="VM55" s="12"/>
      <c r="VN55" s="12"/>
      <c r="VO55" s="12"/>
      <c r="VP55" s="12"/>
      <c r="VQ55" s="12"/>
      <c r="VR55" s="12"/>
      <c r="VS55" s="12"/>
      <c r="VT55" s="12"/>
      <c r="VU55" s="12"/>
      <c r="VV55" s="12"/>
      <c r="VW55" s="12"/>
      <c r="VX55" s="12"/>
      <c r="VY55" s="12"/>
      <c r="VZ55" s="12"/>
      <c r="WA55" s="12"/>
      <c r="WB55" s="12"/>
      <c r="WC55" s="12"/>
      <c r="WD55" s="12"/>
      <c r="WE55" s="12"/>
      <c r="WF55" s="12"/>
      <c r="WG55" s="12"/>
      <c r="WH55" s="12"/>
      <c r="WI55" s="12"/>
      <c r="WJ55" s="12"/>
      <c r="WK55" s="12"/>
      <c r="WL55" s="12"/>
      <c r="WM55" s="12"/>
      <c r="WN55" s="12"/>
      <c r="WO55" s="12"/>
      <c r="WP55" s="12"/>
      <c r="WQ55" s="12"/>
      <c r="WR55" s="12"/>
      <c r="WS55" s="12"/>
      <c r="WT55" s="12"/>
      <c r="WU55" s="12"/>
      <c r="WV55" s="12"/>
      <c r="WW55" s="12"/>
      <c r="WX55" s="12"/>
      <c r="WY55" s="12"/>
      <c r="WZ55" s="12"/>
      <c r="XA55" s="12"/>
      <c r="XB55" s="12"/>
      <c r="XC55" s="12"/>
      <c r="XD55" s="12"/>
      <c r="XE55" s="12"/>
      <c r="XF55" s="12"/>
      <c r="XG55" s="12"/>
      <c r="XH55" s="12"/>
      <c r="XI55" s="12"/>
      <c r="XJ55" s="12"/>
      <c r="XK55" s="12"/>
      <c r="XL55" s="12"/>
      <c r="XM55" s="12"/>
      <c r="XN55" s="12"/>
      <c r="XO55" s="12"/>
      <c r="XP55" s="12"/>
      <c r="XQ55" s="12"/>
      <c r="XR55" s="12"/>
      <c r="XS55" s="12"/>
      <c r="XT55" s="12"/>
      <c r="XU55" s="12"/>
      <c r="XV55" s="12"/>
      <c r="XW55" s="12"/>
      <c r="XX55" s="12"/>
      <c r="XY55" s="12"/>
      <c r="XZ55" s="12"/>
      <c r="YA55" s="12"/>
      <c r="YB55" s="12"/>
      <c r="YC55" s="12"/>
      <c r="YD55" s="12"/>
      <c r="YE55" s="12"/>
      <c r="YF55" s="12"/>
      <c r="YG55" s="12"/>
      <c r="YH55" s="12"/>
      <c r="YI55" s="12"/>
      <c r="YJ55" s="12"/>
      <c r="YK55" s="12"/>
      <c r="YL55" s="12"/>
      <c r="YM55" s="12"/>
      <c r="YN55" s="12"/>
      <c r="YO55" s="12"/>
      <c r="YP55" s="12"/>
      <c r="YQ55" s="12"/>
      <c r="YR55" s="12"/>
      <c r="YS55" s="12"/>
      <c r="YT55" s="12"/>
      <c r="YU55" s="12"/>
      <c r="YV55" s="12"/>
      <c r="YW55" s="12"/>
      <c r="YX55" s="12"/>
      <c r="YY55" s="12"/>
      <c r="YZ55" s="12"/>
      <c r="ZA55" s="12"/>
      <c r="ZB55" s="12"/>
      <c r="ZC55" s="12"/>
      <c r="ZD55" s="12"/>
      <c r="ZE55" s="12"/>
      <c r="ZF55" s="12"/>
      <c r="ZG55" s="12"/>
      <c r="ZH55" s="12"/>
      <c r="ZI55" s="12"/>
      <c r="ZJ55" s="12"/>
      <c r="ZK55" s="12"/>
      <c r="ZL55" s="12"/>
      <c r="ZM55" s="12"/>
      <c r="ZN55" s="12"/>
      <c r="ZO55" s="12"/>
      <c r="ZP55" s="12"/>
      <c r="ZQ55" s="12"/>
      <c r="ZR55" s="12"/>
      <c r="ZS55" s="12"/>
      <c r="ZT55" s="12"/>
      <c r="ZU55" s="12"/>
      <c r="ZV55" s="12"/>
      <c r="ZW55" s="12"/>
      <c r="ZX55" s="12"/>
      <c r="ZY55" s="12"/>
      <c r="ZZ55" s="12"/>
      <c r="AAA55" s="12"/>
      <c r="AAB55" s="12"/>
      <c r="AAC55" s="12"/>
      <c r="AAD55" s="12"/>
      <c r="AAE55" s="12"/>
      <c r="AAF55" s="12"/>
      <c r="AAG55" s="12"/>
      <c r="AAH55" s="12"/>
      <c r="AAI55" s="12"/>
      <c r="AAJ55" s="12"/>
      <c r="AAK55" s="12"/>
      <c r="AAL55" s="12"/>
      <c r="AAM55" s="12"/>
      <c r="AAN55" s="12"/>
      <c r="AAO55" s="12"/>
      <c r="AAP55" s="12"/>
      <c r="AAQ55" s="12"/>
      <c r="AAR55" s="12"/>
      <c r="AAS55" s="12"/>
      <c r="AAT55" s="12"/>
      <c r="AAU55" s="12"/>
      <c r="AAV55" s="12"/>
      <c r="AAW55" s="12"/>
      <c r="AAX55" s="12"/>
      <c r="AAY55" s="12"/>
      <c r="AAZ55" s="12"/>
      <c r="ABA55" s="12"/>
      <c r="ABB55" s="12"/>
      <c r="ABC55" s="12"/>
      <c r="ABD55" s="12"/>
      <c r="ABE55" s="12"/>
      <c r="ABF55" s="12"/>
      <c r="ABG55" s="12"/>
      <c r="ABH55" s="12"/>
      <c r="ABI55" s="12"/>
      <c r="ABJ55" s="12"/>
      <c r="ABK55" s="12"/>
      <c r="ABL55" s="12"/>
      <c r="ABM55" s="12"/>
      <c r="ABN55" s="12"/>
      <c r="ABO55" s="12"/>
      <c r="ABP55" s="12"/>
      <c r="ABQ55" s="12"/>
      <c r="ABR55" s="12"/>
      <c r="ABS55" s="12"/>
      <c r="ABT55" s="12"/>
      <c r="ABU55" s="12"/>
      <c r="ABV55" s="12"/>
      <c r="ABW55" s="12"/>
      <c r="ABX55" s="12"/>
      <c r="ABY55" s="12"/>
      <c r="ABZ55" s="12"/>
      <c r="ACA55" s="12"/>
      <c r="ACB55" s="12"/>
      <c r="ACC55" s="12"/>
      <c r="ACD55" s="12"/>
      <c r="ACE55" s="12"/>
      <c r="ACF55" s="12"/>
      <c r="ACG55" s="12"/>
      <c r="ACH55" s="12"/>
      <c r="ACI55" s="12"/>
      <c r="ACJ55" s="12"/>
      <c r="ACK55" s="12"/>
      <c r="ACL55" s="12"/>
      <c r="ACM55" s="12"/>
      <c r="ACN55" s="12"/>
      <c r="ACO55" s="12"/>
      <c r="ACP55" s="12"/>
      <c r="ACQ55" s="12"/>
      <c r="ACR55" s="12"/>
      <c r="ACS55" s="12"/>
      <c r="ACT55" s="12"/>
      <c r="ACU55" s="12"/>
      <c r="ACV55" s="12"/>
      <c r="ACW55" s="12"/>
      <c r="ACX55" s="12"/>
      <c r="ACY55" s="12"/>
      <c r="ACZ55" s="12"/>
      <c r="ADA55" s="12"/>
      <c r="ADB55" s="12"/>
      <c r="ADC55" s="12"/>
      <c r="ADD55" s="12"/>
      <c r="ADE55" s="12"/>
      <c r="ADF55" s="12"/>
      <c r="ADG55" s="12"/>
      <c r="ADH55" s="12"/>
      <c r="ADI55" s="12"/>
      <c r="ADJ55" s="12"/>
      <c r="ADK55" s="12"/>
      <c r="ADL55" s="12"/>
      <c r="ADM55" s="12"/>
      <c r="ADN55" s="12"/>
      <c r="ADO55" s="12"/>
      <c r="ADP55" s="12"/>
      <c r="ADQ55" s="12"/>
      <c r="ADR55" s="12"/>
      <c r="ADS55" s="12"/>
      <c r="ADT55" s="12"/>
      <c r="ADU55" s="12"/>
      <c r="ADV55" s="12"/>
      <c r="ADW55" s="12"/>
      <c r="ADX55" s="12"/>
      <c r="ADY55" s="12"/>
      <c r="ADZ55" s="12"/>
      <c r="AEA55" s="12"/>
      <c r="AEB55" s="12"/>
      <c r="AEC55" s="12"/>
      <c r="AED55" s="12"/>
      <c r="AEE55" s="12"/>
      <c r="AEF55" s="12"/>
      <c r="AEG55" s="12"/>
      <c r="AEH55" s="12"/>
      <c r="AEI55" s="12"/>
      <c r="AEJ55" s="12"/>
      <c r="AEK55" s="12"/>
      <c r="AEL55" s="12"/>
      <c r="AEM55" s="12"/>
      <c r="AEN55" s="12"/>
      <c r="AEO55" s="12"/>
      <c r="AEP55" s="12"/>
      <c r="AEQ55" s="12"/>
      <c r="AER55" s="12"/>
      <c r="AES55" s="12"/>
      <c r="AET55" s="12"/>
      <c r="AEU55" s="12"/>
      <c r="AEV55" s="12"/>
    </row>
    <row r="56" spans="1:828" s="27" customFormat="1" ht="18" x14ac:dyDescent="0.2">
      <c r="A56" s="62"/>
      <c r="C56" s="23"/>
      <c r="D56" s="29"/>
      <c r="E56" s="23"/>
      <c r="F56" s="23"/>
      <c r="G56" s="23"/>
      <c r="H56" s="30"/>
      <c r="I56" s="23"/>
      <c r="J56" s="29"/>
      <c r="K56" s="30"/>
      <c r="L56" s="23"/>
      <c r="M56" s="29"/>
      <c r="N56" s="47"/>
      <c r="O56" s="12"/>
      <c r="P56" s="48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  <c r="IY56" s="12"/>
      <c r="IZ56" s="12"/>
      <c r="JA56" s="12"/>
      <c r="JB56" s="12"/>
      <c r="JC56" s="12"/>
      <c r="JD56" s="12"/>
      <c r="JE56" s="12"/>
      <c r="JF56" s="12"/>
      <c r="JG56" s="12"/>
      <c r="JH56" s="12"/>
      <c r="JI56" s="12"/>
      <c r="JJ56" s="12"/>
      <c r="JK56" s="12"/>
      <c r="JL56" s="12"/>
      <c r="JM56" s="12"/>
      <c r="JN56" s="12"/>
      <c r="JO56" s="12"/>
      <c r="JP56" s="12"/>
      <c r="JQ56" s="12"/>
      <c r="JR56" s="12"/>
      <c r="JS56" s="12"/>
      <c r="JT56" s="12"/>
      <c r="JU56" s="12"/>
      <c r="JV56" s="12"/>
      <c r="JW56" s="12"/>
      <c r="JX56" s="12"/>
      <c r="JY56" s="12"/>
      <c r="JZ56" s="12"/>
      <c r="KA56" s="12"/>
      <c r="KB56" s="12"/>
      <c r="KC56" s="12"/>
      <c r="KD56" s="12"/>
      <c r="KE56" s="12"/>
      <c r="KF56" s="12"/>
      <c r="KG56" s="12"/>
      <c r="KH56" s="12"/>
      <c r="KI56" s="12"/>
      <c r="KJ56" s="12"/>
      <c r="KK56" s="12"/>
      <c r="KL56" s="12"/>
      <c r="KM56" s="12"/>
      <c r="KN56" s="12"/>
      <c r="KO56" s="12"/>
      <c r="KP56" s="12"/>
      <c r="KQ56" s="12"/>
      <c r="KR56" s="12"/>
      <c r="KS56" s="12"/>
      <c r="KT56" s="12"/>
      <c r="KU56" s="12"/>
      <c r="KV56" s="12"/>
      <c r="KW56" s="12"/>
      <c r="KX56" s="12"/>
      <c r="KY56" s="12"/>
      <c r="KZ56" s="12"/>
      <c r="LA56" s="12"/>
      <c r="LB56" s="12"/>
      <c r="LC56" s="12"/>
      <c r="LD56" s="12"/>
      <c r="LE56" s="12"/>
      <c r="LF56" s="12"/>
      <c r="LG56" s="12"/>
      <c r="LH56" s="12"/>
      <c r="LI56" s="12"/>
      <c r="LJ56" s="12"/>
      <c r="LK56" s="12"/>
      <c r="LL56" s="12"/>
      <c r="LM56" s="12"/>
      <c r="LN56" s="12"/>
      <c r="LO56" s="12"/>
      <c r="LP56" s="12"/>
      <c r="LQ56" s="12"/>
      <c r="LR56" s="12"/>
      <c r="LS56" s="12"/>
      <c r="LT56" s="12"/>
      <c r="LU56" s="12"/>
      <c r="LV56" s="12"/>
      <c r="LW56" s="12"/>
      <c r="LX56" s="12"/>
      <c r="LY56" s="12"/>
      <c r="LZ56" s="12"/>
      <c r="MA56" s="12"/>
      <c r="MB56" s="12"/>
      <c r="MC56" s="12"/>
      <c r="MD56" s="12"/>
      <c r="ME56" s="12"/>
      <c r="MF56" s="12"/>
      <c r="MG56" s="12"/>
      <c r="MH56" s="12"/>
      <c r="MI56" s="12"/>
      <c r="MJ56" s="12"/>
      <c r="MK56" s="12"/>
      <c r="ML56" s="12"/>
      <c r="MM56" s="12"/>
      <c r="MN56" s="12"/>
      <c r="MO56" s="12"/>
      <c r="MP56" s="12"/>
      <c r="MQ56" s="12"/>
      <c r="MR56" s="12"/>
      <c r="MS56" s="12"/>
      <c r="MT56" s="12"/>
      <c r="MU56" s="12"/>
      <c r="MV56" s="12"/>
      <c r="MW56" s="12"/>
      <c r="MX56" s="12"/>
      <c r="MY56" s="12"/>
      <c r="MZ56" s="12"/>
      <c r="NA56" s="12"/>
      <c r="NB56" s="12"/>
      <c r="NC56" s="12"/>
      <c r="ND56" s="12"/>
      <c r="NE56" s="12"/>
      <c r="NF56" s="12"/>
      <c r="NG56" s="12"/>
      <c r="NH56" s="12"/>
      <c r="NI56" s="12"/>
      <c r="NJ56" s="12"/>
      <c r="NK56" s="12"/>
      <c r="NL56" s="12"/>
      <c r="NM56" s="12"/>
      <c r="NN56" s="12"/>
      <c r="NO56" s="12"/>
      <c r="NP56" s="12"/>
      <c r="NQ56" s="12"/>
      <c r="NR56" s="12"/>
      <c r="NS56" s="12"/>
      <c r="NT56" s="12"/>
      <c r="NU56" s="12"/>
      <c r="NV56" s="12"/>
      <c r="NW56" s="12"/>
      <c r="NX56" s="12"/>
      <c r="NY56" s="12"/>
      <c r="NZ56" s="12"/>
      <c r="OA56" s="12"/>
      <c r="OB56" s="12"/>
      <c r="OC56" s="12"/>
      <c r="OD56" s="12"/>
      <c r="OE56" s="12"/>
      <c r="OF56" s="12"/>
      <c r="OG56" s="12"/>
      <c r="OH56" s="12"/>
      <c r="OI56" s="12"/>
      <c r="OJ56" s="12"/>
      <c r="OK56" s="12"/>
      <c r="OL56" s="12"/>
      <c r="OM56" s="12"/>
      <c r="ON56" s="12"/>
      <c r="OO56" s="12"/>
      <c r="OP56" s="12"/>
      <c r="OQ56" s="12"/>
      <c r="OR56" s="12"/>
      <c r="OS56" s="12"/>
      <c r="OT56" s="12"/>
      <c r="OU56" s="12"/>
      <c r="OV56" s="12"/>
      <c r="OW56" s="12"/>
      <c r="OX56" s="12"/>
      <c r="OY56" s="12"/>
      <c r="OZ56" s="12"/>
      <c r="PA56" s="12"/>
      <c r="PB56" s="12"/>
      <c r="PC56" s="12"/>
      <c r="PD56" s="12"/>
      <c r="PE56" s="12"/>
      <c r="PF56" s="12"/>
      <c r="PG56" s="12"/>
      <c r="PH56" s="12"/>
      <c r="PI56" s="12"/>
      <c r="PJ56" s="12"/>
      <c r="PK56" s="12"/>
      <c r="PL56" s="12"/>
      <c r="PM56" s="12"/>
      <c r="PN56" s="12"/>
      <c r="PO56" s="12"/>
      <c r="PP56" s="12"/>
      <c r="PQ56" s="12"/>
      <c r="PR56" s="12"/>
      <c r="PS56" s="12"/>
      <c r="PT56" s="12"/>
      <c r="PU56" s="12"/>
      <c r="PV56" s="12"/>
      <c r="PW56" s="12"/>
      <c r="PX56" s="12"/>
      <c r="PY56" s="12"/>
      <c r="PZ56" s="12"/>
      <c r="QA56" s="12"/>
      <c r="QB56" s="12"/>
      <c r="QC56" s="12"/>
      <c r="QD56" s="12"/>
      <c r="QE56" s="12"/>
      <c r="QF56" s="12"/>
      <c r="QG56" s="12"/>
      <c r="QH56" s="12"/>
      <c r="QI56" s="12"/>
      <c r="QJ56" s="12"/>
      <c r="QK56" s="12"/>
      <c r="QL56" s="12"/>
      <c r="QM56" s="12"/>
      <c r="QN56" s="12"/>
      <c r="QO56" s="12"/>
      <c r="QP56" s="12"/>
      <c r="QQ56" s="12"/>
      <c r="QR56" s="12"/>
      <c r="QS56" s="12"/>
      <c r="QT56" s="12"/>
      <c r="QU56" s="12"/>
      <c r="QV56" s="12"/>
      <c r="QW56" s="12"/>
      <c r="QX56" s="12"/>
      <c r="QY56" s="12"/>
      <c r="QZ56" s="12"/>
      <c r="RA56" s="12"/>
      <c r="RB56" s="12"/>
      <c r="RC56" s="12"/>
      <c r="RD56" s="12"/>
      <c r="RE56" s="12"/>
      <c r="RF56" s="12"/>
      <c r="RG56" s="12"/>
      <c r="RH56" s="12"/>
      <c r="RI56" s="12"/>
      <c r="RJ56" s="12"/>
      <c r="RK56" s="12"/>
      <c r="RL56" s="12"/>
      <c r="RM56" s="12"/>
      <c r="RN56" s="12"/>
      <c r="RO56" s="12"/>
      <c r="RP56" s="12"/>
      <c r="RQ56" s="12"/>
      <c r="RR56" s="12"/>
      <c r="RS56" s="12"/>
      <c r="RT56" s="12"/>
      <c r="RU56" s="12"/>
      <c r="RV56" s="12"/>
      <c r="RW56" s="12"/>
      <c r="RX56" s="12"/>
      <c r="RY56" s="12"/>
      <c r="RZ56" s="12"/>
      <c r="SA56" s="12"/>
      <c r="SB56" s="12"/>
      <c r="SC56" s="12"/>
      <c r="SD56" s="12"/>
      <c r="SE56" s="12"/>
      <c r="SF56" s="12"/>
      <c r="SG56" s="12"/>
      <c r="SH56" s="12"/>
      <c r="SI56" s="12"/>
      <c r="SJ56" s="12"/>
      <c r="SK56" s="12"/>
      <c r="SL56" s="12"/>
      <c r="SM56" s="12"/>
      <c r="SN56" s="12"/>
      <c r="SO56" s="12"/>
      <c r="SP56" s="12"/>
      <c r="SQ56" s="12"/>
      <c r="SR56" s="12"/>
      <c r="SS56" s="12"/>
      <c r="ST56" s="12"/>
      <c r="SU56" s="12"/>
      <c r="SV56" s="12"/>
      <c r="SW56" s="12"/>
      <c r="SX56" s="12"/>
      <c r="SY56" s="12"/>
      <c r="SZ56" s="12"/>
      <c r="TA56" s="12"/>
      <c r="TB56" s="12"/>
      <c r="TC56" s="12"/>
      <c r="TD56" s="12"/>
      <c r="TE56" s="12"/>
      <c r="TF56" s="12"/>
      <c r="TG56" s="12"/>
      <c r="TH56" s="12"/>
      <c r="TI56" s="12"/>
      <c r="TJ56" s="12"/>
      <c r="TK56" s="12"/>
      <c r="TL56" s="12"/>
      <c r="TM56" s="12"/>
      <c r="TN56" s="12"/>
      <c r="TO56" s="12"/>
      <c r="TP56" s="12"/>
      <c r="TQ56" s="12"/>
      <c r="TR56" s="12"/>
      <c r="TS56" s="12"/>
      <c r="TT56" s="12"/>
      <c r="TU56" s="12"/>
      <c r="TV56" s="12"/>
      <c r="TW56" s="12"/>
      <c r="TX56" s="12"/>
      <c r="TY56" s="12"/>
      <c r="TZ56" s="12"/>
      <c r="UA56" s="12"/>
      <c r="UB56" s="12"/>
      <c r="UC56" s="12"/>
      <c r="UD56" s="12"/>
      <c r="UE56" s="12"/>
      <c r="UF56" s="12"/>
      <c r="UG56" s="12"/>
      <c r="UH56" s="12"/>
      <c r="UI56" s="12"/>
      <c r="UJ56" s="12"/>
      <c r="UK56" s="12"/>
      <c r="UL56" s="12"/>
      <c r="UM56" s="12"/>
      <c r="UN56" s="12"/>
      <c r="UO56" s="12"/>
      <c r="UP56" s="12"/>
      <c r="UQ56" s="12"/>
      <c r="UR56" s="12"/>
      <c r="US56" s="12"/>
      <c r="UT56" s="12"/>
      <c r="UU56" s="12"/>
      <c r="UV56" s="12"/>
      <c r="UW56" s="12"/>
      <c r="UX56" s="12"/>
      <c r="UY56" s="12"/>
      <c r="UZ56" s="12"/>
      <c r="VA56" s="12"/>
      <c r="VB56" s="12"/>
      <c r="VC56" s="12"/>
      <c r="VD56" s="12"/>
      <c r="VE56" s="12"/>
      <c r="VF56" s="12"/>
      <c r="VG56" s="12"/>
      <c r="VH56" s="12"/>
      <c r="VI56" s="12"/>
      <c r="VJ56" s="12"/>
      <c r="VK56" s="12"/>
      <c r="VL56" s="12"/>
      <c r="VM56" s="12"/>
      <c r="VN56" s="12"/>
      <c r="VO56" s="12"/>
      <c r="VP56" s="12"/>
      <c r="VQ56" s="12"/>
      <c r="VR56" s="12"/>
      <c r="VS56" s="12"/>
      <c r="VT56" s="12"/>
      <c r="VU56" s="12"/>
      <c r="VV56" s="12"/>
      <c r="VW56" s="12"/>
      <c r="VX56" s="12"/>
      <c r="VY56" s="12"/>
      <c r="VZ56" s="12"/>
      <c r="WA56" s="12"/>
      <c r="WB56" s="12"/>
      <c r="WC56" s="12"/>
      <c r="WD56" s="12"/>
      <c r="WE56" s="12"/>
      <c r="WF56" s="12"/>
      <c r="WG56" s="12"/>
      <c r="WH56" s="12"/>
      <c r="WI56" s="12"/>
      <c r="WJ56" s="12"/>
      <c r="WK56" s="12"/>
      <c r="WL56" s="12"/>
      <c r="WM56" s="12"/>
      <c r="WN56" s="12"/>
      <c r="WO56" s="12"/>
      <c r="WP56" s="12"/>
      <c r="WQ56" s="12"/>
      <c r="WR56" s="12"/>
      <c r="WS56" s="12"/>
      <c r="WT56" s="12"/>
      <c r="WU56" s="12"/>
      <c r="WV56" s="12"/>
      <c r="WW56" s="12"/>
      <c r="WX56" s="12"/>
      <c r="WY56" s="12"/>
      <c r="WZ56" s="12"/>
      <c r="XA56" s="12"/>
      <c r="XB56" s="12"/>
      <c r="XC56" s="12"/>
      <c r="XD56" s="12"/>
      <c r="XE56" s="12"/>
      <c r="XF56" s="12"/>
      <c r="XG56" s="12"/>
      <c r="XH56" s="12"/>
      <c r="XI56" s="12"/>
      <c r="XJ56" s="12"/>
      <c r="XK56" s="12"/>
      <c r="XL56" s="12"/>
      <c r="XM56" s="12"/>
      <c r="XN56" s="12"/>
      <c r="XO56" s="12"/>
      <c r="XP56" s="12"/>
      <c r="XQ56" s="12"/>
      <c r="XR56" s="12"/>
      <c r="XS56" s="12"/>
      <c r="XT56" s="12"/>
      <c r="XU56" s="12"/>
      <c r="XV56" s="12"/>
      <c r="XW56" s="12"/>
      <c r="XX56" s="12"/>
      <c r="XY56" s="12"/>
      <c r="XZ56" s="12"/>
      <c r="YA56" s="12"/>
      <c r="YB56" s="12"/>
      <c r="YC56" s="12"/>
      <c r="YD56" s="12"/>
      <c r="YE56" s="12"/>
      <c r="YF56" s="12"/>
      <c r="YG56" s="12"/>
      <c r="YH56" s="12"/>
      <c r="YI56" s="12"/>
      <c r="YJ56" s="12"/>
      <c r="YK56" s="12"/>
      <c r="YL56" s="12"/>
      <c r="YM56" s="12"/>
      <c r="YN56" s="12"/>
      <c r="YO56" s="12"/>
      <c r="YP56" s="12"/>
      <c r="YQ56" s="12"/>
      <c r="YR56" s="12"/>
      <c r="YS56" s="12"/>
      <c r="YT56" s="12"/>
      <c r="YU56" s="12"/>
      <c r="YV56" s="12"/>
      <c r="YW56" s="12"/>
      <c r="YX56" s="12"/>
      <c r="YY56" s="12"/>
      <c r="YZ56" s="12"/>
      <c r="ZA56" s="12"/>
      <c r="ZB56" s="12"/>
      <c r="ZC56" s="12"/>
      <c r="ZD56" s="12"/>
      <c r="ZE56" s="12"/>
      <c r="ZF56" s="12"/>
      <c r="ZG56" s="12"/>
      <c r="ZH56" s="12"/>
      <c r="ZI56" s="12"/>
      <c r="ZJ56" s="12"/>
      <c r="ZK56" s="12"/>
      <c r="ZL56" s="12"/>
      <c r="ZM56" s="12"/>
      <c r="ZN56" s="12"/>
      <c r="ZO56" s="12"/>
      <c r="ZP56" s="12"/>
      <c r="ZQ56" s="12"/>
      <c r="ZR56" s="12"/>
      <c r="ZS56" s="12"/>
      <c r="ZT56" s="12"/>
      <c r="ZU56" s="12"/>
      <c r="ZV56" s="12"/>
      <c r="ZW56" s="12"/>
      <c r="ZX56" s="12"/>
      <c r="ZY56" s="12"/>
      <c r="ZZ56" s="12"/>
      <c r="AAA56" s="12"/>
      <c r="AAB56" s="12"/>
      <c r="AAC56" s="12"/>
      <c r="AAD56" s="12"/>
      <c r="AAE56" s="12"/>
      <c r="AAF56" s="12"/>
      <c r="AAG56" s="12"/>
      <c r="AAH56" s="12"/>
      <c r="AAI56" s="12"/>
      <c r="AAJ56" s="12"/>
      <c r="AAK56" s="12"/>
      <c r="AAL56" s="12"/>
      <c r="AAM56" s="12"/>
      <c r="AAN56" s="12"/>
      <c r="AAO56" s="12"/>
      <c r="AAP56" s="12"/>
      <c r="AAQ56" s="12"/>
      <c r="AAR56" s="12"/>
      <c r="AAS56" s="12"/>
      <c r="AAT56" s="12"/>
      <c r="AAU56" s="12"/>
      <c r="AAV56" s="12"/>
      <c r="AAW56" s="12"/>
      <c r="AAX56" s="12"/>
      <c r="AAY56" s="12"/>
      <c r="AAZ56" s="12"/>
      <c r="ABA56" s="12"/>
      <c r="ABB56" s="12"/>
      <c r="ABC56" s="12"/>
      <c r="ABD56" s="12"/>
      <c r="ABE56" s="12"/>
      <c r="ABF56" s="12"/>
      <c r="ABG56" s="12"/>
      <c r="ABH56" s="12"/>
      <c r="ABI56" s="12"/>
      <c r="ABJ56" s="12"/>
      <c r="ABK56" s="12"/>
      <c r="ABL56" s="12"/>
      <c r="ABM56" s="12"/>
      <c r="ABN56" s="12"/>
      <c r="ABO56" s="12"/>
      <c r="ABP56" s="12"/>
      <c r="ABQ56" s="12"/>
      <c r="ABR56" s="12"/>
      <c r="ABS56" s="12"/>
      <c r="ABT56" s="12"/>
      <c r="ABU56" s="12"/>
      <c r="ABV56" s="12"/>
      <c r="ABW56" s="12"/>
      <c r="ABX56" s="12"/>
      <c r="ABY56" s="12"/>
      <c r="ABZ56" s="12"/>
      <c r="ACA56" s="12"/>
      <c r="ACB56" s="12"/>
      <c r="ACC56" s="12"/>
      <c r="ACD56" s="12"/>
      <c r="ACE56" s="12"/>
      <c r="ACF56" s="12"/>
      <c r="ACG56" s="12"/>
      <c r="ACH56" s="12"/>
      <c r="ACI56" s="12"/>
      <c r="ACJ56" s="12"/>
      <c r="ACK56" s="12"/>
      <c r="ACL56" s="12"/>
      <c r="ACM56" s="12"/>
      <c r="ACN56" s="12"/>
      <c r="ACO56" s="12"/>
      <c r="ACP56" s="12"/>
      <c r="ACQ56" s="12"/>
      <c r="ACR56" s="12"/>
      <c r="ACS56" s="12"/>
      <c r="ACT56" s="12"/>
      <c r="ACU56" s="12"/>
      <c r="ACV56" s="12"/>
      <c r="ACW56" s="12"/>
      <c r="ACX56" s="12"/>
      <c r="ACY56" s="12"/>
      <c r="ACZ56" s="12"/>
      <c r="ADA56" s="12"/>
      <c r="ADB56" s="12"/>
      <c r="ADC56" s="12"/>
      <c r="ADD56" s="12"/>
      <c r="ADE56" s="12"/>
      <c r="ADF56" s="12"/>
      <c r="ADG56" s="12"/>
      <c r="ADH56" s="12"/>
      <c r="ADI56" s="12"/>
      <c r="ADJ56" s="12"/>
      <c r="ADK56" s="12"/>
      <c r="ADL56" s="12"/>
      <c r="ADM56" s="12"/>
      <c r="ADN56" s="12"/>
      <c r="ADO56" s="12"/>
      <c r="ADP56" s="12"/>
      <c r="ADQ56" s="12"/>
      <c r="ADR56" s="12"/>
      <c r="ADS56" s="12"/>
      <c r="ADT56" s="12"/>
      <c r="ADU56" s="12"/>
      <c r="ADV56" s="12"/>
      <c r="ADW56" s="12"/>
      <c r="ADX56" s="12"/>
      <c r="ADY56" s="12"/>
      <c r="ADZ56" s="12"/>
      <c r="AEA56" s="12"/>
      <c r="AEB56" s="12"/>
      <c r="AEC56" s="12"/>
      <c r="AED56" s="12"/>
      <c r="AEE56" s="12"/>
      <c r="AEF56" s="12"/>
      <c r="AEG56" s="12"/>
      <c r="AEH56" s="12"/>
      <c r="AEI56" s="12"/>
      <c r="AEJ56" s="12"/>
      <c r="AEK56" s="12"/>
      <c r="AEL56" s="12"/>
      <c r="AEM56" s="12"/>
      <c r="AEN56" s="12"/>
      <c r="AEO56" s="12"/>
      <c r="AEP56" s="12"/>
      <c r="AEQ56" s="12"/>
      <c r="AER56" s="12"/>
      <c r="AES56" s="12"/>
      <c r="AET56" s="12"/>
      <c r="AEU56" s="12"/>
      <c r="AEV56" s="12"/>
    </row>
    <row r="57" spans="1:828" s="27" customFormat="1" ht="18" x14ac:dyDescent="0.2">
      <c r="A57" s="62"/>
      <c r="C57" s="23"/>
      <c r="D57" s="29"/>
      <c r="E57" s="23"/>
      <c r="F57" s="23"/>
      <c r="G57" s="23"/>
      <c r="H57" s="30"/>
      <c r="I57" s="23"/>
      <c r="J57" s="29"/>
      <c r="K57" s="30"/>
      <c r="L57" s="23"/>
      <c r="M57" s="29"/>
      <c r="N57" s="47"/>
      <c r="O57" s="12"/>
      <c r="P57" s="48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  <c r="IY57" s="12"/>
      <c r="IZ57" s="12"/>
      <c r="JA57" s="12"/>
      <c r="JB57" s="12"/>
      <c r="JC57" s="12"/>
      <c r="JD57" s="12"/>
      <c r="JE57" s="12"/>
      <c r="JF57" s="12"/>
      <c r="JG57" s="12"/>
      <c r="JH57" s="12"/>
      <c r="JI57" s="12"/>
      <c r="JJ57" s="12"/>
      <c r="JK57" s="12"/>
      <c r="JL57" s="12"/>
      <c r="JM57" s="12"/>
      <c r="JN57" s="12"/>
      <c r="JO57" s="12"/>
      <c r="JP57" s="12"/>
      <c r="JQ57" s="12"/>
      <c r="JR57" s="12"/>
      <c r="JS57" s="12"/>
      <c r="JT57" s="12"/>
      <c r="JU57" s="12"/>
      <c r="JV57" s="12"/>
      <c r="JW57" s="12"/>
      <c r="JX57" s="12"/>
      <c r="JY57" s="12"/>
      <c r="JZ57" s="12"/>
      <c r="KA57" s="12"/>
      <c r="KB57" s="12"/>
      <c r="KC57" s="12"/>
      <c r="KD57" s="12"/>
      <c r="KE57" s="12"/>
      <c r="KF57" s="12"/>
      <c r="KG57" s="12"/>
      <c r="KH57" s="12"/>
      <c r="KI57" s="12"/>
      <c r="KJ57" s="12"/>
      <c r="KK57" s="12"/>
      <c r="KL57" s="12"/>
      <c r="KM57" s="12"/>
      <c r="KN57" s="12"/>
      <c r="KO57" s="12"/>
      <c r="KP57" s="12"/>
      <c r="KQ57" s="12"/>
      <c r="KR57" s="12"/>
      <c r="KS57" s="12"/>
      <c r="KT57" s="12"/>
      <c r="KU57" s="12"/>
      <c r="KV57" s="12"/>
      <c r="KW57" s="12"/>
      <c r="KX57" s="12"/>
      <c r="KY57" s="12"/>
      <c r="KZ57" s="12"/>
      <c r="LA57" s="12"/>
      <c r="LB57" s="12"/>
      <c r="LC57" s="12"/>
      <c r="LD57" s="12"/>
      <c r="LE57" s="12"/>
      <c r="LF57" s="12"/>
      <c r="LG57" s="12"/>
      <c r="LH57" s="12"/>
      <c r="LI57" s="12"/>
      <c r="LJ57" s="12"/>
      <c r="LK57" s="12"/>
      <c r="LL57" s="12"/>
      <c r="LM57" s="12"/>
      <c r="LN57" s="12"/>
      <c r="LO57" s="12"/>
      <c r="LP57" s="12"/>
      <c r="LQ57" s="12"/>
      <c r="LR57" s="12"/>
      <c r="LS57" s="12"/>
      <c r="LT57" s="12"/>
      <c r="LU57" s="12"/>
      <c r="LV57" s="12"/>
      <c r="LW57" s="12"/>
      <c r="LX57" s="12"/>
      <c r="LY57" s="12"/>
      <c r="LZ57" s="12"/>
      <c r="MA57" s="12"/>
      <c r="MB57" s="12"/>
      <c r="MC57" s="12"/>
      <c r="MD57" s="12"/>
      <c r="ME57" s="12"/>
      <c r="MF57" s="12"/>
      <c r="MG57" s="12"/>
      <c r="MH57" s="12"/>
      <c r="MI57" s="12"/>
      <c r="MJ57" s="12"/>
      <c r="MK57" s="12"/>
      <c r="ML57" s="12"/>
      <c r="MM57" s="12"/>
      <c r="MN57" s="12"/>
      <c r="MO57" s="12"/>
      <c r="MP57" s="12"/>
      <c r="MQ57" s="12"/>
      <c r="MR57" s="12"/>
      <c r="MS57" s="12"/>
      <c r="MT57" s="12"/>
      <c r="MU57" s="12"/>
      <c r="MV57" s="12"/>
      <c r="MW57" s="12"/>
      <c r="MX57" s="12"/>
      <c r="MY57" s="12"/>
      <c r="MZ57" s="12"/>
      <c r="NA57" s="12"/>
      <c r="NB57" s="12"/>
      <c r="NC57" s="12"/>
      <c r="ND57" s="12"/>
      <c r="NE57" s="12"/>
      <c r="NF57" s="12"/>
      <c r="NG57" s="12"/>
      <c r="NH57" s="12"/>
      <c r="NI57" s="12"/>
      <c r="NJ57" s="12"/>
      <c r="NK57" s="12"/>
      <c r="NL57" s="12"/>
      <c r="NM57" s="12"/>
      <c r="NN57" s="12"/>
      <c r="NO57" s="12"/>
      <c r="NP57" s="12"/>
      <c r="NQ57" s="12"/>
      <c r="NR57" s="12"/>
      <c r="NS57" s="12"/>
      <c r="NT57" s="12"/>
      <c r="NU57" s="12"/>
      <c r="NV57" s="12"/>
      <c r="NW57" s="12"/>
      <c r="NX57" s="12"/>
      <c r="NY57" s="12"/>
      <c r="NZ57" s="12"/>
      <c r="OA57" s="12"/>
      <c r="OB57" s="12"/>
      <c r="OC57" s="12"/>
      <c r="OD57" s="12"/>
      <c r="OE57" s="12"/>
      <c r="OF57" s="12"/>
      <c r="OG57" s="12"/>
      <c r="OH57" s="12"/>
      <c r="OI57" s="12"/>
      <c r="OJ57" s="12"/>
      <c r="OK57" s="12"/>
      <c r="OL57" s="12"/>
      <c r="OM57" s="12"/>
      <c r="ON57" s="12"/>
      <c r="OO57" s="12"/>
      <c r="OP57" s="12"/>
      <c r="OQ57" s="12"/>
      <c r="OR57" s="12"/>
      <c r="OS57" s="12"/>
      <c r="OT57" s="12"/>
      <c r="OU57" s="12"/>
      <c r="OV57" s="12"/>
      <c r="OW57" s="12"/>
      <c r="OX57" s="12"/>
      <c r="OY57" s="12"/>
      <c r="OZ57" s="12"/>
      <c r="PA57" s="12"/>
      <c r="PB57" s="12"/>
      <c r="PC57" s="12"/>
      <c r="PD57" s="12"/>
      <c r="PE57" s="12"/>
      <c r="PF57" s="12"/>
      <c r="PG57" s="12"/>
      <c r="PH57" s="12"/>
      <c r="PI57" s="12"/>
      <c r="PJ57" s="12"/>
      <c r="PK57" s="12"/>
      <c r="PL57" s="12"/>
      <c r="PM57" s="12"/>
      <c r="PN57" s="12"/>
      <c r="PO57" s="12"/>
      <c r="PP57" s="12"/>
      <c r="PQ57" s="12"/>
      <c r="PR57" s="12"/>
      <c r="PS57" s="12"/>
      <c r="PT57" s="12"/>
      <c r="PU57" s="12"/>
      <c r="PV57" s="12"/>
      <c r="PW57" s="12"/>
      <c r="PX57" s="12"/>
      <c r="PY57" s="12"/>
      <c r="PZ57" s="12"/>
      <c r="QA57" s="12"/>
      <c r="QB57" s="12"/>
      <c r="QC57" s="12"/>
      <c r="QD57" s="12"/>
      <c r="QE57" s="12"/>
      <c r="QF57" s="12"/>
      <c r="QG57" s="12"/>
      <c r="QH57" s="12"/>
      <c r="QI57" s="12"/>
      <c r="QJ57" s="12"/>
      <c r="QK57" s="12"/>
      <c r="QL57" s="12"/>
      <c r="QM57" s="12"/>
      <c r="QN57" s="12"/>
      <c r="QO57" s="12"/>
      <c r="QP57" s="12"/>
      <c r="QQ57" s="12"/>
      <c r="QR57" s="12"/>
      <c r="QS57" s="12"/>
      <c r="QT57" s="12"/>
      <c r="QU57" s="12"/>
      <c r="QV57" s="12"/>
      <c r="QW57" s="12"/>
      <c r="QX57" s="12"/>
      <c r="QY57" s="12"/>
      <c r="QZ57" s="12"/>
      <c r="RA57" s="12"/>
      <c r="RB57" s="12"/>
      <c r="RC57" s="12"/>
      <c r="RD57" s="12"/>
      <c r="RE57" s="12"/>
      <c r="RF57" s="12"/>
      <c r="RG57" s="12"/>
      <c r="RH57" s="12"/>
      <c r="RI57" s="12"/>
      <c r="RJ57" s="12"/>
      <c r="RK57" s="12"/>
      <c r="RL57" s="12"/>
      <c r="RM57" s="12"/>
      <c r="RN57" s="12"/>
      <c r="RO57" s="12"/>
      <c r="RP57" s="12"/>
      <c r="RQ57" s="12"/>
      <c r="RR57" s="12"/>
      <c r="RS57" s="12"/>
      <c r="RT57" s="12"/>
      <c r="RU57" s="12"/>
      <c r="RV57" s="12"/>
      <c r="RW57" s="12"/>
      <c r="RX57" s="12"/>
      <c r="RY57" s="12"/>
      <c r="RZ57" s="12"/>
      <c r="SA57" s="12"/>
      <c r="SB57" s="12"/>
      <c r="SC57" s="12"/>
      <c r="SD57" s="12"/>
      <c r="SE57" s="12"/>
      <c r="SF57" s="12"/>
      <c r="SG57" s="12"/>
      <c r="SH57" s="12"/>
      <c r="SI57" s="12"/>
      <c r="SJ57" s="12"/>
      <c r="SK57" s="12"/>
      <c r="SL57" s="12"/>
      <c r="SM57" s="12"/>
      <c r="SN57" s="12"/>
      <c r="SO57" s="12"/>
      <c r="SP57" s="12"/>
      <c r="SQ57" s="12"/>
      <c r="SR57" s="12"/>
      <c r="SS57" s="12"/>
      <c r="ST57" s="12"/>
      <c r="SU57" s="12"/>
      <c r="SV57" s="12"/>
      <c r="SW57" s="12"/>
      <c r="SX57" s="12"/>
      <c r="SY57" s="12"/>
      <c r="SZ57" s="12"/>
      <c r="TA57" s="12"/>
      <c r="TB57" s="12"/>
      <c r="TC57" s="12"/>
      <c r="TD57" s="12"/>
      <c r="TE57" s="12"/>
      <c r="TF57" s="12"/>
      <c r="TG57" s="12"/>
      <c r="TH57" s="12"/>
      <c r="TI57" s="12"/>
      <c r="TJ57" s="12"/>
      <c r="TK57" s="12"/>
      <c r="TL57" s="12"/>
      <c r="TM57" s="12"/>
      <c r="TN57" s="12"/>
      <c r="TO57" s="12"/>
      <c r="TP57" s="12"/>
      <c r="TQ57" s="12"/>
      <c r="TR57" s="12"/>
      <c r="TS57" s="12"/>
      <c r="TT57" s="12"/>
      <c r="TU57" s="12"/>
      <c r="TV57" s="12"/>
      <c r="TW57" s="12"/>
      <c r="TX57" s="12"/>
      <c r="TY57" s="12"/>
      <c r="TZ57" s="12"/>
      <c r="UA57" s="12"/>
      <c r="UB57" s="12"/>
      <c r="UC57" s="12"/>
      <c r="UD57" s="12"/>
      <c r="UE57" s="12"/>
      <c r="UF57" s="12"/>
      <c r="UG57" s="12"/>
      <c r="UH57" s="12"/>
      <c r="UI57" s="12"/>
      <c r="UJ57" s="12"/>
      <c r="UK57" s="12"/>
      <c r="UL57" s="12"/>
      <c r="UM57" s="12"/>
      <c r="UN57" s="12"/>
      <c r="UO57" s="12"/>
      <c r="UP57" s="12"/>
      <c r="UQ57" s="12"/>
      <c r="UR57" s="12"/>
      <c r="US57" s="12"/>
      <c r="UT57" s="12"/>
      <c r="UU57" s="12"/>
      <c r="UV57" s="12"/>
      <c r="UW57" s="12"/>
      <c r="UX57" s="12"/>
      <c r="UY57" s="12"/>
      <c r="UZ57" s="12"/>
      <c r="VA57" s="12"/>
      <c r="VB57" s="12"/>
      <c r="VC57" s="12"/>
      <c r="VD57" s="12"/>
      <c r="VE57" s="12"/>
      <c r="VF57" s="12"/>
      <c r="VG57" s="12"/>
      <c r="VH57" s="12"/>
      <c r="VI57" s="12"/>
      <c r="VJ57" s="12"/>
      <c r="VK57" s="12"/>
      <c r="VL57" s="12"/>
      <c r="VM57" s="12"/>
      <c r="VN57" s="12"/>
      <c r="VO57" s="12"/>
      <c r="VP57" s="12"/>
      <c r="VQ57" s="12"/>
      <c r="VR57" s="12"/>
      <c r="VS57" s="12"/>
      <c r="VT57" s="12"/>
      <c r="VU57" s="12"/>
      <c r="VV57" s="12"/>
      <c r="VW57" s="12"/>
      <c r="VX57" s="12"/>
      <c r="VY57" s="12"/>
      <c r="VZ57" s="12"/>
      <c r="WA57" s="12"/>
      <c r="WB57" s="12"/>
      <c r="WC57" s="12"/>
      <c r="WD57" s="12"/>
      <c r="WE57" s="12"/>
      <c r="WF57" s="12"/>
      <c r="WG57" s="12"/>
      <c r="WH57" s="12"/>
      <c r="WI57" s="12"/>
      <c r="WJ57" s="12"/>
      <c r="WK57" s="12"/>
      <c r="WL57" s="12"/>
      <c r="WM57" s="12"/>
      <c r="WN57" s="12"/>
      <c r="WO57" s="12"/>
      <c r="WP57" s="12"/>
      <c r="WQ57" s="12"/>
      <c r="WR57" s="12"/>
      <c r="WS57" s="12"/>
      <c r="WT57" s="12"/>
      <c r="WU57" s="12"/>
      <c r="WV57" s="12"/>
      <c r="WW57" s="12"/>
      <c r="WX57" s="12"/>
      <c r="WY57" s="12"/>
      <c r="WZ57" s="12"/>
      <c r="XA57" s="12"/>
      <c r="XB57" s="12"/>
      <c r="XC57" s="12"/>
      <c r="XD57" s="12"/>
      <c r="XE57" s="12"/>
      <c r="XF57" s="12"/>
      <c r="XG57" s="12"/>
      <c r="XH57" s="12"/>
      <c r="XI57" s="12"/>
      <c r="XJ57" s="12"/>
      <c r="XK57" s="12"/>
      <c r="XL57" s="12"/>
      <c r="XM57" s="12"/>
      <c r="XN57" s="12"/>
      <c r="XO57" s="12"/>
      <c r="XP57" s="12"/>
      <c r="XQ57" s="12"/>
      <c r="XR57" s="12"/>
      <c r="XS57" s="12"/>
      <c r="XT57" s="12"/>
      <c r="XU57" s="12"/>
      <c r="XV57" s="12"/>
      <c r="XW57" s="12"/>
      <c r="XX57" s="12"/>
      <c r="XY57" s="12"/>
      <c r="XZ57" s="12"/>
      <c r="YA57" s="12"/>
      <c r="YB57" s="12"/>
      <c r="YC57" s="12"/>
      <c r="YD57" s="12"/>
      <c r="YE57" s="12"/>
      <c r="YF57" s="12"/>
      <c r="YG57" s="12"/>
      <c r="YH57" s="12"/>
      <c r="YI57" s="12"/>
      <c r="YJ57" s="12"/>
      <c r="YK57" s="12"/>
      <c r="YL57" s="12"/>
      <c r="YM57" s="12"/>
      <c r="YN57" s="12"/>
      <c r="YO57" s="12"/>
      <c r="YP57" s="12"/>
      <c r="YQ57" s="12"/>
      <c r="YR57" s="12"/>
      <c r="YS57" s="12"/>
      <c r="YT57" s="12"/>
      <c r="YU57" s="12"/>
      <c r="YV57" s="12"/>
      <c r="YW57" s="12"/>
      <c r="YX57" s="12"/>
      <c r="YY57" s="12"/>
      <c r="YZ57" s="12"/>
      <c r="ZA57" s="12"/>
      <c r="ZB57" s="12"/>
      <c r="ZC57" s="12"/>
      <c r="ZD57" s="12"/>
      <c r="ZE57" s="12"/>
      <c r="ZF57" s="12"/>
      <c r="ZG57" s="12"/>
      <c r="ZH57" s="12"/>
      <c r="ZI57" s="12"/>
      <c r="ZJ57" s="12"/>
      <c r="ZK57" s="12"/>
      <c r="ZL57" s="12"/>
      <c r="ZM57" s="12"/>
      <c r="ZN57" s="12"/>
      <c r="ZO57" s="12"/>
      <c r="ZP57" s="12"/>
      <c r="ZQ57" s="12"/>
      <c r="ZR57" s="12"/>
      <c r="ZS57" s="12"/>
      <c r="ZT57" s="12"/>
      <c r="ZU57" s="12"/>
      <c r="ZV57" s="12"/>
      <c r="ZW57" s="12"/>
      <c r="ZX57" s="12"/>
      <c r="ZY57" s="12"/>
      <c r="ZZ57" s="12"/>
      <c r="AAA57" s="12"/>
      <c r="AAB57" s="12"/>
      <c r="AAC57" s="12"/>
      <c r="AAD57" s="12"/>
      <c r="AAE57" s="12"/>
      <c r="AAF57" s="12"/>
      <c r="AAG57" s="12"/>
      <c r="AAH57" s="12"/>
      <c r="AAI57" s="12"/>
      <c r="AAJ57" s="12"/>
      <c r="AAK57" s="12"/>
      <c r="AAL57" s="12"/>
      <c r="AAM57" s="12"/>
      <c r="AAN57" s="12"/>
      <c r="AAO57" s="12"/>
      <c r="AAP57" s="12"/>
      <c r="AAQ57" s="12"/>
      <c r="AAR57" s="12"/>
      <c r="AAS57" s="12"/>
      <c r="AAT57" s="12"/>
      <c r="AAU57" s="12"/>
      <c r="AAV57" s="12"/>
      <c r="AAW57" s="12"/>
      <c r="AAX57" s="12"/>
      <c r="AAY57" s="12"/>
      <c r="AAZ57" s="12"/>
      <c r="ABA57" s="12"/>
      <c r="ABB57" s="12"/>
      <c r="ABC57" s="12"/>
      <c r="ABD57" s="12"/>
      <c r="ABE57" s="12"/>
      <c r="ABF57" s="12"/>
      <c r="ABG57" s="12"/>
      <c r="ABH57" s="12"/>
      <c r="ABI57" s="12"/>
      <c r="ABJ57" s="12"/>
      <c r="ABK57" s="12"/>
      <c r="ABL57" s="12"/>
      <c r="ABM57" s="12"/>
      <c r="ABN57" s="12"/>
      <c r="ABO57" s="12"/>
      <c r="ABP57" s="12"/>
      <c r="ABQ57" s="12"/>
      <c r="ABR57" s="12"/>
      <c r="ABS57" s="12"/>
      <c r="ABT57" s="12"/>
      <c r="ABU57" s="12"/>
      <c r="ABV57" s="12"/>
      <c r="ABW57" s="12"/>
      <c r="ABX57" s="12"/>
      <c r="ABY57" s="12"/>
      <c r="ABZ57" s="12"/>
      <c r="ACA57" s="12"/>
      <c r="ACB57" s="12"/>
      <c r="ACC57" s="12"/>
      <c r="ACD57" s="12"/>
      <c r="ACE57" s="12"/>
      <c r="ACF57" s="12"/>
      <c r="ACG57" s="12"/>
      <c r="ACH57" s="12"/>
      <c r="ACI57" s="12"/>
      <c r="ACJ57" s="12"/>
      <c r="ACK57" s="12"/>
      <c r="ACL57" s="12"/>
      <c r="ACM57" s="12"/>
      <c r="ACN57" s="12"/>
      <c r="ACO57" s="12"/>
      <c r="ACP57" s="12"/>
      <c r="ACQ57" s="12"/>
      <c r="ACR57" s="12"/>
      <c r="ACS57" s="12"/>
      <c r="ACT57" s="12"/>
      <c r="ACU57" s="12"/>
      <c r="ACV57" s="12"/>
      <c r="ACW57" s="12"/>
      <c r="ACX57" s="12"/>
      <c r="ACY57" s="12"/>
      <c r="ACZ57" s="12"/>
      <c r="ADA57" s="12"/>
      <c r="ADB57" s="12"/>
      <c r="ADC57" s="12"/>
      <c r="ADD57" s="12"/>
      <c r="ADE57" s="12"/>
      <c r="ADF57" s="12"/>
      <c r="ADG57" s="12"/>
      <c r="ADH57" s="12"/>
      <c r="ADI57" s="12"/>
      <c r="ADJ57" s="12"/>
      <c r="ADK57" s="12"/>
      <c r="ADL57" s="12"/>
      <c r="ADM57" s="12"/>
      <c r="ADN57" s="12"/>
      <c r="ADO57" s="12"/>
      <c r="ADP57" s="12"/>
      <c r="ADQ57" s="12"/>
      <c r="ADR57" s="12"/>
      <c r="ADS57" s="12"/>
      <c r="ADT57" s="12"/>
      <c r="ADU57" s="12"/>
      <c r="ADV57" s="12"/>
      <c r="ADW57" s="12"/>
      <c r="ADX57" s="12"/>
      <c r="ADY57" s="12"/>
      <c r="ADZ57" s="12"/>
      <c r="AEA57" s="12"/>
      <c r="AEB57" s="12"/>
      <c r="AEC57" s="12"/>
      <c r="AED57" s="12"/>
      <c r="AEE57" s="12"/>
      <c r="AEF57" s="12"/>
      <c r="AEG57" s="12"/>
      <c r="AEH57" s="12"/>
      <c r="AEI57" s="12"/>
      <c r="AEJ57" s="12"/>
      <c r="AEK57" s="12"/>
      <c r="AEL57" s="12"/>
      <c r="AEM57" s="12"/>
      <c r="AEN57" s="12"/>
      <c r="AEO57" s="12"/>
      <c r="AEP57" s="12"/>
      <c r="AEQ57" s="12"/>
      <c r="AER57" s="12"/>
      <c r="AES57" s="12"/>
      <c r="AET57" s="12"/>
      <c r="AEU57" s="12"/>
      <c r="AEV57" s="12"/>
    </row>
    <row r="58" spans="1:828" s="27" customFormat="1" ht="18" x14ac:dyDescent="0.2">
      <c r="A58" s="62"/>
      <c r="C58" s="23"/>
      <c r="D58" s="29"/>
      <c r="E58" s="23"/>
      <c r="F58" s="23"/>
      <c r="G58" s="23"/>
      <c r="H58" s="30"/>
      <c r="I58" s="23"/>
      <c r="J58" s="29"/>
      <c r="K58" s="30"/>
      <c r="L58" s="23"/>
      <c r="M58" s="29"/>
      <c r="N58" s="47"/>
      <c r="O58" s="12"/>
      <c r="P58" s="48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  <c r="LT58" s="12"/>
      <c r="LU58" s="12"/>
      <c r="LV58" s="12"/>
      <c r="LW58" s="12"/>
      <c r="LX58" s="12"/>
      <c r="LY58" s="12"/>
      <c r="LZ58" s="12"/>
      <c r="MA58" s="12"/>
      <c r="MB58" s="12"/>
      <c r="MC58" s="12"/>
      <c r="MD58" s="12"/>
      <c r="ME58" s="12"/>
      <c r="MF58" s="12"/>
      <c r="MG58" s="12"/>
      <c r="MH58" s="12"/>
      <c r="MI58" s="12"/>
      <c r="MJ58" s="12"/>
      <c r="MK58" s="12"/>
      <c r="ML58" s="12"/>
      <c r="MM58" s="12"/>
      <c r="MN58" s="12"/>
      <c r="MO58" s="12"/>
      <c r="MP58" s="12"/>
      <c r="MQ58" s="12"/>
      <c r="MR58" s="12"/>
      <c r="MS58" s="12"/>
      <c r="MT58" s="12"/>
      <c r="MU58" s="12"/>
      <c r="MV58" s="12"/>
      <c r="MW58" s="12"/>
      <c r="MX58" s="12"/>
      <c r="MY58" s="12"/>
      <c r="MZ58" s="12"/>
      <c r="NA58" s="12"/>
      <c r="NB58" s="12"/>
      <c r="NC58" s="12"/>
      <c r="ND58" s="12"/>
      <c r="NE58" s="12"/>
      <c r="NF58" s="12"/>
      <c r="NG58" s="12"/>
      <c r="NH58" s="12"/>
      <c r="NI58" s="12"/>
      <c r="NJ58" s="12"/>
      <c r="NK58" s="12"/>
      <c r="NL58" s="12"/>
      <c r="NM58" s="12"/>
      <c r="NN58" s="12"/>
      <c r="NO58" s="12"/>
      <c r="NP58" s="12"/>
      <c r="NQ58" s="12"/>
      <c r="NR58" s="12"/>
      <c r="NS58" s="12"/>
      <c r="NT58" s="12"/>
      <c r="NU58" s="12"/>
      <c r="NV58" s="12"/>
      <c r="NW58" s="12"/>
      <c r="NX58" s="12"/>
      <c r="NY58" s="12"/>
      <c r="NZ58" s="12"/>
      <c r="OA58" s="12"/>
      <c r="OB58" s="12"/>
      <c r="OC58" s="12"/>
      <c r="OD58" s="12"/>
      <c r="OE58" s="12"/>
      <c r="OF58" s="12"/>
      <c r="OG58" s="12"/>
      <c r="OH58" s="12"/>
      <c r="OI58" s="12"/>
      <c r="OJ58" s="12"/>
      <c r="OK58" s="12"/>
      <c r="OL58" s="12"/>
      <c r="OM58" s="12"/>
      <c r="ON58" s="12"/>
      <c r="OO58" s="12"/>
      <c r="OP58" s="12"/>
      <c r="OQ58" s="12"/>
      <c r="OR58" s="12"/>
      <c r="OS58" s="12"/>
      <c r="OT58" s="12"/>
      <c r="OU58" s="12"/>
      <c r="OV58" s="12"/>
      <c r="OW58" s="12"/>
      <c r="OX58" s="12"/>
      <c r="OY58" s="12"/>
      <c r="OZ58" s="12"/>
      <c r="PA58" s="12"/>
      <c r="PB58" s="12"/>
      <c r="PC58" s="12"/>
      <c r="PD58" s="12"/>
      <c r="PE58" s="12"/>
      <c r="PF58" s="12"/>
      <c r="PG58" s="12"/>
      <c r="PH58" s="12"/>
      <c r="PI58" s="12"/>
      <c r="PJ58" s="12"/>
      <c r="PK58" s="12"/>
      <c r="PL58" s="12"/>
      <c r="PM58" s="12"/>
      <c r="PN58" s="12"/>
      <c r="PO58" s="12"/>
      <c r="PP58" s="12"/>
      <c r="PQ58" s="12"/>
      <c r="PR58" s="12"/>
      <c r="PS58" s="12"/>
      <c r="PT58" s="12"/>
      <c r="PU58" s="12"/>
      <c r="PV58" s="12"/>
      <c r="PW58" s="12"/>
      <c r="PX58" s="12"/>
      <c r="PY58" s="12"/>
      <c r="PZ58" s="12"/>
      <c r="QA58" s="12"/>
      <c r="QB58" s="12"/>
      <c r="QC58" s="12"/>
      <c r="QD58" s="12"/>
      <c r="QE58" s="12"/>
      <c r="QF58" s="12"/>
      <c r="QG58" s="12"/>
      <c r="QH58" s="12"/>
      <c r="QI58" s="12"/>
      <c r="QJ58" s="12"/>
      <c r="QK58" s="12"/>
      <c r="QL58" s="12"/>
      <c r="QM58" s="12"/>
      <c r="QN58" s="12"/>
      <c r="QO58" s="12"/>
      <c r="QP58" s="12"/>
      <c r="QQ58" s="12"/>
      <c r="QR58" s="12"/>
      <c r="QS58" s="12"/>
      <c r="QT58" s="12"/>
      <c r="QU58" s="12"/>
      <c r="QV58" s="12"/>
      <c r="QW58" s="12"/>
      <c r="QX58" s="12"/>
      <c r="QY58" s="12"/>
      <c r="QZ58" s="12"/>
      <c r="RA58" s="12"/>
      <c r="RB58" s="12"/>
      <c r="RC58" s="12"/>
      <c r="RD58" s="12"/>
      <c r="RE58" s="12"/>
      <c r="RF58" s="12"/>
      <c r="RG58" s="12"/>
      <c r="RH58" s="12"/>
      <c r="RI58" s="12"/>
      <c r="RJ58" s="12"/>
      <c r="RK58" s="12"/>
      <c r="RL58" s="12"/>
      <c r="RM58" s="12"/>
      <c r="RN58" s="12"/>
      <c r="RO58" s="12"/>
      <c r="RP58" s="12"/>
      <c r="RQ58" s="12"/>
      <c r="RR58" s="12"/>
      <c r="RS58" s="12"/>
      <c r="RT58" s="12"/>
      <c r="RU58" s="12"/>
      <c r="RV58" s="12"/>
      <c r="RW58" s="12"/>
      <c r="RX58" s="12"/>
      <c r="RY58" s="12"/>
      <c r="RZ58" s="12"/>
      <c r="SA58" s="12"/>
      <c r="SB58" s="12"/>
      <c r="SC58" s="12"/>
      <c r="SD58" s="12"/>
      <c r="SE58" s="12"/>
      <c r="SF58" s="12"/>
      <c r="SG58" s="12"/>
      <c r="SH58" s="12"/>
      <c r="SI58" s="12"/>
      <c r="SJ58" s="12"/>
      <c r="SK58" s="12"/>
      <c r="SL58" s="12"/>
      <c r="SM58" s="12"/>
      <c r="SN58" s="12"/>
      <c r="SO58" s="12"/>
      <c r="SP58" s="12"/>
      <c r="SQ58" s="12"/>
      <c r="SR58" s="12"/>
      <c r="SS58" s="12"/>
      <c r="ST58" s="12"/>
      <c r="SU58" s="12"/>
      <c r="SV58" s="12"/>
      <c r="SW58" s="12"/>
      <c r="SX58" s="12"/>
      <c r="SY58" s="12"/>
      <c r="SZ58" s="12"/>
      <c r="TA58" s="12"/>
      <c r="TB58" s="12"/>
      <c r="TC58" s="12"/>
      <c r="TD58" s="12"/>
      <c r="TE58" s="12"/>
      <c r="TF58" s="12"/>
      <c r="TG58" s="12"/>
      <c r="TH58" s="12"/>
      <c r="TI58" s="12"/>
      <c r="TJ58" s="12"/>
      <c r="TK58" s="12"/>
      <c r="TL58" s="12"/>
      <c r="TM58" s="12"/>
      <c r="TN58" s="12"/>
      <c r="TO58" s="12"/>
      <c r="TP58" s="12"/>
      <c r="TQ58" s="12"/>
      <c r="TR58" s="12"/>
      <c r="TS58" s="12"/>
      <c r="TT58" s="12"/>
      <c r="TU58" s="12"/>
      <c r="TV58" s="12"/>
      <c r="TW58" s="12"/>
      <c r="TX58" s="12"/>
      <c r="TY58" s="12"/>
      <c r="TZ58" s="12"/>
      <c r="UA58" s="12"/>
      <c r="UB58" s="12"/>
      <c r="UC58" s="12"/>
      <c r="UD58" s="12"/>
      <c r="UE58" s="12"/>
      <c r="UF58" s="12"/>
      <c r="UG58" s="12"/>
      <c r="UH58" s="12"/>
      <c r="UI58" s="12"/>
      <c r="UJ58" s="12"/>
      <c r="UK58" s="12"/>
      <c r="UL58" s="12"/>
      <c r="UM58" s="12"/>
      <c r="UN58" s="12"/>
      <c r="UO58" s="12"/>
      <c r="UP58" s="12"/>
      <c r="UQ58" s="12"/>
      <c r="UR58" s="12"/>
      <c r="US58" s="12"/>
      <c r="UT58" s="12"/>
      <c r="UU58" s="12"/>
      <c r="UV58" s="12"/>
      <c r="UW58" s="12"/>
      <c r="UX58" s="12"/>
      <c r="UY58" s="12"/>
      <c r="UZ58" s="12"/>
      <c r="VA58" s="12"/>
      <c r="VB58" s="12"/>
      <c r="VC58" s="12"/>
      <c r="VD58" s="12"/>
      <c r="VE58" s="12"/>
      <c r="VF58" s="12"/>
      <c r="VG58" s="12"/>
      <c r="VH58" s="12"/>
      <c r="VI58" s="12"/>
      <c r="VJ58" s="12"/>
      <c r="VK58" s="12"/>
      <c r="VL58" s="12"/>
      <c r="VM58" s="12"/>
      <c r="VN58" s="12"/>
      <c r="VO58" s="12"/>
      <c r="VP58" s="12"/>
      <c r="VQ58" s="12"/>
      <c r="VR58" s="12"/>
      <c r="VS58" s="12"/>
      <c r="VT58" s="12"/>
      <c r="VU58" s="12"/>
      <c r="VV58" s="12"/>
      <c r="VW58" s="12"/>
      <c r="VX58" s="12"/>
      <c r="VY58" s="12"/>
      <c r="VZ58" s="12"/>
      <c r="WA58" s="12"/>
      <c r="WB58" s="12"/>
      <c r="WC58" s="12"/>
      <c r="WD58" s="12"/>
      <c r="WE58" s="12"/>
      <c r="WF58" s="12"/>
      <c r="WG58" s="12"/>
      <c r="WH58" s="12"/>
      <c r="WI58" s="12"/>
      <c r="WJ58" s="12"/>
      <c r="WK58" s="12"/>
      <c r="WL58" s="12"/>
      <c r="WM58" s="12"/>
      <c r="WN58" s="12"/>
      <c r="WO58" s="12"/>
      <c r="WP58" s="12"/>
      <c r="WQ58" s="12"/>
      <c r="WR58" s="12"/>
      <c r="WS58" s="12"/>
      <c r="WT58" s="12"/>
      <c r="WU58" s="12"/>
      <c r="WV58" s="12"/>
      <c r="WW58" s="12"/>
      <c r="WX58" s="12"/>
      <c r="WY58" s="12"/>
      <c r="WZ58" s="12"/>
      <c r="XA58" s="12"/>
      <c r="XB58" s="12"/>
      <c r="XC58" s="12"/>
      <c r="XD58" s="12"/>
      <c r="XE58" s="12"/>
      <c r="XF58" s="12"/>
      <c r="XG58" s="12"/>
      <c r="XH58" s="12"/>
      <c r="XI58" s="12"/>
      <c r="XJ58" s="12"/>
      <c r="XK58" s="12"/>
      <c r="XL58" s="12"/>
      <c r="XM58" s="12"/>
      <c r="XN58" s="12"/>
      <c r="XO58" s="12"/>
      <c r="XP58" s="12"/>
      <c r="XQ58" s="12"/>
      <c r="XR58" s="12"/>
      <c r="XS58" s="12"/>
      <c r="XT58" s="12"/>
      <c r="XU58" s="12"/>
      <c r="XV58" s="12"/>
      <c r="XW58" s="12"/>
      <c r="XX58" s="12"/>
      <c r="XY58" s="12"/>
      <c r="XZ58" s="12"/>
      <c r="YA58" s="12"/>
      <c r="YB58" s="12"/>
      <c r="YC58" s="12"/>
      <c r="YD58" s="12"/>
      <c r="YE58" s="12"/>
      <c r="YF58" s="12"/>
      <c r="YG58" s="12"/>
      <c r="YH58" s="12"/>
      <c r="YI58" s="12"/>
      <c r="YJ58" s="12"/>
      <c r="YK58" s="12"/>
      <c r="YL58" s="12"/>
      <c r="YM58" s="12"/>
      <c r="YN58" s="12"/>
      <c r="YO58" s="12"/>
      <c r="YP58" s="12"/>
      <c r="YQ58" s="12"/>
      <c r="YR58" s="12"/>
      <c r="YS58" s="12"/>
      <c r="YT58" s="12"/>
      <c r="YU58" s="12"/>
      <c r="YV58" s="12"/>
      <c r="YW58" s="12"/>
      <c r="YX58" s="12"/>
      <c r="YY58" s="12"/>
      <c r="YZ58" s="12"/>
      <c r="ZA58" s="12"/>
      <c r="ZB58" s="12"/>
      <c r="ZC58" s="12"/>
      <c r="ZD58" s="12"/>
      <c r="ZE58" s="12"/>
      <c r="ZF58" s="12"/>
      <c r="ZG58" s="12"/>
      <c r="ZH58" s="12"/>
      <c r="ZI58" s="12"/>
      <c r="ZJ58" s="12"/>
      <c r="ZK58" s="12"/>
      <c r="ZL58" s="12"/>
      <c r="ZM58" s="12"/>
      <c r="ZN58" s="12"/>
      <c r="ZO58" s="12"/>
      <c r="ZP58" s="12"/>
      <c r="ZQ58" s="12"/>
      <c r="ZR58" s="12"/>
      <c r="ZS58" s="12"/>
      <c r="ZT58" s="12"/>
      <c r="ZU58" s="12"/>
      <c r="ZV58" s="12"/>
      <c r="ZW58" s="12"/>
      <c r="ZX58" s="12"/>
      <c r="ZY58" s="12"/>
      <c r="ZZ58" s="12"/>
      <c r="AAA58" s="12"/>
      <c r="AAB58" s="12"/>
      <c r="AAC58" s="12"/>
      <c r="AAD58" s="12"/>
      <c r="AAE58" s="12"/>
      <c r="AAF58" s="12"/>
      <c r="AAG58" s="12"/>
      <c r="AAH58" s="12"/>
      <c r="AAI58" s="12"/>
      <c r="AAJ58" s="12"/>
      <c r="AAK58" s="12"/>
      <c r="AAL58" s="12"/>
      <c r="AAM58" s="12"/>
      <c r="AAN58" s="12"/>
      <c r="AAO58" s="12"/>
      <c r="AAP58" s="12"/>
      <c r="AAQ58" s="12"/>
      <c r="AAR58" s="12"/>
      <c r="AAS58" s="12"/>
      <c r="AAT58" s="12"/>
      <c r="AAU58" s="12"/>
      <c r="AAV58" s="12"/>
      <c r="AAW58" s="12"/>
      <c r="AAX58" s="12"/>
      <c r="AAY58" s="12"/>
      <c r="AAZ58" s="12"/>
      <c r="ABA58" s="12"/>
      <c r="ABB58" s="12"/>
      <c r="ABC58" s="12"/>
      <c r="ABD58" s="12"/>
      <c r="ABE58" s="12"/>
      <c r="ABF58" s="12"/>
      <c r="ABG58" s="12"/>
      <c r="ABH58" s="12"/>
      <c r="ABI58" s="12"/>
      <c r="ABJ58" s="12"/>
      <c r="ABK58" s="12"/>
      <c r="ABL58" s="12"/>
      <c r="ABM58" s="12"/>
      <c r="ABN58" s="12"/>
      <c r="ABO58" s="12"/>
      <c r="ABP58" s="12"/>
      <c r="ABQ58" s="12"/>
      <c r="ABR58" s="12"/>
      <c r="ABS58" s="12"/>
      <c r="ABT58" s="12"/>
      <c r="ABU58" s="12"/>
      <c r="ABV58" s="12"/>
      <c r="ABW58" s="12"/>
      <c r="ABX58" s="12"/>
      <c r="ABY58" s="12"/>
      <c r="ABZ58" s="12"/>
      <c r="ACA58" s="12"/>
      <c r="ACB58" s="12"/>
      <c r="ACC58" s="12"/>
      <c r="ACD58" s="12"/>
      <c r="ACE58" s="12"/>
      <c r="ACF58" s="12"/>
      <c r="ACG58" s="12"/>
      <c r="ACH58" s="12"/>
      <c r="ACI58" s="12"/>
      <c r="ACJ58" s="12"/>
      <c r="ACK58" s="12"/>
      <c r="ACL58" s="12"/>
      <c r="ACM58" s="12"/>
      <c r="ACN58" s="12"/>
      <c r="ACO58" s="12"/>
      <c r="ACP58" s="12"/>
      <c r="ACQ58" s="12"/>
      <c r="ACR58" s="12"/>
      <c r="ACS58" s="12"/>
      <c r="ACT58" s="12"/>
      <c r="ACU58" s="12"/>
      <c r="ACV58" s="12"/>
      <c r="ACW58" s="12"/>
      <c r="ACX58" s="12"/>
      <c r="ACY58" s="12"/>
      <c r="ACZ58" s="12"/>
      <c r="ADA58" s="12"/>
      <c r="ADB58" s="12"/>
      <c r="ADC58" s="12"/>
      <c r="ADD58" s="12"/>
      <c r="ADE58" s="12"/>
      <c r="ADF58" s="12"/>
      <c r="ADG58" s="12"/>
      <c r="ADH58" s="12"/>
      <c r="ADI58" s="12"/>
      <c r="ADJ58" s="12"/>
      <c r="ADK58" s="12"/>
      <c r="ADL58" s="12"/>
      <c r="ADM58" s="12"/>
      <c r="ADN58" s="12"/>
      <c r="ADO58" s="12"/>
      <c r="ADP58" s="12"/>
      <c r="ADQ58" s="12"/>
      <c r="ADR58" s="12"/>
      <c r="ADS58" s="12"/>
      <c r="ADT58" s="12"/>
      <c r="ADU58" s="12"/>
      <c r="ADV58" s="12"/>
      <c r="ADW58" s="12"/>
      <c r="ADX58" s="12"/>
      <c r="ADY58" s="12"/>
      <c r="ADZ58" s="12"/>
      <c r="AEA58" s="12"/>
      <c r="AEB58" s="12"/>
      <c r="AEC58" s="12"/>
      <c r="AED58" s="12"/>
      <c r="AEE58" s="12"/>
      <c r="AEF58" s="12"/>
      <c r="AEG58" s="12"/>
      <c r="AEH58" s="12"/>
      <c r="AEI58" s="12"/>
      <c r="AEJ58" s="12"/>
      <c r="AEK58" s="12"/>
      <c r="AEL58" s="12"/>
      <c r="AEM58" s="12"/>
      <c r="AEN58" s="12"/>
      <c r="AEO58" s="12"/>
      <c r="AEP58" s="12"/>
      <c r="AEQ58" s="12"/>
      <c r="AER58" s="12"/>
      <c r="AES58" s="12"/>
      <c r="AET58" s="12"/>
      <c r="AEU58" s="12"/>
      <c r="AEV58" s="12"/>
    </row>
    <row r="59" spans="1:828" s="27" customFormat="1" ht="18" x14ac:dyDescent="0.2">
      <c r="A59" s="63"/>
      <c r="C59" s="64"/>
      <c r="D59" s="65"/>
      <c r="E59" s="64"/>
      <c r="F59" s="64"/>
      <c r="G59" s="65"/>
      <c r="H59" s="64"/>
      <c r="I59" s="64"/>
      <c r="J59" s="65"/>
      <c r="K59" s="64"/>
      <c r="L59" s="64"/>
      <c r="M59" s="65"/>
      <c r="N59" s="47"/>
      <c r="O59" s="12"/>
      <c r="P59" s="48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2"/>
      <c r="FJ59" s="12"/>
      <c r="FK59" s="12"/>
      <c r="FL59" s="12"/>
      <c r="FM59" s="12"/>
      <c r="FN59" s="12"/>
      <c r="FO59" s="12"/>
      <c r="FP59" s="12"/>
      <c r="FQ59" s="12"/>
      <c r="FR59" s="12"/>
      <c r="FS59" s="12"/>
      <c r="FT59" s="12"/>
      <c r="FU59" s="12"/>
      <c r="FV59" s="12"/>
      <c r="FW59" s="12"/>
      <c r="FX59" s="12"/>
      <c r="FY59" s="12"/>
      <c r="FZ59" s="12"/>
      <c r="GA59" s="12"/>
      <c r="GB59" s="12"/>
      <c r="GC59" s="12"/>
      <c r="GD59" s="12"/>
      <c r="GE59" s="12"/>
      <c r="GF59" s="12"/>
      <c r="GG59" s="12"/>
      <c r="GH59" s="12"/>
      <c r="GI59" s="12"/>
      <c r="GJ59" s="12"/>
      <c r="GK59" s="12"/>
      <c r="GL59" s="12"/>
      <c r="GM59" s="12"/>
      <c r="GN59" s="12"/>
      <c r="GO59" s="12"/>
      <c r="GP59" s="12"/>
      <c r="GQ59" s="12"/>
      <c r="GR59" s="12"/>
      <c r="GS59" s="12"/>
      <c r="GT59" s="12"/>
      <c r="GU59" s="12"/>
      <c r="GV59" s="12"/>
      <c r="GW59" s="12"/>
      <c r="GX59" s="12"/>
      <c r="GY59" s="12"/>
      <c r="GZ59" s="12"/>
      <c r="HA59" s="12"/>
      <c r="HB59" s="12"/>
      <c r="HC59" s="12"/>
      <c r="HD59" s="12"/>
      <c r="HE59" s="12"/>
      <c r="HF59" s="12"/>
      <c r="HG59" s="12"/>
      <c r="HH59" s="12"/>
      <c r="HI59" s="12"/>
      <c r="HJ59" s="12"/>
      <c r="HK59" s="12"/>
      <c r="HL59" s="12"/>
      <c r="HM59" s="12"/>
      <c r="HN59" s="12"/>
      <c r="HO59" s="12"/>
      <c r="HP59" s="12"/>
      <c r="HQ59" s="12"/>
      <c r="HR59" s="12"/>
      <c r="HS59" s="12"/>
      <c r="HT59" s="12"/>
      <c r="HU59" s="12"/>
      <c r="HV59" s="12"/>
      <c r="HW59" s="12"/>
      <c r="HX59" s="12"/>
      <c r="HY59" s="12"/>
      <c r="HZ59" s="12"/>
      <c r="IA59" s="12"/>
      <c r="IB59" s="12"/>
      <c r="IC59" s="12"/>
      <c r="ID59" s="12"/>
      <c r="IE59" s="12"/>
      <c r="IF59" s="12"/>
      <c r="IG59" s="12"/>
      <c r="IH59" s="12"/>
      <c r="II59" s="12"/>
      <c r="IJ59" s="12"/>
      <c r="IK59" s="12"/>
      <c r="IL59" s="12"/>
      <c r="IM59" s="12"/>
      <c r="IN59" s="12"/>
      <c r="IO59" s="12"/>
      <c r="IP59" s="12"/>
      <c r="IQ59" s="12"/>
      <c r="IR59" s="12"/>
      <c r="IS59" s="12"/>
      <c r="IT59" s="12"/>
      <c r="IU59" s="12"/>
      <c r="IV59" s="12"/>
      <c r="IW59" s="12"/>
      <c r="IX59" s="12"/>
      <c r="IY59" s="12"/>
      <c r="IZ59" s="12"/>
      <c r="JA59" s="12"/>
      <c r="JB59" s="12"/>
      <c r="JC59" s="12"/>
      <c r="JD59" s="12"/>
      <c r="JE59" s="12"/>
      <c r="JF59" s="12"/>
      <c r="JG59" s="12"/>
      <c r="JH59" s="12"/>
      <c r="JI59" s="12"/>
      <c r="JJ59" s="12"/>
      <c r="JK59" s="12"/>
      <c r="JL59" s="12"/>
      <c r="JM59" s="12"/>
      <c r="JN59" s="12"/>
      <c r="JO59" s="12"/>
      <c r="JP59" s="12"/>
      <c r="JQ59" s="12"/>
      <c r="JR59" s="12"/>
      <c r="JS59" s="12"/>
      <c r="JT59" s="12"/>
      <c r="JU59" s="12"/>
      <c r="JV59" s="12"/>
      <c r="JW59" s="12"/>
      <c r="JX59" s="12"/>
      <c r="JY59" s="12"/>
      <c r="JZ59" s="12"/>
      <c r="KA59" s="12"/>
      <c r="KB59" s="12"/>
      <c r="KC59" s="12"/>
      <c r="KD59" s="12"/>
      <c r="KE59" s="12"/>
      <c r="KF59" s="12"/>
      <c r="KG59" s="12"/>
      <c r="KH59" s="12"/>
      <c r="KI59" s="12"/>
      <c r="KJ59" s="12"/>
      <c r="KK59" s="12"/>
      <c r="KL59" s="12"/>
      <c r="KM59" s="12"/>
      <c r="KN59" s="12"/>
      <c r="KO59" s="12"/>
      <c r="KP59" s="12"/>
      <c r="KQ59" s="12"/>
      <c r="KR59" s="12"/>
      <c r="KS59" s="12"/>
      <c r="KT59" s="12"/>
      <c r="KU59" s="12"/>
      <c r="KV59" s="12"/>
      <c r="KW59" s="12"/>
      <c r="KX59" s="12"/>
      <c r="KY59" s="12"/>
      <c r="KZ59" s="12"/>
      <c r="LA59" s="12"/>
      <c r="LB59" s="12"/>
      <c r="LC59" s="12"/>
      <c r="LD59" s="12"/>
      <c r="LE59" s="12"/>
      <c r="LF59" s="12"/>
      <c r="LG59" s="12"/>
      <c r="LH59" s="12"/>
      <c r="LI59" s="12"/>
      <c r="LJ59" s="12"/>
      <c r="LK59" s="12"/>
      <c r="LL59" s="12"/>
      <c r="LM59" s="12"/>
      <c r="LN59" s="12"/>
      <c r="LO59" s="12"/>
      <c r="LP59" s="12"/>
      <c r="LQ59" s="12"/>
      <c r="LR59" s="12"/>
      <c r="LS59" s="12"/>
      <c r="LT59" s="12"/>
      <c r="LU59" s="12"/>
      <c r="LV59" s="12"/>
      <c r="LW59" s="12"/>
      <c r="LX59" s="12"/>
      <c r="LY59" s="12"/>
      <c r="LZ59" s="12"/>
      <c r="MA59" s="12"/>
      <c r="MB59" s="12"/>
      <c r="MC59" s="12"/>
      <c r="MD59" s="12"/>
      <c r="ME59" s="12"/>
      <c r="MF59" s="12"/>
      <c r="MG59" s="12"/>
      <c r="MH59" s="12"/>
      <c r="MI59" s="12"/>
      <c r="MJ59" s="12"/>
      <c r="MK59" s="12"/>
      <c r="ML59" s="12"/>
      <c r="MM59" s="12"/>
      <c r="MN59" s="12"/>
      <c r="MO59" s="12"/>
      <c r="MP59" s="12"/>
      <c r="MQ59" s="12"/>
      <c r="MR59" s="12"/>
      <c r="MS59" s="12"/>
      <c r="MT59" s="12"/>
      <c r="MU59" s="12"/>
      <c r="MV59" s="12"/>
      <c r="MW59" s="12"/>
      <c r="MX59" s="12"/>
      <c r="MY59" s="12"/>
      <c r="MZ59" s="12"/>
      <c r="NA59" s="12"/>
      <c r="NB59" s="12"/>
      <c r="NC59" s="12"/>
      <c r="ND59" s="12"/>
      <c r="NE59" s="12"/>
      <c r="NF59" s="12"/>
      <c r="NG59" s="12"/>
      <c r="NH59" s="12"/>
      <c r="NI59" s="12"/>
      <c r="NJ59" s="12"/>
      <c r="NK59" s="12"/>
      <c r="NL59" s="12"/>
      <c r="NM59" s="12"/>
      <c r="NN59" s="12"/>
      <c r="NO59" s="12"/>
      <c r="NP59" s="12"/>
      <c r="NQ59" s="12"/>
      <c r="NR59" s="12"/>
      <c r="NS59" s="12"/>
      <c r="NT59" s="12"/>
      <c r="NU59" s="12"/>
      <c r="NV59" s="12"/>
      <c r="NW59" s="12"/>
      <c r="NX59" s="12"/>
      <c r="NY59" s="12"/>
      <c r="NZ59" s="12"/>
      <c r="OA59" s="12"/>
      <c r="OB59" s="12"/>
      <c r="OC59" s="12"/>
      <c r="OD59" s="12"/>
      <c r="OE59" s="12"/>
      <c r="OF59" s="12"/>
      <c r="OG59" s="12"/>
      <c r="OH59" s="12"/>
      <c r="OI59" s="12"/>
      <c r="OJ59" s="12"/>
      <c r="OK59" s="12"/>
      <c r="OL59" s="12"/>
      <c r="OM59" s="12"/>
      <c r="ON59" s="12"/>
      <c r="OO59" s="12"/>
      <c r="OP59" s="12"/>
      <c r="OQ59" s="12"/>
      <c r="OR59" s="12"/>
      <c r="OS59" s="12"/>
      <c r="OT59" s="12"/>
      <c r="OU59" s="12"/>
      <c r="OV59" s="12"/>
      <c r="OW59" s="12"/>
      <c r="OX59" s="12"/>
      <c r="OY59" s="12"/>
      <c r="OZ59" s="12"/>
      <c r="PA59" s="12"/>
      <c r="PB59" s="12"/>
      <c r="PC59" s="12"/>
      <c r="PD59" s="12"/>
      <c r="PE59" s="12"/>
      <c r="PF59" s="12"/>
      <c r="PG59" s="12"/>
      <c r="PH59" s="12"/>
      <c r="PI59" s="12"/>
      <c r="PJ59" s="12"/>
      <c r="PK59" s="12"/>
      <c r="PL59" s="12"/>
      <c r="PM59" s="12"/>
      <c r="PN59" s="12"/>
      <c r="PO59" s="12"/>
      <c r="PP59" s="12"/>
      <c r="PQ59" s="12"/>
      <c r="PR59" s="12"/>
      <c r="PS59" s="12"/>
      <c r="PT59" s="12"/>
      <c r="PU59" s="12"/>
      <c r="PV59" s="12"/>
      <c r="PW59" s="12"/>
      <c r="PX59" s="12"/>
      <c r="PY59" s="12"/>
      <c r="PZ59" s="12"/>
      <c r="QA59" s="12"/>
      <c r="QB59" s="12"/>
      <c r="QC59" s="12"/>
      <c r="QD59" s="12"/>
      <c r="QE59" s="12"/>
      <c r="QF59" s="12"/>
      <c r="QG59" s="12"/>
      <c r="QH59" s="12"/>
      <c r="QI59" s="12"/>
      <c r="QJ59" s="12"/>
      <c r="QK59" s="12"/>
      <c r="QL59" s="12"/>
      <c r="QM59" s="12"/>
      <c r="QN59" s="12"/>
      <c r="QO59" s="12"/>
      <c r="QP59" s="12"/>
      <c r="QQ59" s="12"/>
      <c r="QR59" s="12"/>
      <c r="QS59" s="12"/>
      <c r="QT59" s="12"/>
      <c r="QU59" s="12"/>
      <c r="QV59" s="12"/>
      <c r="QW59" s="12"/>
      <c r="QX59" s="12"/>
      <c r="QY59" s="12"/>
      <c r="QZ59" s="12"/>
      <c r="RA59" s="12"/>
      <c r="RB59" s="12"/>
      <c r="RC59" s="12"/>
      <c r="RD59" s="12"/>
      <c r="RE59" s="12"/>
      <c r="RF59" s="12"/>
      <c r="RG59" s="12"/>
      <c r="RH59" s="12"/>
      <c r="RI59" s="12"/>
      <c r="RJ59" s="12"/>
      <c r="RK59" s="12"/>
      <c r="RL59" s="12"/>
      <c r="RM59" s="12"/>
      <c r="RN59" s="12"/>
      <c r="RO59" s="12"/>
      <c r="RP59" s="12"/>
      <c r="RQ59" s="12"/>
      <c r="RR59" s="12"/>
      <c r="RS59" s="12"/>
      <c r="RT59" s="12"/>
      <c r="RU59" s="12"/>
      <c r="RV59" s="12"/>
      <c r="RW59" s="12"/>
      <c r="RX59" s="12"/>
      <c r="RY59" s="12"/>
      <c r="RZ59" s="12"/>
      <c r="SA59" s="12"/>
      <c r="SB59" s="12"/>
      <c r="SC59" s="12"/>
      <c r="SD59" s="12"/>
      <c r="SE59" s="12"/>
      <c r="SF59" s="12"/>
      <c r="SG59" s="12"/>
      <c r="SH59" s="12"/>
      <c r="SI59" s="12"/>
      <c r="SJ59" s="12"/>
      <c r="SK59" s="12"/>
      <c r="SL59" s="12"/>
      <c r="SM59" s="12"/>
      <c r="SN59" s="12"/>
      <c r="SO59" s="12"/>
      <c r="SP59" s="12"/>
      <c r="SQ59" s="12"/>
      <c r="SR59" s="12"/>
      <c r="SS59" s="12"/>
      <c r="ST59" s="12"/>
      <c r="SU59" s="12"/>
      <c r="SV59" s="12"/>
      <c r="SW59" s="12"/>
      <c r="SX59" s="12"/>
      <c r="SY59" s="12"/>
      <c r="SZ59" s="12"/>
      <c r="TA59" s="12"/>
      <c r="TB59" s="12"/>
      <c r="TC59" s="12"/>
      <c r="TD59" s="12"/>
      <c r="TE59" s="12"/>
      <c r="TF59" s="12"/>
      <c r="TG59" s="12"/>
      <c r="TH59" s="12"/>
      <c r="TI59" s="12"/>
      <c r="TJ59" s="12"/>
      <c r="TK59" s="12"/>
      <c r="TL59" s="12"/>
      <c r="TM59" s="12"/>
      <c r="TN59" s="12"/>
      <c r="TO59" s="12"/>
      <c r="TP59" s="12"/>
      <c r="TQ59" s="12"/>
      <c r="TR59" s="12"/>
      <c r="TS59" s="12"/>
      <c r="TT59" s="12"/>
      <c r="TU59" s="12"/>
      <c r="TV59" s="12"/>
      <c r="TW59" s="12"/>
      <c r="TX59" s="12"/>
      <c r="TY59" s="12"/>
      <c r="TZ59" s="12"/>
      <c r="UA59" s="12"/>
      <c r="UB59" s="12"/>
      <c r="UC59" s="12"/>
      <c r="UD59" s="12"/>
      <c r="UE59" s="12"/>
      <c r="UF59" s="12"/>
      <c r="UG59" s="12"/>
      <c r="UH59" s="12"/>
      <c r="UI59" s="12"/>
      <c r="UJ59" s="12"/>
      <c r="UK59" s="12"/>
      <c r="UL59" s="12"/>
      <c r="UM59" s="12"/>
      <c r="UN59" s="12"/>
      <c r="UO59" s="12"/>
      <c r="UP59" s="12"/>
      <c r="UQ59" s="12"/>
      <c r="UR59" s="12"/>
      <c r="US59" s="12"/>
      <c r="UT59" s="12"/>
      <c r="UU59" s="12"/>
      <c r="UV59" s="12"/>
      <c r="UW59" s="12"/>
      <c r="UX59" s="12"/>
      <c r="UY59" s="12"/>
      <c r="UZ59" s="12"/>
      <c r="VA59" s="12"/>
      <c r="VB59" s="12"/>
      <c r="VC59" s="12"/>
      <c r="VD59" s="12"/>
      <c r="VE59" s="12"/>
      <c r="VF59" s="12"/>
      <c r="VG59" s="12"/>
      <c r="VH59" s="12"/>
      <c r="VI59" s="12"/>
      <c r="VJ59" s="12"/>
      <c r="VK59" s="12"/>
      <c r="VL59" s="12"/>
      <c r="VM59" s="12"/>
      <c r="VN59" s="12"/>
      <c r="VO59" s="12"/>
      <c r="VP59" s="12"/>
      <c r="VQ59" s="12"/>
      <c r="VR59" s="12"/>
      <c r="VS59" s="12"/>
      <c r="VT59" s="12"/>
      <c r="VU59" s="12"/>
      <c r="VV59" s="12"/>
      <c r="VW59" s="12"/>
      <c r="VX59" s="12"/>
      <c r="VY59" s="12"/>
      <c r="VZ59" s="12"/>
      <c r="WA59" s="12"/>
      <c r="WB59" s="12"/>
      <c r="WC59" s="12"/>
      <c r="WD59" s="12"/>
      <c r="WE59" s="12"/>
      <c r="WF59" s="12"/>
      <c r="WG59" s="12"/>
      <c r="WH59" s="12"/>
      <c r="WI59" s="12"/>
      <c r="WJ59" s="12"/>
      <c r="WK59" s="12"/>
      <c r="WL59" s="12"/>
      <c r="WM59" s="12"/>
      <c r="WN59" s="12"/>
      <c r="WO59" s="12"/>
      <c r="WP59" s="12"/>
      <c r="WQ59" s="12"/>
      <c r="WR59" s="12"/>
      <c r="WS59" s="12"/>
      <c r="WT59" s="12"/>
      <c r="WU59" s="12"/>
      <c r="WV59" s="12"/>
      <c r="WW59" s="12"/>
      <c r="WX59" s="12"/>
      <c r="WY59" s="12"/>
      <c r="WZ59" s="12"/>
      <c r="XA59" s="12"/>
      <c r="XB59" s="12"/>
      <c r="XC59" s="12"/>
      <c r="XD59" s="12"/>
      <c r="XE59" s="12"/>
      <c r="XF59" s="12"/>
      <c r="XG59" s="12"/>
      <c r="XH59" s="12"/>
      <c r="XI59" s="12"/>
      <c r="XJ59" s="12"/>
      <c r="XK59" s="12"/>
      <c r="XL59" s="12"/>
      <c r="XM59" s="12"/>
      <c r="XN59" s="12"/>
      <c r="XO59" s="12"/>
      <c r="XP59" s="12"/>
      <c r="XQ59" s="12"/>
      <c r="XR59" s="12"/>
      <c r="XS59" s="12"/>
      <c r="XT59" s="12"/>
      <c r="XU59" s="12"/>
      <c r="XV59" s="12"/>
      <c r="XW59" s="12"/>
      <c r="XX59" s="12"/>
      <c r="XY59" s="12"/>
      <c r="XZ59" s="12"/>
      <c r="YA59" s="12"/>
      <c r="YB59" s="12"/>
      <c r="YC59" s="12"/>
      <c r="YD59" s="12"/>
      <c r="YE59" s="12"/>
      <c r="YF59" s="12"/>
      <c r="YG59" s="12"/>
      <c r="YH59" s="12"/>
      <c r="YI59" s="12"/>
      <c r="YJ59" s="12"/>
      <c r="YK59" s="12"/>
      <c r="YL59" s="12"/>
      <c r="YM59" s="12"/>
      <c r="YN59" s="12"/>
      <c r="YO59" s="12"/>
      <c r="YP59" s="12"/>
      <c r="YQ59" s="12"/>
      <c r="YR59" s="12"/>
      <c r="YS59" s="12"/>
      <c r="YT59" s="12"/>
      <c r="YU59" s="12"/>
      <c r="YV59" s="12"/>
      <c r="YW59" s="12"/>
      <c r="YX59" s="12"/>
      <c r="YY59" s="12"/>
      <c r="YZ59" s="12"/>
      <c r="ZA59" s="12"/>
      <c r="ZB59" s="12"/>
      <c r="ZC59" s="12"/>
      <c r="ZD59" s="12"/>
      <c r="ZE59" s="12"/>
      <c r="ZF59" s="12"/>
      <c r="ZG59" s="12"/>
      <c r="ZH59" s="12"/>
      <c r="ZI59" s="12"/>
      <c r="ZJ59" s="12"/>
      <c r="ZK59" s="12"/>
      <c r="ZL59" s="12"/>
      <c r="ZM59" s="12"/>
      <c r="ZN59" s="12"/>
      <c r="ZO59" s="12"/>
      <c r="ZP59" s="12"/>
      <c r="ZQ59" s="12"/>
      <c r="ZR59" s="12"/>
      <c r="ZS59" s="12"/>
      <c r="ZT59" s="12"/>
      <c r="ZU59" s="12"/>
      <c r="ZV59" s="12"/>
      <c r="ZW59" s="12"/>
      <c r="ZX59" s="12"/>
      <c r="ZY59" s="12"/>
      <c r="ZZ59" s="12"/>
      <c r="AAA59" s="12"/>
      <c r="AAB59" s="12"/>
      <c r="AAC59" s="12"/>
      <c r="AAD59" s="12"/>
      <c r="AAE59" s="12"/>
      <c r="AAF59" s="12"/>
      <c r="AAG59" s="12"/>
      <c r="AAH59" s="12"/>
      <c r="AAI59" s="12"/>
      <c r="AAJ59" s="12"/>
      <c r="AAK59" s="12"/>
      <c r="AAL59" s="12"/>
      <c r="AAM59" s="12"/>
      <c r="AAN59" s="12"/>
      <c r="AAO59" s="12"/>
      <c r="AAP59" s="12"/>
      <c r="AAQ59" s="12"/>
      <c r="AAR59" s="12"/>
      <c r="AAS59" s="12"/>
      <c r="AAT59" s="12"/>
      <c r="AAU59" s="12"/>
      <c r="AAV59" s="12"/>
      <c r="AAW59" s="12"/>
      <c r="AAX59" s="12"/>
      <c r="AAY59" s="12"/>
      <c r="AAZ59" s="12"/>
      <c r="ABA59" s="12"/>
      <c r="ABB59" s="12"/>
      <c r="ABC59" s="12"/>
      <c r="ABD59" s="12"/>
      <c r="ABE59" s="12"/>
      <c r="ABF59" s="12"/>
      <c r="ABG59" s="12"/>
      <c r="ABH59" s="12"/>
      <c r="ABI59" s="12"/>
      <c r="ABJ59" s="12"/>
      <c r="ABK59" s="12"/>
      <c r="ABL59" s="12"/>
      <c r="ABM59" s="12"/>
      <c r="ABN59" s="12"/>
      <c r="ABO59" s="12"/>
      <c r="ABP59" s="12"/>
      <c r="ABQ59" s="12"/>
      <c r="ABR59" s="12"/>
      <c r="ABS59" s="12"/>
      <c r="ABT59" s="12"/>
      <c r="ABU59" s="12"/>
      <c r="ABV59" s="12"/>
      <c r="ABW59" s="12"/>
      <c r="ABX59" s="12"/>
      <c r="ABY59" s="12"/>
      <c r="ABZ59" s="12"/>
      <c r="ACA59" s="12"/>
      <c r="ACB59" s="12"/>
      <c r="ACC59" s="12"/>
      <c r="ACD59" s="12"/>
      <c r="ACE59" s="12"/>
      <c r="ACF59" s="12"/>
      <c r="ACG59" s="12"/>
      <c r="ACH59" s="12"/>
      <c r="ACI59" s="12"/>
      <c r="ACJ59" s="12"/>
      <c r="ACK59" s="12"/>
      <c r="ACL59" s="12"/>
      <c r="ACM59" s="12"/>
      <c r="ACN59" s="12"/>
      <c r="ACO59" s="12"/>
      <c r="ACP59" s="12"/>
      <c r="ACQ59" s="12"/>
      <c r="ACR59" s="12"/>
      <c r="ACS59" s="12"/>
      <c r="ACT59" s="12"/>
      <c r="ACU59" s="12"/>
      <c r="ACV59" s="12"/>
      <c r="ACW59" s="12"/>
      <c r="ACX59" s="12"/>
      <c r="ACY59" s="12"/>
      <c r="ACZ59" s="12"/>
      <c r="ADA59" s="12"/>
      <c r="ADB59" s="12"/>
      <c r="ADC59" s="12"/>
      <c r="ADD59" s="12"/>
      <c r="ADE59" s="12"/>
      <c r="ADF59" s="12"/>
      <c r="ADG59" s="12"/>
      <c r="ADH59" s="12"/>
      <c r="ADI59" s="12"/>
      <c r="ADJ59" s="12"/>
      <c r="ADK59" s="12"/>
      <c r="ADL59" s="12"/>
      <c r="ADM59" s="12"/>
      <c r="ADN59" s="12"/>
      <c r="ADO59" s="12"/>
      <c r="ADP59" s="12"/>
      <c r="ADQ59" s="12"/>
      <c r="ADR59" s="12"/>
      <c r="ADS59" s="12"/>
      <c r="ADT59" s="12"/>
      <c r="ADU59" s="12"/>
      <c r="ADV59" s="12"/>
      <c r="ADW59" s="12"/>
      <c r="ADX59" s="12"/>
      <c r="ADY59" s="12"/>
      <c r="ADZ59" s="12"/>
      <c r="AEA59" s="12"/>
      <c r="AEB59" s="12"/>
      <c r="AEC59" s="12"/>
      <c r="AED59" s="12"/>
      <c r="AEE59" s="12"/>
      <c r="AEF59" s="12"/>
      <c r="AEG59" s="12"/>
      <c r="AEH59" s="12"/>
      <c r="AEI59" s="12"/>
      <c r="AEJ59" s="12"/>
      <c r="AEK59" s="12"/>
      <c r="AEL59" s="12"/>
      <c r="AEM59" s="12"/>
      <c r="AEN59" s="12"/>
      <c r="AEO59" s="12"/>
      <c r="AEP59" s="12"/>
      <c r="AEQ59" s="12"/>
      <c r="AER59" s="12"/>
      <c r="AES59" s="12"/>
      <c r="AET59" s="12"/>
      <c r="AEU59" s="12"/>
      <c r="AEV59" s="12"/>
    </row>
    <row r="60" spans="1:828" s="27" customFormat="1" ht="19" x14ac:dyDescent="0.2">
      <c r="A60" s="62" t="s">
        <v>49</v>
      </c>
      <c r="B60" s="54">
        <f>SUM(D60:D62)/D74</f>
        <v>0.32864198327899546</v>
      </c>
      <c r="C60" s="31" t="s">
        <v>50</v>
      </c>
      <c r="D60" s="29">
        <v>390</v>
      </c>
      <c r="E60" s="37">
        <f>SUM(G60:G61)/D74</f>
        <v>3.1198553859065819E-2</v>
      </c>
      <c r="F60" s="23" t="s">
        <v>68</v>
      </c>
      <c r="G60" s="29">
        <v>2713</v>
      </c>
      <c r="H60" s="50">
        <f>SUM(J60:J64)/J74</f>
        <v>0.26595674498894983</v>
      </c>
      <c r="I60" s="23" t="s">
        <v>51</v>
      </c>
      <c r="J60" s="29">
        <v>2</v>
      </c>
      <c r="K60" s="50">
        <f>SUM(M60:M61)/J74</f>
        <v>1.8460895666802275E-2</v>
      </c>
      <c r="L60" s="23" t="s">
        <v>52</v>
      </c>
      <c r="M60" s="29">
        <v>1748</v>
      </c>
      <c r="N60" s="47"/>
      <c r="O60" s="12"/>
      <c r="P60" s="48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2"/>
      <c r="FJ60" s="12"/>
      <c r="FK60" s="12"/>
      <c r="FL60" s="12"/>
      <c r="FM60" s="12"/>
      <c r="FN60" s="12"/>
      <c r="FO60" s="12"/>
      <c r="FP60" s="12"/>
      <c r="FQ60" s="12"/>
      <c r="FR60" s="12"/>
      <c r="FS60" s="12"/>
      <c r="FT60" s="12"/>
      <c r="FU60" s="12"/>
      <c r="FV60" s="12"/>
      <c r="FW60" s="12"/>
      <c r="FX60" s="12"/>
      <c r="FY60" s="12"/>
      <c r="FZ60" s="12"/>
      <c r="GA60" s="12"/>
      <c r="GB60" s="12"/>
      <c r="GC60" s="12"/>
      <c r="GD60" s="12"/>
      <c r="GE60" s="12"/>
      <c r="GF60" s="12"/>
      <c r="GG60" s="12"/>
      <c r="GH60" s="12"/>
      <c r="GI60" s="12"/>
      <c r="GJ60" s="12"/>
      <c r="GK60" s="12"/>
      <c r="GL60" s="12"/>
      <c r="GM60" s="12"/>
      <c r="GN60" s="12"/>
      <c r="GO60" s="12"/>
      <c r="GP60" s="12"/>
      <c r="GQ60" s="12"/>
      <c r="GR60" s="12"/>
      <c r="GS60" s="12"/>
      <c r="GT60" s="12"/>
      <c r="GU60" s="12"/>
      <c r="GV60" s="12"/>
      <c r="GW60" s="12"/>
      <c r="GX60" s="12"/>
      <c r="GY60" s="12"/>
      <c r="GZ60" s="12"/>
      <c r="HA60" s="12"/>
      <c r="HB60" s="12"/>
      <c r="HC60" s="12"/>
      <c r="HD60" s="12"/>
      <c r="HE60" s="12"/>
      <c r="HF60" s="12"/>
      <c r="HG60" s="12"/>
      <c r="HH60" s="12"/>
      <c r="HI60" s="12"/>
      <c r="HJ60" s="12"/>
      <c r="HK60" s="12"/>
      <c r="HL60" s="12"/>
      <c r="HM60" s="12"/>
      <c r="HN60" s="12"/>
      <c r="HO60" s="12"/>
      <c r="HP60" s="12"/>
      <c r="HQ60" s="12"/>
      <c r="HR60" s="12"/>
      <c r="HS60" s="12"/>
      <c r="HT60" s="12"/>
      <c r="HU60" s="12"/>
      <c r="HV60" s="12"/>
      <c r="HW60" s="12"/>
      <c r="HX60" s="12"/>
      <c r="HY60" s="12"/>
      <c r="HZ60" s="12"/>
      <c r="IA60" s="12"/>
      <c r="IB60" s="12"/>
      <c r="IC60" s="12"/>
      <c r="ID60" s="12"/>
      <c r="IE60" s="12"/>
      <c r="IF60" s="12"/>
      <c r="IG60" s="12"/>
      <c r="IH60" s="12"/>
      <c r="II60" s="12"/>
      <c r="IJ60" s="12"/>
      <c r="IK60" s="12"/>
      <c r="IL60" s="12"/>
      <c r="IM60" s="12"/>
      <c r="IN60" s="12"/>
      <c r="IO60" s="12"/>
      <c r="IP60" s="12"/>
      <c r="IQ60" s="12"/>
      <c r="IR60" s="12"/>
      <c r="IS60" s="12"/>
      <c r="IT60" s="12"/>
      <c r="IU60" s="12"/>
      <c r="IV60" s="12"/>
      <c r="IW60" s="12"/>
      <c r="IX60" s="12"/>
      <c r="IY60" s="12"/>
      <c r="IZ60" s="12"/>
      <c r="JA60" s="12"/>
      <c r="JB60" s="12"/>
      <c r="JC60" s="12"/>
      <c r="JD60" s="12"/>
      <c r="JE60" s="12"/>
      <c r="JF60" s="12"/>
      <c r="JG60" s="12"/>
      <c r="JH60" s="12"/>
      <c r="JI60" s="12"/>
      <c r="JJ60" s="12"/>
      <c r="JK60" s="12"/>
      <c r="JL60" s="12"/>
      <c r="JM60" s="12"/>
      <c r="JN60" s="12"/>
      <c r="JO60" s="12"/>
      <c r="JP60" s="12"/>
      <c r="JQ60" s="12"/>
      <c r="JR60" s="12"/>
      <c r="JS60" s="12"/>
      <c r="JT60" s="12"/>
      <c r="JU60" s="12"/>
      <c r="JV60" s="12"/>
      <c r="JW60" s="12"/>
      <c r="JX60" s="12"/>
      <c r="JY60" s="12"/>
      <c r="JZ60" s="12"/>
      <c r="KA60" s="12"/>
      <c r="KB60" s="12"/>
      <c r="KC60" s="12"/>
      <c r="KD60" s="12"/>
      <c r="KE60" s="12"/>
      <c r="KF60" s="12"/>
      <c r="KG60" s="12"/>
      <c r="KH60" s="12"/>
      <c r="KI60" s="12"/>
      <c r="KJ60" s="12"/>
      <c r="KK60" s="12"/>
      <c r="KL60" s="12"/>
      <c r="KM60" s="12"/>
      <c r="KN60" s="12"/>
      <c r="KO60" s="12"/>
      <c r="KP60" s="12"/>
      <c r="KQ60" s="12"/>
      <c r="KR60" s="12"/>
      <c r="KS60" s="12"/>
      <c r="KT60" s="12"/>
      <c r="KU60" s="12"/>
      <c r="KV60" s="12"/>
      <c r="KW60" s="12"/>
      <c r="KX60" s="12"/>
      <c r="KY60" s="12"/>
      <c r="KZ60" s="12"/>
      <c r="LA60" s="12"/>
      <c r="LB60" s="12"/>
      <c r="LC60" s="12"/>
      <c r="LD60" s="12"/>
      <c r="LE60" s="12"/>
      <c r="LF60" s="12"/>
      <c r="LG60" s="12"/>
      <c r="LH60" s="12"/>
      <c r="LI60" s="12"/>
      <c r="LJ60" s="12"/>
      <c r="LK60" s="12"/>
      <c r="LL60" s="12"/>
      <c r="LM60" s="12"/>
      <c r="LN60" s="12"/>
      <c r="LO60" s="12"/>
      <c r="LP60" s="12"/>
      <c r="LQ60" s="12"/>
      <c r="LR60" s="12"/>
      <c r="LS60" s="12"/>
      <c r="LT60" s="12"/>
      <c r="LU60" s="12"/>
      <c r="LV60" s="12"/>
      <c r="LW60" s="12"/>
      <c r="LX60" s="12"/>
      <c r="LY60" s="12"/>
      <c r="LZ60" s="12"/>
      <c r="MA60" s="12"/>
      <c r="MB60" s="12"/>
      <c r="MC60" s="12"/>
      <c r="MD60" s="12"/>
      <c r="ME60" s="12"/>
      <c r="MF60" s="12"/>
      <c r="MG60" s="12"/>
      <c r="MH60" s="12"/>
      <c r="MI60" s="12"/>
      <c r="MJ60" s="12"/>
      <c r="MK60" s="12"/>
      <c r="ML60" s="12"/>
      <c r="MM60" s="12"/>
      <c r="MN60" s="12"/>
      <c r="MO60" s="12"/>
      <c r="MP60" s="12"/>
      <c r="MQ60" s="12"/>
      <c r="MR60" s="12"/>
      <c r="MS60" s="12"/>
      <c r="MT60" s="12"/>
      <c r="MU60" s="12"/>
      <c r="MV60" s="12"/>
      <c r="MW60" s="12"/>
      <c r="MX60" s="12"/>
      <c r="MY60" s="12"/>
      <c r="MZ60" s="12"/>
      <c r="NA60" s="12"/>
      <c r="NB60" s="12"/>
      <c r="NC60" s="12"/>
      <c r="ND60" s="12"/>
      <c r="NE60" s="12"/>
      <c r="NF60" s="12"/>
      <c r="NG60" s="12"/>
      <c r="NH60" s="12"/>
      <c r="NI60" s="12"/>
      <c r="NJ60" s="12"/>
      <c r="NK60" s="12"/>
      <c r="NL60" s="12"/>
      <c r="NM60" s="12"/>
      <c r="NN60" s="12"/>
      <c r="NO60" s="12"/>
      <c r="NP60" s="12"/>
      <c r="NQ60" s="12"/>
      <c r="NR60" s="12"/>
      <c r="NS60" s="12"/>
      <c r="NT60" s="12"/>
      <c r="NU60" s="12"/>
      <c r="NV60" s="12"/>
      <c r="NW60" s="12"/>
      <c r="NX60" s="12"/>
      <c r="NY60" s="12"/>
      <c r="NZ60" s="12"/>
      <c r="OA60" s="12"/>
      <c r="OB60" s="12"/>
      <c r="OC60" s="12"/>
      <c r="OD60" s="12"/>
      <c r="OE60" s="12"/>
      <c r="OF60" s="12"/>
      <c r="OG60" s="12"/>
      <c r="OH60" s="12"/>
      <c r="OI60" s="12"/>
      <c r="OJ60" s="12"/>
      <c r="OK60" s="12"/>
      <c r="OL60" s="12"/>
      <c r="OM60" s="12"/>
      <c r="ON60" s="12"/>
      <c r="OO60" s="12"/>
      <c r="OP60" s="12"/>
      <c r="OQ60" s="12"/>
      <c r="OR60" s="12"/>
      <c r="OS60" s="12"/>
      <c r="OT60" s="12"/>
      <c r="OU60" s="12"/>
      <c r="OV60" s="12"/>
      <c r="OW60" s="12"/>
      <c r="OX60" s="12"/>
      <c r="OY60" s="12"/>
      <c r="OZ60" s="12"/>
      <c r="PA60" s="12"/>
      <c r="PB60" s="12"/>
      <c r="PC60" s="12"/>
      <c r="PD60" s="12"/>
      <c r="PE60" s="12"/>
      <c r="PF60" s="12"/>
      <c r="PG60" s="12"/>
      <c r="PH60" s="12"/>
      <c r="PI60" s="12"/>
      <c r="PJ60" s="12"/>
      <c r="PK60" s="12"/>
      <c r="PL60" s="12"/>
      <c r="PM60" s="12"/>
      <c r="PN60" s="12"/>
      <c r="PO60" s="12"/>
      <c r="PP60" s="12"/>
      <c r="PQ60" s="12"/>
      <c r="PR60" s="12"/>
      <c r="PS60" s="12"/>
      <c r="PT60" s="12"/>
      <c r="PU60" s="12"/>
      <c r="PV60" s="12"/>
      <c r="PW60" s="12"/>
      <c r="PX60" s="12"/>
      <c r="PY60" s="12"/>
      <c r="PZ60" s="12"/>
      <c r="QA60" s="12"/>
      <c r="QB60" s="12"/>
      <c r="QC60" s="12"/>
      <c r="QD60" s="12"/>
      <c r="QE60" s="12"/>
      <c r="QF60" s="12"/>
      <c r="QG60" s="12"/>
      <c r="QH60" s="12"/>
      <c r="QI60" s="12"/>
      <c r="QJ60" s="12"/>
      <c r="QK60" s="12"/>
      <c r="QL60" s="12"/>
      <c r="QM60" s="12"/>
      <c r="QN60" s="12"/>
      <c r="QO60" s="12"/>
      <c r="QP60" s="12"/>
      <c r="QQ60" s="12"/>
      <c r="QR60" s="12"/>
      <c r="QS60" s="12"/>
      <c r="QT60" s="12"/>
      <c r="QU60" s="12"/>
      <c r="QV60" s="12"/>
      <c r="QW60" s="12"/>
      <c r="QX60" s="12"/>
      <c r="QY60" s="12"/>
      <c r="QZ60" s="12"/>
      <c r="RA60" s="12"/>
      <c r="RB60" s="12"/>
      <c r="RC60" s="12"/>
      <c r="RD60" s="12"/>
      <c r="RE60" s="12"/>
      <c r="RF60" s="12"/>
      <c r="RG60" s="12"/>
      <c r="RH60" s="12"/>
      <c r="RI60" s="12"/>
      <c r="RJ60" s="12"/>
      <c r="RK60" s="12"/>
      <c r="RL60" s="12"/>
      <c r="RM60" s="12"/>
      <c r="RN60" s="12"/>
      <c r="RO60" s="12"/>
      <c r="RP60" s="12"/>
      <c r="RQ60" s="12"/>
      <c r="RR60" s="12"/>
      <c r="RS60" s="12"/>
      <c r="RT60" s="12"/>
      <c r="RU60" s="12"/>
      <c r="RV60" s="12"/>
      <c r="RW60" s="12"/>
      <c r="RX60" s="12"/>
      <c r="RY60" s="12"/>
      <c r="RZ60" s="12"/>
      <c r="SA60" s="12"/>
      <c r="SB60" s="12"/>
      <c r="SC60" s="12"/>
      <c r="SD60" s="12"/>
      <c r="SE60" s="12"/>
      <c r="SF60" s="12"/>
      <c r="SG60" s="12"/>
      <c r="SH60" s="12"/>
      <c r="SI60" s="12"/>
      <c r="SJ60" s="12"/>
      <c r="SK60" s="12"/>
      <c r="SL60" s="12"/>
      <c r="SM60" s="12"/>
      <c r="SN60" s="12"/>
      <c r="SO60" s="12"/>
      <c r="SP60" s="12"/>
      <c r="SQ60" s="12"/>
      <c r="SR60" s="12"/>
      <c r="SS60" s="12"/>
      <c r="ST60" s="12"/>
      <c r="SU60" s="12"/>
      <c r="SV60" s="12"/>
      <c r="SW60" s="12"/>
      <c r="SX60" s="12"/>
      <c r="SY60" s="12"/>
      <c r="SZ60" s="12"/>
      <c r="TA60" s="12"/>
      <c r="TB60" s="12"/>
      <c r="TC60" s="12"/>
      <c r="TD60" s="12"/>
      <c r="TE60" s="12"/>
      <c r="TF60" s="12"/>
      <c r="TG60" s="12"/>
      <c r="TH60" s="12"/>
      <c r="TI60" s="12"/>
      <c r="TJ60" s="12"/>
      <c r="TK60" s="12"/>
      <c r="TL60" s="12"/>
      <c r="TM60" s="12"/>
      <c r="TN60" s="12"/>
      <c r="TO60" s="12"/>
      <c r="TP60" s="12"/>
      <c r="TQ60" s="12"/>
      <c r="TR60" s="12"/>
      <c r="TS60" s="12"/>
      <c r="TT60" s="12"/>
      <c r="TU60" s="12"/>
      <c r="TV60" s="12"/>
      <c r="TW60" s="12"/>
      <c r="TX60" s="12"/>
      <c r="TY60" s="12"/>
      <c r="TZ60" s="12"/>
      <c r="UA60" s="12"/>
      <c r="UB60" s="12"/>
      <c r="UC60" s="12"/>
      <c r="UD60" s="12"/>
      <c r="UE60" s="12"/>
      <c r="UF60" s="12"/>
      <c r="UG60" s="12"/>
      <c r="UH60" s="12"/>
      <c r="UI60" s="12"/>
      <c r="UJ60" s="12"/>
      <c r="UK60" s="12"/>
      <c r="UL60" s="12"/>
      <c r="UM60" s="12"/>
      <c r="UN60" s="12"/>
      <c r="UO60" s="12"/>
      <c r="UP60" s="12"/>
      <c r="UQ60" s="12"/>
      <c r="UR60" s="12"/>
      <c r="US60" s="12"/>
      <c r="UT60" s="12"/>
      <c r="UU60" s="12"/>
      <c r="UV60" s="12"/>
      <c r="UW60" s="12"/>
      <c r="UX60" s="12"/>
      <c r="UY60" s="12"/>
      <c r="UZ60" s="12"/>
      <c r="VA60" s="12"/>
      <c r="VB60" s="12"/>
      <c r="VC60" s="12"/>
      <c r="VD60" s="12"/>
      <c r="VE60" s="12"/>
      <c r="VF60" s="12"/>
      <c r="VG60" s="12"/>
      <c r="VH60" s="12"/>
      <c r="VI60" s="12"/>
      <c r="VJ60" s="12"/>
      <c r="VK60" s="12"/>
      <c r="VL60" s="12"/>
      <c r="VM60" s="12"/>
      <c r="VN60" s="12"/>
      <c r="VO60" s="12"/>
      <c r="VP60" s="12"/>
      <c r="VQ60" s="12"/>
      <c r="VR60" s="12"/>
      <c r="VS60" s="12"/>
      <c r="VT60" s="12"/>
      <c r="VU60" s="12"/>
      <c r="VV60" s="12"/>
      <c r="VW60" s="12"/>
      <c r="VX60" s="12"/>
      <c r="VY60" s="12"/>
      <c r="VZ60" s="12"/>
      <c r="WA60" s="12"/>
      <c r="WB60" s="12"/>
      <c r="WC60" s="12"/>
      <c r="WD60" s="12"/>
      <c r="WE60" s="12"/>
      <c r="WF60" s="12"/>
      <c r="WG60" s="12"/>
      <c r="WH60" s="12"/>
      <c r="WI60" s="12"/>
      <c r="WJ60" s="12"/>
      <c r="WK60" s="12"/>
      <c r="WL60" s="12"/>
      <c r="WM60" s="12"/>
      <c r="WN60" s="12"/>
      <c r="WO60" s="12"/>
      <c r="WP60" s="12"/>
      <c r="WQ60" s="12"/>
      <c r="WR60" s="12"/>
      <c r="WS60" s="12"/>
      <c r="WT60" s="12"/>
      <c r="WU60" s="12"/>
      <c r="WV60" s="12"/>
      <c r="WW60" s="12"/>
      <c r="WX60" s="12"/>
      <c r="WY60" s="12"/>
      <c r="WZ60" s="12"/>
      <c r="XA60" s="12"/>
      <c r="XB60" s="12"/>
      <c r="XC60" s="12"/>
      <c r="XD60" s="12"/>
      <c r="XE60" s="12"/>
      <c r="XF60" s="12"/>
      <c r="XG60" s="12"/>
      <c r="XH60" s="12"/>
      <c r="XI60" s="12"/>
      <c r="XJ60" s="12"/>
      <c r="XK60" s="12"/>
      <c r="XL60" s="12"/>
      <c r="XM60" s="12"/>
      <c r="XN60" s="12"/>
      <c r="XO60" s="12"/>
      <c r="XP60" s="12"/>
      <c r="XQ60" s="12"/>
      <c r="XR60" s="12"/>
      <c r="XS60" s="12"/>
      <c r="XT60" s="12"/>
      <c r="XU60" s="12"/>
      <c r="XV60" s="12"/>
      <c r="XW60" s="12"/>
      <c r="XX60" s="12"/>
      <c r="XY60" s="12"/>
      <c r="XZ60" s="12"/>
      <c r="YA60" s="12"/>
      <c r="YB60" s="12"/>
      <c r="YC60" s="12"/>
      <c r="YD60" s="12"/>
      <c r="YE60" s="12"/>
      <c r="YF60" s="12"/>
      <c r="YG60" s="12"/>
      <c r="YH60" s="12"/>
      <c r="YI60" s="12"/>
      <c r="YJ60" s="12"/>
      <c r="YK60" s="12"/>
      <c r="YL60" s="12"/>
      <c r="YM60" s="12"/>
      <c r="YN60" s="12"/>
      <c r="YO60" s="12"/>
      <c r="YP60" s="12"/>
      <c r="YQ60" s="12"/>
      <c r="YR60" s="12"/>
      <c r="YS60" s="12"/>
      <c r="YT60" s="12"/>
      <c r="YU60" s="12"/>
      <c r="YV60" s="12"/>
      <c r="YW60" s="12"/>
      <c r="YX60" s="12"/>
      <c r="YY60" s="12"/>
      <c r="YZ60" s="12"/>
      <c r="ZA60" s="12"/>
      <c r="ZB60" s="12"/>
      <c r="ZC60" s="12"/>
      <c r="ZD60" s="12"/>
      <c r="ZE60" s="12"/>
      <c r="ZF60" s="12"/>
      <c r="ZG60" s="12"/>
      <c r="ZH60" s="12"/>
      <c r="ZI60" s="12"/>
      <c r="ZJ60" s="12"/>
      <c r="ZK60" s="12"/>
      <c r="ZL60" s="12"/>
      <c r="ZM60" s="12"/>
      <c r="ZN60" s="12"/>
      <c r="ZO60" s="12"/>
      <c r="ZP60" s="12"/>
      <c r="ZQ60" s="12"/>
      <c r="ZR60" s="12"/>
      <c r="ZS60" s="12"/>
      <c r="ZT60" s="12"/>
      <c r="ZU60" s="12"/>
      <c r="ZV60" s="12"/>
      <c r="ZW60" s="12"/>
      <c r="ZX60" s="12"/>
      <c r="ZY60" s="12"/>
      <c r="ZZ60" s="12"/>
      <c r="AAA60" s="12"/>
      <c r="AAB60" s="12"/>
      <c r="AAC60" s="12"/>
      <c r="AAD60" s="12"/>
      <c r="AAE60" s="12"/>
      <c r="AAF60" s="12"/>
      <c r="AAG60" s="12"/>
      <c r="AAH60" s="12"/>
      <c r="AAI60" s="12"/>
      <c r="AAJ60" s="12"/>
      <c r="AAK60" s="12"/>
      <c r="AAL60" s="12"/>
      <c r="AAM60" s="12"/>
      <c r="AAN60" s="12"/>
      <c r="AAO60" s="12"/>
      <c r="AAP60" s="12"/>
      <c r="AAQ60" s="12"/>
      <c r="AAR60" s="12"/>
      <c r="AAS60" s="12"/>
      <c r="AAT60" s="12"/>
      <c r="AAU60" s="12"/>
      <c r="AAV60" s="12"/>
      <c r="AAW60" s="12"/>
      <c r="AAX60" s="12"/>
      <c r="AAY60" s="12"/>
      <c r="AAZ60" s="12"/>
      <c r="ABA60" s="12"/>
      <c r="ABB60" s="12"/>
      <c r="ABC60" s="12"/>
      <c r="ABD60" s="12"/>
      <c r="ABE60" s="12"/>
      <c r="ABF60" s="12"/>
      <c r="ABG60" s="12"/>
      <c r="ABH60" s="12"/>
      <c r="ABI60" s="12"/>
      <c r="ABJ60" s="12"/>
      <c r="ABK60" s="12"/>
      <c r="ABL60" s="12"/>
      <c r="ABM60" s="12"/>
      <c r="ABN60" s="12"/>
      <c r="ABO60" s="12"/>
      <c r="ABP60" s="12"/>
      <c r="ABQ60" s="12"/>
      <c r="ABR60" s="12"/>
      <c r="ABS60" s="12"/>
      <c r="ABT60" s="12"/>
      <c r="ABU60" s="12"/>
      <c r="ABV60" s="12"/>
      <c r="ABW60" s="12"/>
      <c r="ABX60" s="12"/>
      <c r="ABY60" s="12"/>
      <c r="ABZ60" s="12"/>
      <c r="ACA60" s="12"/>
      <c r="ACB60" s="12"/>
      <c r="ACC60" s="12"/>
      <c r="ACD60" s="12"/>
      <c r="ACE60" s="12"/>
      <c r="ACF60" s="12"/>
      <c r="ACG60" s="12"/>
      <c r="ACH60" s="12"/>
      <c r="ACI60" s="12"/>
      <c r="ACJ60" s="12"/>
      <c r="ACK60" s="12"/>
      <c r="ACL60" s="12"/>
      <c r="ACM60" s="12"/>
      <c r="ACN60" s="12"/>
      <c r="ACO60" s="12"/>
      <c r="ACP60" s="12"/>
      <c r="ACQ60" s="12"/>
      <c r="ACR60" s="12"/>
      <c r="ACS60" s="12"/>
      <c r="ACT60" s="12"/>
      <c r="ACU60" s="12"/>
      <c r="ACV60" s="12"/>
      <c r="ACW60" s="12"/>
      <c r="ACX60" s="12"/>
      <c r="ACY60" s="12"/>
      <c r="ACZ60" s="12"/>
      <c r="ADA60" s="12"/>
      <c r="ADB60" s="12"/>
      <c r="ADC60" s="12"/>
      <c r="ADD60" s="12"/>
      <c r="ADE60" s="12"/>
      <c r="ADF60" s="12"/>
      <c r="ADG60" s="12"/>
      <c r="ADH60" s="12"/>
      <c r="ADI60" s="12"/>
      <c r="ADJ60" s="12"/>
      <c r="ADK60" s="12"/>
      <c r="ADL60" s="12"/>
      <c r="ADM60" s="12"/>
      <c r="ADN60" s="12"/>
      <c r="ADO60" s="12"/>
      <c r="ADP60" s="12"/>
      <c r="ADQ60" s="12"/>
      <c r="ADR60" s="12"/>
      <c r="ADS60" s="12"/>
      <c r="ADT60" s="12"/>
      <c r="ADU60" s="12"/>
      <c r="ADV60" s="12"/>
      <c r="ADW60" s="12"/>
      <c r="ADX60" s="12"/>
      <c r="ADY60" s="12"/>
      <c r="ADZ60" s="12"/>
      <c r="AEA60" s="12"/>
      <c r="AEB60" s="12"/>
      <c r="AEC60" s="12"/>
      <c r="AED60" s="12"/>
      <c r="AEE60" s="12"/>
      <c r="AEF60" s="12"/>
      <c r="AEG60" s="12"/>
      <c r="AEH60" s="12"/>
      <c r="AEI60" s="12"/>
      <c r="AEJ60" s="12"/>
      <c r="AEK60" s="12"/>
      <c r="AEL60" s="12"/>
      <c r="AEM60" s="12"/>
      <c r="AEN60" s="12"/>
      <c r="AEO60" s="12"/>
      <c r="AEP60" s="12"/>
      <c r="AEQ60" s="12"/>
      <c r="AER60" s="12"/>
      <c r="AES60" s="12"/>
      <c r="AET60" s="12"/>
      <c r="AEU60" s="12"/>
      <c r="AEV60" s="12"/>
    </row>
    <row r="61" spans="1:828" s="27" customFormat="1" ht="18" x14ac:dyDescent="0.2">
      <c r="A61" s="62"/>
      <c r="B61" s="54"/>
      <c r="C61" s="23" t="s">
        <v>53</v>
      </c>
      <c r="D61" s="29">
        <v>1144</v>
      </c>
      <c r="E61" s="23"/>
      <c r="F61" s="23" t="s">
        <v>70</v>
      </c>
      <c r="G61" s="29">
        <v>1153</v>
      </c>
      <c r="H61" s="30"/>
      <c r="I61" s="23" t="s">
        <v>54</v>
      </c>
      <c r="J61" s="29">
        <v>108</v>
      </c>
      <c r="K61" s="30"/>
      <c r="L61" s="23" t="s">
        <v>55</v>
      </c>
      <c r="M61" s="29">
        <v>1610</v>
      </c>
      <c r="N61" s="12"/>
      <c r="O61" s="12"/>
      <c r="P61" s="48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  <c r="IY61" s="12"/>
      <c r="IZ61" s="12"/>
      <c r="JA61" s="12"/>
      <c r="JB61" s="12"/>
      <c r="JC61" s="12"/>
      <c r="JD61" s="12"/>
      <c r="JE61" s="12"/>
      <c r="JF61" s="12"/>
      <c r="JG61" s="12"/>
      <c r="JH61" s="12"/>
      <c r="JI61" s="12"/>
      <c r="JJ61" s="12"/>
      <c r="JK61" s="12"/>
      <c r="JL61" s="12"/>
      <c r="JM61" s="12"/>
      <c r="JN61" s="12"/>
      <c r="JO61" s="12"/>
      <c r="JP61" s="12"/>
      <c r="JQ61" s="12"/>
      <c r="JR61" s="12"/>
      <c r="JS61" s="12"/>
      <c r="JT61" s="12"/>
      <c r="JU61" s="12"/>
      <c r="JV61" s="12"/>
      <c r="JW61" s="12"/>
      <c r="JX61" s="12"/>
      <c r="JY61" s="12"/>
      <c r="JZ61" s="12"/>
      <c r="KA61" s="12"/>
      <c r="KB61" s="12"/>
      <c r="KC61" s="12"/>
      <c r="KD61" s="12"/>
      <c r="KE61" s="12"/>
      <c r="KF61" s="12"/>
      <c r="KG61" s="12"/>
      <c r="KH61" s="12"/>
      <c r="KI61" s="12"/>
      <c r="KJ61" s="12"/>
      <c r="KK61" s="12"/>
      <c r="KL61" s="12"/>
      <c r="KM61" s="12"/>
      <c r="KN61" s="12"/>
      <c r="KO61" s="12"/>
      <c r="KP61" s="12"/>
      <c r="KQ61" s="12"/>
      <c r="KR61" s="12"/>
      <c r="KS61" s="12"/>
      <c r="KT61" s="12"/>
      <c r="KU61" s="12"/>
      <c r="KV61" s="12"/>
      <c r="KW61" s="12"/>
      <c r="KX61" s="12"/>
      <c r="KY61" s="12"/>
      <c r="KZ61" s="12"/>
      <c r="LA61" s="12"/>
      <c r="LB61" s="12"/>
      <c r="LC61" s="12"/>
      <c r="LD61" s="12"/>
      <c r="LE61" s="12"/>
      <c r="LF61" s="12"/>
      <c r="LG61" s="12"/>
      <c r="LH61" s="12"/>
      <c r="LI61" s="12"/>
      <c r="LJ61" s="12"/>
      <c r="LK61" s="12"/>
      <c r="LL61" s="12"/>
      <c r="LM61" s="12"/>
      <c r="LN61" s="12"/>
      <c r="LO61" s="12"/>
      <c r="LP61" s="12"/>
      <c r="LQ61" s="12"/>
      <c r="LR61" s="12"/>
      <c r="LS61" s="12"/>
      <c r="LT61" s="12"/>
      <c r="LU61" s="12"/>
      <c r="LV61" s="12"/>
      <c r="LW61" s="12"/>
      <c r="LX61" s="12"/>
      <c r="LY61" s="12"/>
      <c r="LZ61" s="12"/>
      <c r="MA61" s="12"/>
      <c r="MB61" s="12"/>
      <c r="MC61" s="12"/>
      <c r="MD61" s="12"/>
      <c r="ME61" s="12"/>
      <c r="MF61" s="12"/>
      <c r="MG61" s="12"/>
      <c r="MH61" s="12"/>
      <c r="MI61" s="12"/>
      <c r="MJ61" s="12"/>
      <c r="MK61" s="12"/>
      <c r="ML61" s="12"/>
      <c r="MM61" s="12"/>
      <c r="MN61" s="12"/>
      <c r="MO61" s="12"/>
      <c r="MP61" s="12"/>
      <c r="MQ61" s="12"/>
      <c r="MR61" s="12"/>
      <c r="MS61" s="12"/>
      <c r="MT61" s="12"/>
      <c r="MU61" s="12"/>
      <c r="MV61" s="12"/>
      <c r="MW61" s="12"/>
      <c r="MX61" s="12"/>
      <c r="MY61" s="12"/>
      <c r="MZ61" s="12"/>
      <c r="NA61" s="12"/>
      <c r="NB61" s="12"/>
      <c r="NC61" s="12"/>
      <c r="ND61" s="12"/>
      <c r="NE61" s="12"/>
      <c r="NF61" s="12"/>
      <c r="NG61" s="12"/>
      <c r="NH61" s="12"/>
      <c r="NI61" s="12"/>
      <c r="NJ61" s="12"/>
      <c r="NK61" s="12"/>
      <c r="NL61" s="12"/>
      <c r="NM61" s="12"/>
      <c r="NN61" s="12"/>
      <c r="NO61" s="12"/>
      <c r="NP61" s="12"/>
      <c r="NQ61" s="12"/>
      <c r="NR61" s="12"/>
      <c r="NS61" s="12"/>
      <c r="NT61" s="12"/>
      <c r="NU61" s="12"/>
      <c r="NV61" s="12"/>
      <c r="NW61" s="12"/>
      <c r="NX61" s="12"/>
      <c r="NY61" s="12"/>
      <c r="NZ61" s="12"/>
      <c r="OA61" s="12"/>
      <c r="OB61" s="12"/>
      <c r="OC61" s="12"/>
      <c r="OD61" s="12"/>
      <c r="OE61" s="12"/>
      <c r="OF61" s="12"/>
      <c r="OG61" s="12"/>
      <c r="OH61" s="12"/>
      <c r="OI61" s="12"/>
      <c r="OJ61" s="12"/>
      <c r="OK61" s="12"/>
      <c r="OL61" s="12"/>
      <c r="OM61" s="12"/>
      <c r="ON61" s="12"/>
      <c r="OO61" s="12"/>
      <c r="OP61" s="12"/>
      <c r="OQ61" s="12"/>
      <c r="OR61" s="12"/>
      <c r="OS61" s="12"/>
      <c r="OT61" s="12"/>
      <c r="OU61" s="12"/>
      <c r="OV61" s="12"/>
      <c r="OW61" s="12"/>
      <c r="OX61" s="12"/>
      <c r="OY61" s="12"/>
      <c r="OZ61" s="12"/>
      <c r="PA61" s="12"/>
      <c r="PB61" s="12"/>
      <c r="PC61" s="12"/>
      <c r="PD61" s="12"/>
      <c r="PE61" s="12"/>
      <c r="PF61" s="12"/>
      <c r="PG61" s="12"/>
      <c r="PH61" s="12"/>
      <c r="PI61" s="12"/>
      <c r="PJ61" s="12"/>
      <c r="PK61" s="12"/>
      <c r="PL61" s="12"/>
      <c r="PM61" s="12"/>
      <c r="PN61" s="12"/>
      <c r="PO61" s="12"/>
      <c r="PP61" s="12"/>
      <c r="PQ61" s="12"/>
      <c r="PR61" s="12"/>
      <c r="PS61" s="12"/>
      <c r="PT61" s="12"/>
      <c r="PU61" s="12"/>
      <c r="PV61" s="12"/>
      <c r="PW61" s="12"/>
      <c r="PX61" s="12"/>
      <c r="PY61" s="12"/>
      <c r="PZ61" s="12"/>
      <c r="QA61" s="12"/>
      <c r="QB61" s="12"/>
      <c r="QC61" s="12"/>
      <c r="QD61" s="12"/>
      <c r="QE61" s="12"/>
      <c r="QF61" s="12"/>
      <c r="QG61" s="12"/>
      <c r="QH61" s="12"/>
      <c r="QI61" s="12"/>
      <c r="QJ61" s="12"/>
      <c r="QK61" s="12"/>
      <c r="QL61" s="12"/>
      <c r="QM61" s="12"/>
      <c r="QN61" s="12"/>
      <c r="QO61" s="12"/>
      <c r="QP61" s="12"/>
      <c r="QQ61" s="12"/>
      <c r="QR61" s="12"/>
      <c r="QS61" s="12"/>
      <c r="QT61" s="12"/>
      <c r="QU61" s="12"/>
      <c r="QV61" s="12"/>
      <c r="QW61" s="12"/>
      <c r="QX61" s="12"/>
      <c r="QY61" s="12"/>
      <c r="QZ61" s="12"/>
      <c r="RA61" s="12"/>
      <c r="RB61" s="12"/>
      <c r="RC61" s="12"/>
      <c r="RD61" s="12"/>
      <c r="RE61" s="12"/>
      <c r="RF61" s="12"/>
      <c r="RG61" s="12"/>
      <c r="RH61" s="12"/>
      <c r="RI61" s="12"/>
      <c r="RJ61" s="12"/>
      <c r="RK61" s="12"/>
      <c r="RL61" s="12"/>
      <c r="RM61" s="12"/>
      <c r="RN61" s="12"/>
      <c r="RO61" s="12"/>
      <c r="RP61" s="12"/>
      <c r="RQ61" s="12"/>
      <c r="RR61" s="12"/>
      <c r="RS61" s="12"/>
      <c r="RT61" s="12"/>
      <c r="RU61" s="12"/>
      <c r="RV61" s="12"/>
      <c r="RW61" s="12"/>
      <c r="RX61" s="12"/>
      <c r="RY61" s="12"/>
      <c r="RZ61" s="12"/>
      <c r="SA61" s="12"/>
      <c r="SB61" s="12"/>
      <c r="SC61" s="12"/>
      <c r="SD61" s="12"/>
      <c r="SE61" s="12"/>
      <c r="SF61" s="12"/>
      <c r="SG61" s="12"/>
      <c r="SH61" s="12"/>
      <c r="SI61" s="12"/>
      <c r="SJ61" s="12"/>
      <c r="SK61" s="12"/>
      <c r="SL61" s="12"/>
      <c r="SM61" s="12"/>
      <c r="SN61" s="12"/>
      <c r="SO61" s="12"/>
      <c r="SP61" s="12"/>
      <c r="SQ61" s="12"/>
      <c r="SR61" s="12"/>
      <c r="SS61" s="12"/>
      <c r="ST61" s="12"/>
      <c r="SU61" s="12"/>
      <c r="SV61" s="12"/>
      <c r="SW61" s="12"/>
      <c r="SX61" s="12"/>
      <c r="SY61" s="12"/>
      <c r="SZ61" s="12"/>
      <c r="TA61" s="12"/>
      <c r="TB61" s="12"/>
      <c r="TC61" s="12"/>
      <c r="TD61" s="12"/>
      <c r="TE61" s="12"/>
      <c r="TF61" s="12"/>
      <c r="TG61" s="12"/>
      <c r="TH61" s="12"/>
      <c r="TI61" s="12"/>
      <c r="TJ61" s="12"/>
      <c r="TK61" s="12"/>
      <c r="TL61" s="12"/>
      <c r="TM61" s="12"/>
      <c r="TN61" s="12"/>
      <c r="TO61" s="12"/>
      <c r="TP61" s="12"/>
      <c r="TQ61" s="12"/>
      <c r="TR61" s="12"/>
      <c r="TS61" s="12"/>
      <c r="TT61" s="12"/>
      <c r="TU61" s="12"/>
      <c r="TV61" s="12"/>
      <c r="TW61" s="12"/>
      <c r="TX61" s="12"/>
      <c r="TY61" s="12"/>
      <c r="TZ61" s="12"/>
      <c r="UA61" s="12"/>
      <c r="UB61" s="12"/>
      <c r="UC61" s="12"/>
      <c r="UD61" s="12"/>
      <c r="UE61" s="12"/>
      <c r="UF61" s="12"/>
      <c r="UG61" s="12"/>
      <c r="UH61" s="12"/>
      <c r="UI61" s="12"/>
      <c r="UJ61" s="12"/>
      <c r="UK61" s="12"/>
      <c r="UL61" s="12"/>
      <c r="UM61" s="12"/>
      <c r="UN61" s="12"/>
      <c r="UO61" s="12"/>
      <c r="UP61" s="12"/>
      <c r="UQ61" s="12"/>
      <c r="UR61" s="12"/>
      <c r="US61" s="12"/>
      <c r="UT61" s="12"/>
      <c r="UU61" s="12"/>
      <c r="UV61" s="12"/>
      <c r="UW61" s="12"/>
      <c r="UX61" s="12"/>
      <c r="UY61" s="12"/>
      <c r="UZ61" s="12"/>
      <c r="VA61" s="12"/>
      <c r="VB61" s="12"/>
      <c r="VC61" s="12"/>
      <c r="VD61" s="12"/>
      <c r="VE61" s="12"/>
      <c r="VF61" s="12"/>
      <c r="VG61" s="12"/>
      <c r="VH61" s="12"/>
      <c r="VI61" s="12"/>
      <c r="VJ61" s="12"/>
      <c r="VK61" s="12"/>
      <c r="VL61" s="12"/>
      <c r="VM61" s="12"/>
      <c r="VN61" s="12"/>
      <c r="VO61" s="12"/>
      <c r="VP61" s="12"/>
      <c r="VQ61" s="12"/>
      <c r="VR61" s="12"/>
      <c r="VS61" s="12"/>
      <c r="VT61" s="12"/>
      <c r="VU61" s="12"/>
      <c r="VV61" s="12"/>
      <c r="VW61" s="12"/>
      <c r="VX61" s="12"/>
      <c r="VY61" s="12"/>
      <c r="VZ61" s="12"/>
      <c r="WA61" s="12"/>
      <c r="WB61" s="12"/>
      <c r="WC61" s="12"/>
      <c r="WD61" s="12"/>
      <c r="WE61" s="12"/>
      <c r="WF61" s="12"/>
      <c r="WG61" s="12"/>
      <c r="WH61" s="12"/>
      <c r="WI61" s="12"/>
      <c r="WJ61" s="12"/>
      <c r="WK61" s="12"/>
      <c r="WL61" s="12"/>
      <c r="WM61" s="12"/>
      <c r="WN61" s="12"/>
      <c r="WO61" s="12"/>
      <c r="WP61" s="12"/>
      <c r="WQ61" s="12"/>
      <c r="WR61" s="12"/>
      <c r="WS61" s="12"/>
      <c r="WT61" s="12"/>
      <c r="WU61" s="12"/>
      <c r="WV61" s="12"/>
      <c r="WW61" s="12"/>
      <c r="WX61" s="12"/>
      <c r="WY61" s="12"/>
      <c r="WZ61" s="12"/>
      <c r="XA61" s="12"/>
      <c r="XB61" s="12"/>
      <c r="XC61" s="12"/>
      <c r="XD61" s="12"/>
      <c r="XE61" s="12"/>
      <c r="XF61" s="12"/>
      <c r="XG61" s="12"/>
      <c r="XH61" s="12"/>
      <c r="XI61" s="12"/>
      <c r="XJ61" s="12"/>
      <c r="XK61" s="12"/>
      <c r="XL61" s="12"/>
      <c r="XM61" s="12"/>
      <c r="XN61" s="12"/>
      <c r="XO61" s="12"/>
      <c r="XP61" s="12"/>
      <c r="XQ61" s="12"/>
      <c r="XR61" s="12"/>
      <c r="XS61" s="12"/>
      <c r="XT61" s="12"/>
      <c r="XU61" s="12"/>
      <c r="XV61" s="12"/>
      <c r="XW61" s="12"/>
      <c r="XX61" s="12"/>
      <c r="XY61" s="12"/>
      <c r="XZ61" s="12"/>
      <c r="YA61" s="12"/>
      <c r="YB61" s="12"/>
      <c r="YC61" s="12"/>
      <c r="YD61" s="12"/>
      <c r="YE61" s="12"/>
      <c r="YF61" s="12"/>
      <c r="YG61" s="12"/>
      <c r="YH61" s="12"/>
      <c r="YI61" s="12"/>
      <c r="YJ61" s="12"/>
      <c r="YK61" s="12"/>
      <c r="YL61" s="12"/>
      <c r="YM61" s="12"/>
      <c r="YN61" s="12"/>
      <c r="YO61" s="12"/>
      <c r="YP61" s="12"/>
      <c r="YQ61" s="12"/>
      <c r="YR61" s="12"/>
      <c r="YS61" s="12"/>
      <c r="YT61" s="12"/>
      <c r="YU61" s="12"/>
      <c r="YV61" s="12"/>
      <c r="YW61" s="12"/>
      <c r="YX61" s="12"/>
      <c r="YY61" s="12"/>
      <c r="YZ61" s="12"/>
      <c r="ZA61" s="12"/>
      <c r="ZB61" s="12"/>
      <c r="ZC61" s="12"/>
      <c r="ZD61" s="12"/>
      <c r="ZE61" s="12"/>
      <c r="ZF61" s="12"/>
      <c r="ZG61" s="12"/>
      <c r="ZH61" s="12"/>
      <c r="ZI61" s="12"/>
      <c r="ZJ61" s="12"/>
      <c r="ZK61" s="12"/>
      <c r="ZL61" s="12"/>
      <c r="ZM61" s="12"/>
      <c r="ZN61" s="12"/>
      <c r="ZO61" s="12"/>
      <c r="ZP61" s="12"/>
      <c r="ZQ61" s="12"/>
      <c r="ZR61" s="12"/>
      <c r="ZS61" s="12"/>
      <c r="ZT61" s="12"/>
      <c r="ZU61" s="12"/>
      <c r="ZV61" s="12"/>
      <c r="ZW61" s="12"/>
      <c r="ZX61" s="12"/>
      <c r="ZY61" s="12"/>
      <c r="ZZ61" s="12"/>
      <c r="AAA61" s="12"/>
      <c r="AAB61" s="12"/>
      <c r="AAC61" s="12"/>
      <c r="AAD61" s="12"/>
      <c r="AAE61" s="12"/>
      <c r="AAF61" s="12"/>
      <c r="AAG61" s="12"/>
      <c r="AAH61" s="12"/>
      <c r="AAI61" s="12"/>
      <c r="AAJ61" s="12"/>
      <c r="AAK61" s="12"/>
      <c r="AAL61" s="12"/>
      <c r="AAM61" s="12"/>
      <c r="AAN61" s="12"/>
      <c r="AAO61" s="12"/>
      <c r="AAP61" s="12"/>
      <c r="AAQ61" s="12"/>
      <c r="AAR61" s="12"/>
      <c r="AAS61" s="12"/>
      <c r="AAT61" s="12"/>
      <c r="AAU61" s="12"/>
      <c r="AAV61" s="12"/>
      <c r="AAW61" s="12"/>
      <c r="AAX61" s="12"/>
      <c r="AAY61" s="12"/>
      <c r="AAZ61" s="12"/>
      <c r="ABA61" s="12"/>
      <c r="ABB61" s="12"/>
      <c r="ABC61" s="12"/>
      <c r="ABD61" s="12"/>
      <c r="ABE61" s="12"/>
      <c r="ABF61" s="12"/>
      <c r="ABG61" s="12"/>
      <c r="ABH61" s="12"/>
      <c r="ABI61" s="12"/>
      <c r="ABJ61" s="12"/>
      <c r="ABK61" s="12"/>
      <c r="ABL61" s="12"/>
      <c r="ABM61" s="12"/>
      <c r="ABN61" s="12"/>
      <c r="ABO61" s="12"/>
      <c r="ABP61" s="12"/>
      <c r="ABQ61" s="12"/>
      <c r="ABR61" s="12"/>
      <c r="ABS61" s="12"/>
      <c r="ABT61" s="12"/>
      <c r="ABU61" s="12"/>
      <c r="ABV61" s="12"/>
      <c r="ABW61" s="12"/>
      <c r="ABX61" s="12"/>
      <c r="ABY61" s="12"/>
      <c r="ABZ61" s="12"/>
      <c r="ACA61" s="12"/>
      <c r="ACB61" s="12"/>
      <c r="ACC61" s="12"/>
      <c r="ACD61" s="12"/>
      <c r="ACE61" s="12"/>
      <c r="ACF61" s="12"/>
      <c r="ACG61" s="12"/>
      <c r="ACH61" s="12"/>
      <c r="ACI61" s="12"/>
      <c r="ACJ61" s="12"/>
      <c r="ACK61" s="12"/>
      <c r="ACL61" s="12"/>
      <c r="ACM61" s="12"/>
      <c r="ACN61" s="12"/>
      <c r="ACO61" s="12"/>
      <c r="ACP61" s="12"/>
      <c r="ACQ61" s="12"/>
      <c r="ACR61" s="12"/>
      <c r="ACS61" s="12"/>
      <c r="ACT61" s="12"/>
      <c r="ACU61" s="12"/>
      <c r="ACV61" s="12"/>
      <c r="ACW61" s="12"/>
      <c r="ACX61" s="12"/>
      <c r="ACY61" s="12"/>
      <c r="ACZ61" s="12"/>
      <c r="ADA61" s="12"/>
      <c r="ADB61" s="12"/>
      <c r="ADC61" s="12"/>
      <c r="ADD61" s="12"/>
      <c r="ADE61" s="12"/>
      <c r="ADF61" s="12"/>
      <c r="ADG61" s="12"/>
      <c r="ADH61" s="12"/>
      <c r="ADI61" s="12"/>
      <c r="ADJ61" s="12"/>
      <c r="ADK61" s="12"/>
      <c r="ADL61" s="12"/>
      <c r="ADM61" s="12"/>
      <c r="ADN61" s="12"/>
      <c r="ADO61" s="12"/>
      <c r="ADP61" s="12"/>
      <c r="ADQ61" s="12"/>
      <c r="ADR61" s="12"/>
      <c r="ADS61" s="12"/>
      <c r="ADT61" s="12"/>
      <c r="ADU61" s="12"/>
      <c r="ADV61" s="12"/>
      <c r="ADW61" s="12"/>
      <c r="ADX61" s="12"/>
      <c r="ADY61" s="12"/>
      <c r="ADZ61" s="12"/>
      <c r="AEA61" s="12"/>
      <c r="AEB61" s="12"/>
      <c r="AEC61" s="12"/>
      <c r="AED61" s="12"/>
      <c r="AEE61" s="12"/>
      <c r="AEF61" s="12"/>
      <c r="AEG61" s="12"/>
      <c r="AEH61" s="12"/>
      <c r="AEI61" s="12"/>
      <c r="AEJ61" s="12"/>
      <c r="AEK61" s="12"/>
      <c r="AEL61" s="12"/>
      <c r="AEM61" s="12"/>
      <c r="AEN61" s="12"/>
      <c r="AEO61" s="12"/>
      <c r="AEP61" s="12"/>
      <c r="AEQ61" s="12"/>
      <c r="AER61" s="12"/>
      <c r="AES61" s="12"/>
      <c r="AET61" s="12"/>
      <c r="AEU61" s="12"/>
      <c r="AEV61" s="12"/>
    </row>
    <row r="62" spans="1:828" s="27" customFormat="1" ht="18" x14ac:dyDescent="0.2">
      <c r="A62" s="62"/>
      <c r="B62" s="54"/>
      <c r="C62" s="23" t="s">
        <v>56</v>
      </c>
      <c r="D62" s="29">
        <v>39190</v>
      </c>
      <c r="E62" s="23"/>
      <c r="F62" s="23"/>
      <c r="G62" s="23"/>
      <c r="H62" s="30"/>
      <c r="I62" s="23" t="s">
        <v>57</v>
      </c>
      <c r="J62" s="29">
        <v>1904</v>
      </c>
      <c r="K62" s="30"/>
      <c r="L62" s="23"/>
      <c r="M62" s="29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  <c r="IY62" s="12"/>
      <c r="IZ62" s="12"/>
      <c r="JA62" s="12"/>
      <c r="JB62" s="12"/>
      <c r="JC62" s="12"/>
      <c r="JD62" s="12"/>
      <c r="JE62" s="12"/>
      <c r="JF62" s="12"/>
      <c r="JG62" s="12"/>
      <c r="JH62" s="12"/>
      <c r="JI62" s="12"/>
      <c r="JJ62" s="12"/>
      <c r="JK62" s="12"/>
      <c r="JL62" s="12"/>
      <c r="JM62" s="12"/>
      <c r="JN62" s="12"/>
      <c r="JO62" s="12"/>
      <c r="JP62" s="12"/>
      <c r="JQ62" s="12"/>
      <c r="JR62" s="12"/>
      <c r="JS62" s="12"/>
      <c r="JT62" s="12"/>
      <c r="JU62" s="12"/>
      <c r="JV62" s="12"/>
      <c r="JW62" s="12"/>
      <c r="JX62" s="12"/>
      <c r="JY62" s="12"/>
      <c r="JZ62" s="12"/>
      <c r="KA62" s="12"/>
      <c r="KB62" s="12"/>
      <c r="KC62" s="12"/>
      <c r="KD62" s="12"/>
      <c r="KE62" s="12"/>
      <c r="KF62" s="12"/>
      <c r="KG62" s="12"/>
      <c r="KH62" s="12"/>
      <c r="KI62" s="12"/>
      <c r="KJ62" s="12"/>
      <c r="KK62" s="12"/>
      <c r="KL62" s="12"/>
      <c r="KM62" s="12"/>
      <c r="KN62" s="12"/>
      <c r="KO62" s="12"/>
      <c r="KP62" s="12"/>
      <c r="KQ62" s="12"/>
      <c r="KR62" s="12"/>
      <c r="KS62" s="12"/>
      <c r="KT62" s="12"/>
      <c r="KU62" s="12"/>
      <c r="KV62" s="12"/>
      <c r="KW62" s="12"/>
      <c r="KX62" s="12"/>
      <c r="KY62" s="12"/>
      <c r="KZ62" s="12"/>
      <c r="LA62" s="12"/>
      <c r="LB62" s="12"/>
      <c r="LC62" s="12"/>
      <c r="LD62" s="12"/>
      <c r="LE62" s="12"/>
      <c r="LF62" s="12"/>
      <c r="LG62" s="12"/>
      <c r="LH62" s="12"/>
      <c r="LI62" s="12"/>
      <c r="LJ62" s="12"/>
      <c r="LK62" s="12"/>
      <c r="LL62" s="12"/>
      <c r="LM62" s="12"/>
      <c r="LN62" s="12"/>
      <c r="LO62" s="12"/>
      <c r="LP62" s="12"/>
      <c r="LQ62" s="12"/>
      <c r="LR62" s="12"/>
      <c r="LS62" s="12"/>
      <c r="LT62" s="12"/>
      <c r="LU62" s="12"/>
      <c r="LV62" s="12"/>
      <c r="LW62" s="12"/>
      <c r="LX62" s="12"/>
      <c r="LY62" s="12"/>
      <c r="LZ62" s="12"/>
      <c r="MA62" s="12"/>
      <c r="MB62" s="12"/>
      <c r="MC62" s="12"/>
      <c r="MD62" s="12"/>
      <c r="ME62" s="12"/>
      <c r="MF62" s="12"/>
      <c r="MG62" s="12"/>
      <c r="MH62" s="12"/>
      <c r="MI62" s="12"/>
      <c r="MJ62" s="12"/>
      <c r="MK62" s="12"/>
      <c r="ML62" s="12"/>
      <c r="MM62" s="12"/>
      <c r="MN62" s="12"/>
      <c r="MO62" s="12"/>
      <c r="MP62" s="12"/>
      <c r="MQ62" s="12"/>
      <c r="MR62" s="12"/>
      <c r="MS62" s="12"/>
      <c r="MT62" s="12"/>
      <c r="MU62" s="12"/>
      <c r="MV62" s="12"/>
      <c r="MW62" s="12"/>
      <c r="MX62" s="12"/>
      <c r="MY62" s="12"/>
      <c r="MZ62" s="12"/>
      <c r="NA62" s="12"/>
      <c r="NB62" s="12"/>
      <c r="NC62" s="12"/>
      <c r="ND62" s="12"/>
      <c r="NE62" s="12"/>
      <c r="NF62" s="12"/>
      <c r="NG62" s="12"/>
      <c r="NH62" s="12"/>
      <c r="NI62" s="12"/>
      <c r="NJ62" s="12"/>
      <c r="NK62" s="12"/>
      <c r="NL62" s="12"/>
      <c r="NM62" s="12"/>
      <c r="NN62" s="12"/>
      <c r="NO62" s="12"/>
      <c r="NP62" s="12"/>
      <c r="NQ62" s="12"/>
      <c r="NR62" s="12"/>
      <c r="NS62" s="12"/>
      <c r="NT62" s="12"/>
      <c r="NU62" s="12"/>
      <c r="NV62" s="12"/>
      <c r="NW62" s="12"/>
      <c r="NX62" s="12"/>
      <c r="NY62" s="12"/>
      <c r="NZ62" s="12"/>
      <c r="OA62" s="12"/>
      <c r="OB62" s="12"/>
      <c r="OC62" s="12"/>
      <c r="OD62" s="12"/>
      <c r="OE62" s="12"/>
      <c r="OF62" s="12"/>
      <c r="OG62" s="12"/>
      <c r="OH62" s="12"/>
      <c r="OI62" s="12"/>
      <c r="OJ62" s="12"/>
      <c r="OK62" s="12"/>
      <c r="OL62" s="12"/>
      <c r="OM62" s="12"/>
      <c r="ON62" s="12"/>
      <c r="OO62" s="12"/>
      <c r="OP62" s="12"/>
      <c r="OQ62" s="12"/>
      <c r="OR62" s="12"/>
      <c r="OS62" s="12"/>
      <c r="OT62" s="12"/>
      <c r="OU62" s="12"/>
      <c r="OV62" s="12"/>
      <c r="OW62" s="12"/>
      <c r="OX62" s="12"/>
      <c r="OY62" s="12"/>
      <c r="OZ62" s="12"/>
      <c r="PA62" s="12"/>
      <c r="PB62" s="12"/>
      <c r="PC62" s="12"/>
      <c r="PD62" s="12"/>
      <c r="PE62" s="12"/>
      <c r="PF62" s="12"/>
      <c r="PG62" s="12"/>
      <c r="PH62" s="12"/>
      <c r="PI62" s="12"/>
      <c r="PJ62" s="12"/>
      <c r="PK62" s="12"/>
      <c r="PL62" s="12"/>
      <c r="PM62" s="12"/>
      <c r="PN62" s="12"/>
      <c r="PO62" s="12"/>
      <c r="PP62" s="12"/>
      <c r="PQ62" s="12"/>
      <c r="PR62" s="12"/>
      <c r="PS62" s="12"/>
      <c r="PT62" s="12"/>
      <c r="PU62" s="12"/>
      <c r="PV62" s="12"/>
      <c r="PW62" s="12"/>
      <c r="PX62" s="12"/>
      <c r="PY62" s="12"/>
      <c r="PZ62" s="12"/>
      <c r="QA62" s="12"/>
      <c r="QB62" s="12"/>
      <c r="QC62" s="12"/>
      <c r="QD62" s="12"/>
      <c r="QE62" s="12"/>
      <c r="QF62" s="12"/>
      <c r="QG62" s="12"/>
      <c r="QH62" s="12"/>
      <c r="QI62" s="12"/>
      <c r="QJ62" s="12"/>
      <c r="QK62" s="12"/>
      <c r="QL62" s="12"/>
      <c r="QM62" s="12"/>
      <c r="QN62" s="12"/>
      <c r="QO62" s="12"/>
      <c r="QP62" s="12"/>
      <c r="QQ62" s="12"/>
      <c r="QR62" s="12"/>
      <c r="QS62" s="12"/>
      <c r="QT62" s="12"/>
      <c r="QU62" s="12"/>
      <c r="QV62" s="12"/>
      <c r="QW62" s="12"/>
      <c r="QX62" s="12"/>
      <c r="QY62" s="12"/>
      <c r="QZ62" s="12"/>
      <c r="RA62" s="12"/>
      <c r="RB62" s="12"/>
      <c r="RC62" s="12"/>
      <c r="RD62" s="12"/>
      <c r="RE62" s="12"/>
      <c r="RF62" s="12"/>
      <c r="RG62" s="12"/>
      <c r="RH62" s="12"/>
      <c r="RI62" s="12"/>
      <c r="RJ62" s="12"/>
      <c r="RK62" s="12"/>
      <c r="RL62" s="12"/>
      <c r="RM62" s="12"/>
      <c r="RN62" s="12"/>
      <c r="RO62" s="12"/>
      <c r="RP62" s="12"/>
      <c r="RQ62" s="12"/>
      <c r="RR62" s="12"/>
      <c r="RS62" s="12"/>
      <c r="RT62" s="12"/>
      <c r="RU62" s="12"/>
      <c r="RV62" s="12"/>
      <c r="RW62" s="12"/>
      <c r="RX62" s="12"/>
      <c r="RY62" s="12"/>
      <c r="RZ62" s="12"/>
      <c r="SA62" s="12"/>
      <c r="SB62" s="12"/>
      <c r="SC62" s="12"/>
      <c r="SD62" s="12"/>
      <c r="SE62" s="12"/>
      <c r="SF62" s="12"/>
      <c r="SG62" s="12"/>
      <c r="SH62" s="12"/>
      <c r="SI62" s="12"/>
      <c r="SJ62" s="12"/>
      <c r="SK62" s="12"/>
      <c r="SL62" s="12"/>
      <c r="SM62" s="12"/>
      <c r="SN62" s="12"/>
      <c r="SO62" s="12"/>
      <c r="SP62" s="12"/>
      <c r="SQ62" s="12"/>
      <c r="SR62" s="12"/>
      <c r="SS62" s="12"/>
      <c r="ST62" s="12"/>
      <c r="SU62" s="12"/>
      <c r="SV62" s="12"/>
      <c r="SW62" s="12"/>
      <c r="SX62" s="12"/>
      <c r="SY62" s="12"/>
      <c r="SZ62" s="12"/>
      <c r="TA62" s="12"/>
      <c r="TB62" s="12"/>
      <c r="TC62" s="12"/>
      <c r="TD62" s="12"/>
      <c r="TE62" s="12"/>
      <c r="TF62" s="12"/>
      <c r="TG62" s="12"/>
      <c r="TH62" s="12"/>
      <c r="TI62" s="12"/>
      <c r="TJ62" s="12"/>
      <c r="TK62" s="12"/>
      <c r="TL62" s="12"/>
      <c r="TM62" s="12"/>
      <c r="TN62" s="12"/>
      <c r="TO62" s="12"/>
      <c r="TP62" s="12"/>
      <c r="TQ62" s="12"/>
      <c r="TR62" s="12"/>
      <c r="TS62" s="12"/>
      <c r="TT62" s="12"/>
      <c r="TU62" s="12"/>
      <c r="TV62" s="12"/>
      <c r="TW62" s="12"/>
      <c r="TX62" s="12"/>
      <c r="TY62" s="12"/>
      <c r="TZ62" s="12"/>
      <c r="UA62" s="12"/>
      <c r="UB62" s="12"/>
      <c r="UC62" s="12"/>
      <c r="UD62" s="12"/>
      <c r="UE62" s="12"/>
      <c r="UF62" s="12"/>
      <c r="UG62" s="12"/>
      <c r="UH62" s="12"/>
      <c r="UI62" s="12"/>
      <c r="UJ62" s="12"/>
      <c r="UK62" s="12"/>
      <c r="UL62" s="12"/>
      <c r="UM62" s="12"/>
      <c r="UN62" s="12"/>
      <c r="UO62" s="12"/>
      <c r="UP62" s="12"/>
      <c r="UQ62" s="12"/>
      <c r="UR62" s="12"/>
      <c r="US62" s="12"/>
      <c r="UT62" s="12"/>
      <c r="UU62" s="12"/>
      <c r="UV62" s="12"/>
      <c r="UW62" s="12"/>
      <c r="UX62" s="12"/>
      <c r="UY62" s="12"/>
      <c r="UZ62" s="12"/>
      <c r="VA62" s="12"/>
      <c r="VB62" s="12"/>
      <c r="VC62" s="12"/>
      <c r="VD62" s="12"/>
      <c r="VE62" s="12"/>
      <c r="VF62" s="12"/>
      <c r="VG62" s="12"/>
      <c r="VH62" s="12"/>
      <c r="VI62" s="12"/>
      <c r="VJ62" s="12"/>
      <c r="VK62" s="12"/>
      <c r="VL62" s="12"/>
      <c r="VM62" s="12"/>
      <c r="VN62" s="12"/>
      <c r="VO62" s="12"/>
      <c r="VP62" s="12"/>
      <c r="VQ62" s="12"/>
      <c r="VR62" s="12"/>
      <c r="VS62" s="12"/>
      <c r="VT62" s="12"/>
      <c r="VU62" s="12"/>
      <c r="VV62" s="12"/>
      <c r="VW62" s="12"/>
      <c r="VX62" s="12"/>
      <c r="VY62" s="12"/>
      <c r="VZ62" s="12"/>
      <c r="WA62" s="12"/>
      <c r="WB62" s="12"/>
      <c r="WC62" s="12"/>
      <c r="WD62" s="12"/>
      <c r="WE62" s="12"/>
      <c r="WF62" s="12"/>
      <c r="WG62" s="12"/>
      <c r="WH62" s="12"/>
      <c r="WI62" s="12"/>
      <c r="WJ62" s="12"/>
      <c r="WK62" s="12"/>
      <c r="WL62" s="12"/>
      <c r="WM62" s="12"/>
      <c r="WN62" s="12"/>
      <c r="WO62" s="12"/>
      <c r="WP62" s="12"/>
      <c r="WQ62" s="12"/>
      <c r="WR62" s="12"/>
      <c r="WS62" s="12"/>
      <c r="WT62" s="12"/>
      <c r="WU62" s="12"/>
      <c r="WV62" s="12"/>
      <c r="WW62" s="12"/>
      <c r="WX62" s="12"/>
      <c r="WY62" s="12"/>
      <c r="WZ62" s="12"/>
      <c r="XA62" s="12"/>
      <c r="XB62" s="12"/>
      <c r="XC62" s="12"/>
      <c r="XD62" s="12"/>
      <c r="XE62" s="12"/>
      <c r="XF62" s="12"/>
      <c r="XG62" s="12"/>
      <c r="XH62" s="12"/>
      <c r="XI62" s="12"/>
      <c r="XJ62" s="12"/>
      <c r="XK62" s="12"/>
      <c r="XL62" s="12"/>
      <c r="XM62" s="12"/>
      <c r="XN62" s="12"/>
      <c r="XO62" s="12"/>
      <c r="XP62" s="12"/>
      <c r="XQ62" s="12"/>
      <c r="XR62" s="12"/>
      <c r="XS62" s="12"/>
      <c r="XT62" s="12"/>
      <c r="XU62" s="12"/>
      <c r="XV62" s="12"/>
      <c r="XW62" s="12"/>
      <c r="XX62" s="12"/>
      <c r="XY62" s="12"/>
      <c r="XZ62" s="12"/>
      <c r="YA62" s="12"/>
      <c r="YB62" s="12"/>
      <c r="YC62" s="12"/>
      <c r="YD62" s="12"/>
      <c r="YE62" s="12"/>
      <c r="YF62" s="12"/>
      <c r="YG62" s="12"/>
      <c r="YH62" s="12"/>
      <c r="YI62" s="12"/>
      <c r="YJ62" s="12"/>
      <c r="YK62" s="12"/>
      <c r="YL62" s="12"/>
      <c r="YM62" s="12"/>
      <c r="YN62" s="12"/>
      <c r="YO62" s="12"/>
      <c r="YP62" s="12"/>
      <c r="YQ62" s="12"/>
      <c r="YR62" s="12"/>
      <c r="YS62" s="12"/>
      <c r="YT62" s="12"/>
      <c r="YU62" s="12"/>
      <c r="YV62" s="12"/>
      <c r="YW62" s="12"/>
      <c r="YX62" s="12"/>
      <c r="YY62" s="12"/>
      <c r="YZ62" s="12"/>
      <c r="ZA62" s="12"/>
      <c r="ZB62" s="12"/>
      <c r="ZC62" s="12"/>
      <c r="ZD62" s="12"/>
      <c r="ZE62" s="12"/>
      <c r="ZF62" s="12"/>
      <c r="ZG62" s="12"/>
      <c r="ZH62" s="12"/>
      <c r="ZI62" s="12"/>
      <c r="ZJ62" s="12"/>
      <c r="ZK62" s="12"/>
      <c r="ZL62" s="12"/>
      <c r="ZM62" s="12"/>
      <c r="ZN62" s="12"/>
      <c r="ZO62" s="12"/>
      <c r="ZP62" s="12"/>
      <c r="ZQ62" s="12"/>
      <c r="ZR62" s="12"/>
      <c r="ZS62" s="12"/>
      <c r="ZT62" s="12"/>
      <c r="ZU62" s="12"/>
      <c r="ZV62" s="12"/>
      <c r="ZW62" s="12"/>
      <c r="ZX62" s="12"/>
      <c r="ZY62" s="12"/>
      <c r="ZZ62" s="12"/>
      <c r="AAA62" s="12"/>
      <c r="AAB62" s="12"/>
      <c r="AAC62" s="12"/>
      <c r="AAD62" s="12"/>
      <c r="AAE62" s="12"/>
      <c r="AAF62" s="12"/>
      <c r="AAG62" s="12"/>
      <c r="AAH62" s="12"/>
      <c r="AAI62" s="12"/>
      <c r="AAJ62" s="12"/>
      <c r="AAK62" s="12"/>
      <c r="AAL62" s="12"/>
      <c r="AAM62" s="12"/>
      <c r="AAN62" s="12"/>
      <c r="AAO62" s="12"/>
      <c r="AAP62" s="12"/>
      <c r="AAQ62" s="12"/>
      <c r="AAR62" s="12"/>
      <c r="AAS62" s="12"/>
      <c r="AAT62" s="12"/>
      <c r="AAU62" s="12"/>
      <c r="AAV62" s="12"/>
      <c r="AAW62" s="12"/>
      <c r="AAX62" s="12"/>
      <c r="AAY62" s="12"/>
      <c r="AAZ62" s="12"/>
      <c r="ABA62" s="12"/>
      <c r="ABB62" s="12"/>
      <c r="ABC62" s="12"/>
      <c r="ABD62" s="12"/>
      <c r="ABE62" s="12"/>
      <c r="ABF62" s="12"/>
      <c r="ABG62" s="12"/>
      <c r="ABH62" s="12"/>
      <c r="ABI62" s="12"/>
      <c r="ABJ62" s="12"/>
      <c r="ABK62" s="12"/>
      <c r="ABL62" s="12"/>
      <c r="ABM62" s="12"/>
      <c r="ABN62" s="12"/>
      <c r="ABO62" s="12"/>
      <c r="ABP62" s="12"/>
      <c r="ABQ62" s="12"/>
      <c r="ABR62" s="12"/>
      <c r="ABS62" s="12"/>
      <c r="ABT62" s="12"/>
      <c r="ABU62" s="12"/>
      <c r="ABV62" s="12"/>
      <c r="ABW62" s="12"/>
      <c r="ABX62" s="12"/>
      <c r="ABY62" s="12"/>
      <c r="ABZ62" s="12"/>
      <c r="ACA62" s="12"/>
      <c r="ACB62" s="12"/>
      <c r="ACC62" s="12"/>
      <c r="ACD62" s="12"/>
      <c r="ACE62" s="12"/>
      <c r="ACF62" s="12"/>
      <c r="ACG62" s="12"/>
      <c r="ACH62" s="12"/>
      <c r="ACI62" s="12"/>
      <c r="ACJ62" s="12"/>
      <c r="ACK62" s="12"/>
      <c r="ACL62" s="12"/>
      <c r="ACM62" s="12"/>
      <c r="ACN62" s="12"/>
      <c r="ACO62" s="12"/>
      <c r="ACP62" s="12"/>
      <c r="ACQ62" s="12"/>
      <c r="ACR62" s="12"/>
      <c r="ACS62" s="12"/>
      <c r="ACT62" s="12"/>
      <c r="ACU62" s="12"/>
      <c r="ACV62" s="12"/>
      <c r="ACW62" s="12"/>
      <c r="ACX62" s="12"/>
      <c r="ACY62" s="12"/>
      <c r="ACZ62" s="12"/>
      <c r="ADA62" s="12"/>
      <c r="ADB62" s="12"/>
      <c r="ADC62" s="12"/>
      <c r="ADD62" s="12"/>
      <c r="ADE62" s="12"/>
      <c r="ADF62" s="12"/>
      <c r="ADG62" s="12"/>
      <c r="ADH62" s="12"/>
      <c r="ADI62" s="12"/>
      <c r="ADJ62" s="12"/>
      <c r="ADK62" s="12"/>
      <c r="ADL62" s="12"/>
      <c r="ADM62" s="12"/>
      <c r="ADN62" s="12"/>
      <c r="ADO62" s="12"/>
      <c r="ADP62" s="12"/>
      <c r="ADQ62" s="12"/>
      <c r="ADR62" s="12"/>
      <c r="ADS62" s="12"/>
      <c r="ADT62" s="12"/>
      <c r="ADU62" s="12"/>
      <c r="ADV62" s="12"/>
      <c r="ADW62" s="12"/>
      <c r="ADX62" s="12"/>
      <c r="ADY62" s="12"/>
      <c r="ADZ62" s="12"/>
      <c r="AEA62" s="12"/>
      <c r="AEB62" s="12"/>
      <c r="AEC62" s="12"/>
      <c r="AED62" s="12"/>
      <c r="AEE62" s="12"/>
      <c r="AEF62" s="12"/>
      <c r="AEG62" s="12"/>
      <c r="AEH62" s="12"/>
      <c r="AEI62" s="12"/>
      <c r="AEJ62" s="12"/>
      <c r="AEK62" s="12"/>
      <c r="AEL62" s="12"/>
      <c r="AEM62" s="12"/>
      <c r="AEN62" s="12"/>
      <c r="AEO62" s="12"/>
      <c r="AEP62" s="12"/>
      <c r="AEQ62" s="12"/>
      <c r="AER62" s="12"/>
      <c r="AES62" s="12"/>
      <c r="AET62" s="12"/>
      <c r="AEU62" s="12"/>
      <c r="AEV62" s="12"/>
    </row>
    <row r="63" spans="1:828" s="27" customFormat="1" ht="18" x14ac:dyDescent="0.2">
      <c r="A63" s="62"/>
      <c r="D63" s="29"/>
      <c r="E63" s="23"/>
      <c r="F63" s="23"/>
      <c r="G63" s="23"/>
      <c r="H63" s="30"/>
      <c r="I63" s="23" t="s">
        <v>58</v>
      </c>
      <c r="J63" s="29">
        <v>44961</v>
      </c>
      <c r="K63" s="30"/>
      <c r="L63" s="23"/>
      <c r="M63" s="29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  <c r="IY63" s="12"/>
      <c r="IZ63" s="12"/>
      <c r="JA63" s="12"/>
      <c r="JB63" s="12"/>
      <c r="JC63" s="12"/>
      <c r="JD63" s="12"/>
      <c r="JE63" s="12"/>
      <c r="JF63" s="12"/>
      <c r="JG63" s="12"/>
      <c r="JH63" s="12"/>
      <c r="JI63" s="12"/>
      <c r="JJ63" s="12"/>
      <c r="JK63" s="12"/>
      <c r="JL63" s="12"/>
      <c r="JM63" s="12"/>
      <c r="JN63" s="12"/>
      <c r="JO63" s="12"/>
      <c r="JP63" s="12"/>
      <c r="JQ63" s="12"/>
      <c r="JR63" s="12"/>
      <c r="JS63" s="12"/>
      <c r="JT63" s="12"/>
      <c r="JU63" s="12"/>
      <c r="JV63" s="12"/>
      <c r="JW63" s="12"/>
      <c r="JX63" s="12"/>
      <c r="JY63" s="12"/>
      <c r="JZ63" s="12"/>
      <c r="KA63" s="12"/>
      <c r="KB63" s="12"/>
      <c r="KC63" s="12"/>
      <c r="KD63" s="12"/>
      <c r="KE63" s="12"/>
      <c r="KF63" s="12"/>
      <c r="KG63" s="12"/>
      <c r="KH63" s="12"/>
      <c r="KI63" s="12"/>
      <c r="KJ63" s="12"/>
      <c r="KK63" s="12"/>
      <c r="KL63" s="12"/>
      <c r="KM63" s="12"/>
      <c r="KN63" s="12"/>
      <c r="KO63" s="12"/>
      <c r="KP63" s="12"/>
      <c r="KQ63" s="12"/>
      <c r="KR63" s="12"/>
      <c r="KS63" s="12"/>
      <c r="KT63" s="12"/>
      <c r="KU63" s="12"/>
      <c r="KV63" s="12"/>
      <c r="KW63" s="12"/>
      <c r="KX63" s="12"/>
      <c r="KY63" s="12"/>
      <c r="KZ63" s="12"/>
      <c r="LA63" s="12"/>
      <c r="LB63" s="12"/>
      <c r="LC63" s="12"/>
      <c r="LD63" s="12"/>
      <c r="LE63" s="12"/>
      <c r="LF63" s="12"/>
      <c r="LG63" s="12"/>
      <c r="LH63" s="12"/>
      <c r="LI63" s="12"/>
      <c r="LJ63" s="12"/>
      <c r="LK63" s="12"/>
      <c r="LL63" s="12"/>
      <c r="LM63" s="12"/>
      <c r="LN63" s="12"/>
      <c r="LO63" s="12"/>
      <c r="LP63" s="12"/>
      <c r="LQ63" s="12"/>
      <c r="LR63" s="12"/>
      <c r="LS63" s="12"/>
      <c r="LT63" s="12"/>
      <c r="LU63" s="12"/>
      <c r="LV63" s="12"/>
      <c r="LW63" s="12"/>
      <c r="LX63" s="12"/>
      <c r="LY63" s="12"/>
      <c r="LZ63" s="12"/>
      <c r="MA63" s="12"/>
      <c r="MB63" s="12"/>
      <c r="MC63" s="12"/>
      <c r="MD63" s="12"/>
      <c r="ME63" s="12"/>
      <c r="MF63" s="12"/>
      <c r="MG63" s="12"/>
      <c r="MH63" s="12"/>
      <c r="MI63" s="12"/>
      <c r="MJ63" s="12"/>
      <c r="MK63" s="12"/>
      <c r="ML63" s="12"/>
      <c r="MM63" s="12"/>
      <c r="MN63" s="12"/>
      <c r="MO63" s="12"/>
      <c r="MP63" s="12"/>
      <c r="MQ63" s="12"/>
      <c r="MR63" s="12"/>
      <c r="MS63" s="12"/>
      <c r="MT63" s="12"/>
      <c r="MU63" s="12"/>
      <c r="MV63" s="12"/>
      <c r="MW63" s="12"/>
      <c r="MX63" s="12"/>
      <c r="MY63" s="12"/>
      <c r="MZ63" s="12"/>
      <c r="NA63" s="12"/>
      <c r="NB63" s="12"/>
      <c r="NC63" s="12"/>
      <c r="ND63" s="12"/>
      <c r="NE63" s="12"/>
      <c r="NF63" s="12"/>
      <c r="NG63" s="12"/>
      <c r="NH63" s="12"/>
      <c r="NI63" s="12"/>
      <c r="NJ63" s="12"/>
      <c r="NK63" s="12"/>
      <c r="NL63" s="12"/>
      <c r="NM63" s="12"/>
      <c r="NN63" s="12"/>
      <c r="NO63" s="12"/>
      <c r="NP63" s="12"/>
      <c r="NQ63" s="12"/>
      <c r="NR63" s="12"/>
      <c r="NS63" s="12"/>
      <c r="NT63" s="12"/>
      <c r="NU63" s="12"/>
      <c r="NV63" s="12"/>
      <c r="NW63" s="12"/>
      <c r="NX63" s="12"/>
      <c r="NY63" s="12"/>
      <c r="NZ63" s="12"/>
      <c r="OA63" s="12"/>
      <c r="OB63" s="12"/>
      <c r="OC63" s="12"/>
      <c r="OD63" s="12"/>
      <c r="OE63" s="12"/>
      <c r="OF63" s="12"/>
      <c r="OG63" s="12"/>
      <c r="OH63" s="12"/>
      <c r="OI63" s="12"/>
      <c r="OJ63" s="12"/>
      <c r="OK63" s="12"/>
      <c r="OL63" s="12"/>
      <c r="OM63" s="12"/>
      <c r="ON63" s="12"/>
      <c r="OO63" s="12"/>
      <c r="OP63" s="12"/>
      <c r="OQ63" s="12"/>
      <c r="OR63" s="12"/>
      <c r="OS63" s="12"/>
      <c r="OT63" s="12"/>
      <c r="OU63" s="12"/>
      <c r="OV63" s="12"/>
      <c r="OW63" s="12"/>
      <c r="OX63" s="12"/>
      <c r="OY63" s="12"/>
      <c r="OZ63" s="12"/>
      <c r="PA63" s="12"/>
      <c r="PB63" s="12"/>
      <c r="PC63" s="12"/>
      <c r="PD63" s="12"/>
      <c r="PE63" s="12"/>
      <c r="PF63" s="12"/>
      <c r="PG63" s="12"/>
      <c r="PH63" s="12"/>
      <c r="PI63" s="12"/>
      <c r="PJ63" s="12"/>
      <c r="PK63" s="12"/>
      <c r="PL63" s="12"/>
      <c r="PM63" s="12"/>
      <c r="PN63" s="12"/>
      <c r="PO63" s="12"/>
      <c r="PP63" s="12"/>
      <c r="PQ63" s="12"/>
      <c r="PR63" s="12"/>
      <c r="PS63" s="12"/>
      <c r="PT63" s="12"/>
      <c r="PU63" s="12"/>
      <c r="PV63" s="12"/>
      <c r="PW63" s="12"/>
      <c r="PX63" s="12"/>
      <c r="PY63" s="12"/>
      <c r="PZ63" s="12"/>
      <c r="QA63" s="12"/>
      <c r="QB63" s="12"/>
      <c r="QC63" s="12"/>
      <c r="QD63" s="12"/>
      <c r="QE63" s="12"/>
      <c r="QF63" s="12"/>
      <c r="QG63" s="12"/>
      <c r="QH63" s="12"/>
      <c r="QI63" s="12"/>
      <c r="QJ63" s="12"/>
      <c r="QK63" s="12"/>
      <c r="QL63" s="12"/>
      <c r="QM63" s="12"/>
      <c r="QN63" s="12"/>
      <c r="QO63" s="12"/>
      <c r="QP63" s="12"/>
      <c r="QQ63" s="12"/>
      <c r="QR63" s="12"/>
      <c r="QS63" s="12"/>
      <c r="QT63" s="12"/>
      <c r="QU63" s="12"/>
      <c r="QV63" s="12"/>
      <c r="QW63" s="12"/>
      <c r="QX63" s="12"/>
      <c r="QY63" s="12"/>
      <c r="QZ63" s="12"/>
      <c r="RA63" s="12"/>
      <c r="RB63" s="12"/>
      <c r="RC63" s="12"/>
      <c r="RD63" s="12"/>
      <c r="RE63" s="12"/>
      <c r="RF63" s="12"/>
      <c r="RG63" s="12"/>
      <c r="RH63" s="12"/>
      <c r="RI63" s="12"/>
      <c r="RJ63" s="12"/>
      <c r="RK63" s="12"/>
      <c r="RL63" s="12"/>
      <c r="RM63" s="12"/>
      <c r="RN63" s="12"/>
      <c r="RO63" s="12"/>
      <c r="RP63" s="12"/>
      <c r="RQ63" s="12"/>
      <c r="RR63" s="12"/>
      <c r="RS63" s="12"/>
      <c r="RT63" s="12"/>
      <c r="RU63" s="12"/>
      <c r="RV63" s="12"/>
      <c r="RW63" s="12"/>
      <c r="RX63" s="12"/>
      <c r="RY63" s="12"/>
      <c r="RZ63" s="12"/>
      <c r="SA63" s="12"/>
      <c r="SB63" s="12"/>
      <c r="SC63" s="12"/>
      <c r="SD63" s="12"/>
      <c r="SE63" s="12"/>
      <c r="SF63" s="12"/>
      <c r="SG63" s="12"/>
      <c r="SH63" s="12"/>
      <c r="SI63" s="12"/>
      <c r="SJ63" s="12"/>
      <c r="SK63" s="12"/>
      <c r="SL63" s="12"/>
      <c r="SM63" s="12"/>
      <c r="SN63" s="12"/>
      <c r="SO63" s="12"/>
      <c r="SP63" s="12"/>
      <c r="SQ63" s="12"/>
      <c r="SR63" s="12"/>
      <c r="SS63" s="12"/>
      <c r="ST63" s="12"/>
      <c r="SU63" s="12"/>
      <c r="SV63" s="12"/>
      <c r="SW63" s="12"/>
      <c r="SX63" s="12"/>
      <c r="SY63" s="12"/>
      <c r="SZ63" s="12"/>
      <c r="TA63" s="12"/>
      <c r="TB63" s="12"/>
      <c r="TC63" s="12"/>
      <c r="TD63" s="12"/>
      <c r="TE63" s="12"/>
      <c r="TF63" s="12"/>
      <c r="TG63" s="12"/>
      <c r="TH63" s="12"/>
      <c r="TI63" s="12"/>
      <c r="TJ63" s="12"/>
      <c r="TK63" s="12"/>
      <c r="TL63" s="12"/>
      <c r="TM63" s="12"/>
      <c r="TN63" s="12"/>
      <c r="TO63" s="12"/>
      <c r="TP63" s="12"/>
      <c r="TQ63" s="12"/>
      <c r="TR63" s="12"/>
      <c r="TS63" s="12"/>
      <c r="TT63" s="12"/>
      <c r="TU63" s="12"/>
      <c r="TV63" s="12"/>
      <c r="TW63" s="12"/>
      <c r="TX63" s="12"/>
      <c r="TY63" s="12"/>
      <c r="TZ63" s="12"/>
      <c r="UA63" s="12"/>
      <c r="UB63" s="12"/>
      <c r="UC63" s="12"/>
      <c r="UD63" s="12"/>
      <c r="UE63" s="12"/>
      <c r="UF63" s="12"/>
      <c r="UG63" s="12"/>
      <c r="UH63" s="12"/>
      <c r="UI63" s="12"/>
      <c r="UJ63" s="12"/>
      <c r="UK63" s="12"/>
      <c r="UL63" s="12"/>
      <c r="UM63" s="12"/>
      <c r="UN63" s="12"/>
      <c r="UO63" s="12"/>
      <c r="UP63" s="12"/>
      <c r="UQ63" s="12"/>
      <c r="UR63" s="12"/>
      <c r="US63" s="12"/>
      <c r="UT63" s="12"/>
      <c r="UU63" s="12"/>
      <c r="UV63" s="12"/>
      <c r="UW63" s="12"/>
      <c r="UX63" s="12"/>
      <c r="UY63" s="12"/>
      <c r="UZ63" s="12"/>
      <c r="VA63" s="12"/>
      <c r="VB63" s="12"/>
      <c r="VC63" s="12"/>
      <c r="VD63" s="12"/>
      <c r="VE63" s="12"/>
      <c r="VF63" s="12"/>
      <c r="VG63" s="12"/>
      <c r="VH63" s="12"/>
      <c r="VI63" s="12"/>
      <c r="VJ63" s="12"/>
      <c r="VK63" s="12"/>
      <c r="VL63" s="12"/>
      <c r="VM63" s="12"/>
      <c r="VN63" s="12"/>
      <c r="VO63" s="12"/>
      <c r="VP63" s="12"/>
      <c r="VQ63" s="12"/>
      <c r="VR63" s="12"/>
      <c r="VS63" s="12"/>
      <c r="VT63" s="12"/>
      <c r="VU63" s="12"/>
      <c r="VV63" s="12"/>
      <c r="VW63" s="12"/>
      <c r="VX63" s="12"/>
      <c r="VY63" s="12"/>
      <c r="VZ63" s="12"/>
      <c r="WA63" s="12"/>
      <c r="WB63" s="12"/>
      <c r="WC63" s="12"/>
      <c r="WD63" s="12"/>
      <c r="WE63" s="12"/>
      <c r="WF63" s="12"/>
      <c r="WG63" s="12"/>
      <c r="WH63" s="12"/>
      <c r="WI63" s="12"/>
      <c r="WJ63" s="12"/>
      <c r="WK63" s="12"/>
      <c r="WL63" s="12"/>
      <c r="WM63" s="12"/>
      <c r="WN63" s="12"/>
      <c r="WO63" s="12"/>
      <c r="WP63" s="12"/>
      <c r="WQ63" s="12"/>
      <c r="WR63" s="12"/>
      <c r="WS63" s="12"/>
      <c r="WT63" s="12"/>
      <c r="WU63" s="12"/>
      <c r="WV63" s="12"/>
      <c r="WW63" s="12"/>
      <c r="WX63" s="12"/>
      <c r="WY63" s="12"/>
      <c r="WZ63" s="12"/>
      <c r="XA63" s="12"/>
      <c r="XB63" s="12"/>
      <c r="XC63" s="12"/>
      <c r="XD63" s="12"/>
      <c r="XE63" s="12"/>
      <c r="XF63" s="12"/>
      <c r="XG63" s="12"/>
      <c r="XH63" s="12"/>
      <c r="XI63" s="12"/>
      <c r="XJ63" s="12"/>
      <c r="XK63" s="12"/>
      <c r="XL63" s="12"/>
      <c r="XM63" s="12"/>
      <c r="XN63" s="12"/>
      <c r="XO63" s="12"/>
      <c r="XP63" s="12"/>
      <c r="XQ63" s="12"/>
      <c r="XR63" s="12"/>
      <c r="XS63" s="12"/>
      <c r="XT63" s="12"/>
      <c r="XU63" s="12"/>
      <c r="XV63" s="12"/>
      <c r="XW63" s="12"/>
      <c r="XX63" s="12"/>
      <c r="XY63" s="12"/>
      <c r="XZ63" s="12"/>
      <c r="YA63" s="12"/>
      <c r="YB63" s="12"/>
      <c r="YC63" s="12"/>
      <c r="YD63" s="12"/>
      <c r="YE63" s="12"/>
      <c r="YF63" s="12"/>
      <c r="YG63" s="12"/>
      <c r="YH63" s="12"/>
      <c r="YI63" s="12"/>
      <c r="YJ63" s="12"/>
      <c r="YK63" s="12"/>
      <c r="YL63" s="12"/>
      <c r="YM63" s="12"/>
      <c r="YN63" s="12"/>
      <c r="YO63" s="12"/>
      <c r="YP63" s="12"/>
      <c r="YQ63" s="12"/>
      <c r="YR63" s="12"/>
      <c r="YS63" s="12"/>
      <c r="YT63" s="12"/>
      <c r="YU63" s="12"/>
      <c r="YV63" s="12"/>
      <c r="YW63" s="12"/>
      <c r="YX63" s="12"/>
      <c r="YY63" s="12"/>
      <c r="YZ63" s="12"/>
      <c r="ZA63" s="12"/>
      <c r="ZB63" s="12"/>
      <c r="ZC63" s="12"/>
      <c r="ZD63" s="12"/>
      <c r="ZE63" s="12"/>
      <c r="ZF63" s="12"/>
      <c r="ZG63" s="12"/>
      <c r="ZH63" s="12"/>
      <c r="ZI63" s="12"/>
      <c r="ZJ63" s="12"/>
      <c r="ZK63" s="12"/>
      <c r="ZL63" s="12"/>
      <c r="ZM63" s="12"/>
      <c r="ZN63" s="12"/>
      <c r="ZO63" s="12"/>
      <c r="ZP63" s="12"/>
      <c r="ZQ63" s="12"/>
      <c r="ZR63" s="12"/>
      <c r="ZS63" s="12"/>
      <c r="ZT63" s="12"/>
      <c r="ZU63" s="12"/>
      <c r="ZV63" s="12"/>
      <c r="ZW63" s="12"/>
      <c r="ZX63" s="12"/>
      <c r="ZY63" s="12"/>
      <c r="ZZ63" s="12"/>
      <c r="AAA63" s="12"/>
      <c r="AAB63" s="12"/>
      <c r="AAC63" s="12"/>
      <c r="AAD63" s="12"/>
      <c r="AAE63" s="12"/>
      <c r="AAF63" s="12"/>
      <c r="AAG63" s="12"/>
      <c r="AAH63" s="12"/>
      <c r="AAI63" s="12"/>
      <c r="AAJ63" s="12"/>
      <c r="AAK63" s="12"/>
      <c r="AAL63" s="12"/>
      <c r="AAM63" s="12"/>
      <c r="AAN63" s="12"/>
      <c r="AAO63" s="12"/>
      <c r="AAP63" s="12"/>
      <c r="AAQ63" s="12"/>
      <c r="AAR63" s="12"/>
      <c r="AAS63" s="12"/>
      <c r="AAT63" s="12"/>
      <c r="AAU63" s="12"/>
      <c r="AAV63" s="12"/>
      <c r="AAW63" s="12"/>
      <c r="AAX63" s="12"/>
      <c r="AAY63" s="12"/>
      <c r="AAZ63" s="12"/>
      <c r="ABA63" s="12"/>
      <c r="ABB63" s="12"/>
      <c r="ABC63" s="12"/>
      <c r="ABD63" s="12"/>
      <c r="ABE63" s="12"/>
      <c r="ABF63" s="12"/>
      <c r="ABG63" s="12"/>
      <c r="ABH63" s="12"/>
      <c r="ABI63" s="12"/>
      <c r="ABJ63" s="12"/>
      <c r="ABK63" s="12"/>
      <c r="ABL63" s="12"/>
      <c r="ABM63" s="12"/>
      <c r="ABN63" s="12"/>
      <c r="ABO63" s="12"/>
      <c r="ABP63" s="12"/>
      <c r="ABQ63" s="12"/>
      <c r="ABR63" s="12"/>
      <c r="ABS63" s="12"/>
      <c r="ABT63" s="12"/>
      <c r="ABU63" s="12"/>
      <c r="ABV63" s="12"/>
      <c r="ABW63" s="12"/>
      <c r="ABX63" s="12"/>
      <c r="ABY63" s="12"/>
      <c r="ABZ63" s="12"/>
      <c r="ACA63" s="12"/>
      <c r="ACB63" s="12"/>
      <c r="ACC63" s="12"/>
      <c r="ACD63" s="12"/>
      <c r="ACE63" s="12"/>
      <c r="ACF63" s="12"/>
      <c r="ACG63" s="12"/>
      <c r="ACH63" s="12"/>
      <c r="ACI63" s="12"/>
      <c r="ACJ63" s="12"/>
      <c r="ACK63" s="12"/>
      <c r="ACL63" s="12"/>
      <c r="ACM63" s="12"/>
      <c r="ACN63" s="12"/>
      <c r="ACO63" s="12"/>
      <c r="ACP63" s="12"/>
      <c r="ACQ63" s="12"/>
      <c r="ACR63" s="12"/>
      <c r="ACS63" s="12"/>
      <c r="ACT63" s="12"/>
      <c r="ACU63" s="12"/>
      <c r="ACV63" s="12"/>
      <c r="ACW63" s="12"/>
      <c r="ACX63" s="12"/>
      <c r="ACY63" s="12"/>
      <c r="ACZ63" s="12"/>
      <c r="ADA63" s="12"/>
      <c r="ADB63" s="12"/>
      <c r="ADC63" s="12"/>
      <c r="ADD63" s="12"/>
      <c r="ADE63" s="12"/>
      <c r="ADF63" s="12"/>
      <c r="ADG63" s="12"/>
      <c r="ADH63" s="12"/>
      <c r="ADI63" s="12"/>
      <c r="ADJ63" s="12"/>
      <c r="ADK63" s="12"/>
      <c r="ADL63" s="12"/>
      <c r="ADM63" s="12"/>
      <c r="ADN63" s="12"/>
      <c r="ADO63" s="12"/>
      <c r="ADP63" s="12"/>
      <c r="ADQ63" s="12"/>
      <c r="ADR63" s="12"/>
      <c r="ADS63" s="12"/>
      <c r="ADT63" s="12"/>
      <c r="ADU63" s="12"/>
      <c r="ADV63" s="12"/>
      <c r="ADW63" s="12"/>
      <c r="ADX63" s="12"/>
      <c r="ADY63" s="12"/>
      <c r="ADZ63" s="12"/>
      <c r="AEA63" s="12"/>
      <c r="AEB63" s="12"/>
      <c r="AEC63" s="12"/>
      <c r="AED63" s="12"/>
      <c r="AEE63" s="12"/>
      <c r="AEF63" s="12"/>
      <c r="AEG63" s="12"/>
      <c r="AEH63" s="12"/>
      <c r="AEI63" s="12"/>
      <c r="AEJ63" s="12"/>
      <c r="AEK63" s="12"/>
      <c r="AEL63" s="12"/>
      <c r="AEM63" s="12"/>
      <c r="AEN63" s="12"/>
      <c r="AEO63" s="12"/>
      <c r="AEP63" s="12"/>
      <c r="AEQ63" s="12"/>
      <c r="AER63" s="12"/>
      <c r="AES63" s="12"/>
      <c r="AET63" s="12"/>
      <c r="AEU63" s="12"/>
      <c r="AEV63" s="12"/>
    </row>
    <row r="64" spans="1:828" s="27" customFormat="1" ht="18" x14ac:dyDescent="0.2">
      <c r="A64" s="62"/>
      <c r="D64" s="29"/>
      <c r="E64" s="23"/>
      <c r="F64" s="23"/>
      <c r="G64" s="23"/>
      <c r="H64" s="30"/>
      <c r="I64" s="23" t="s">
        <v>59</v>
      </c>
      <c r="J64" s="29">
        <v>1402</v>
      </c>
      <c r="K64" s="30"/>
      <c r="L64" s="23"/>
      <c r="M64" s="29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  <c r="IY64" s="12"/>
      <c r="IZ64" s="12"/>
      <c r="JA64" s="12"/>
      <c r="JB64" s="12"/>
      <c r="JC64" s="12"/>
      <c r="JD64" s="12"/>
      <c r="JE64" s="12"/>
      <c r="JF64" s="12"/>
      <c r="JG64" s="12"/>
      <c r="JH64" s="12"/>
      <c r="JI64" s="12"/>
      <c r="JJ64" s="12"/>
      <c r="JK64" s="12"/>
      <c r="JL64" s="12"/>
      <c r="JM64" s="12"/>
      <c r="JN64" s="12"/>
      <c r="JO64" s="12"/>
      <c r="JP64" s="12"/>
      <c r="JQ64" s="12"/>
      <c r="JR64" s="12"/>
      <c r="JS64" s="12"/>
      <c r="JT64" s="12"/>
      <c r="JU64" s="12"/>
      <c r="JV64" s="12"/>
      <c r="JW64" s="12"/>
      <c r="JX64" s="12"/>
      <c r="JY64" s="12"/>
      <c r="JZ64" s="12"/>
      <c r="KA64" s="12"/>
      <c r="KB64" s="12"/>
      <c r="KC64" s="12"/>
      <c r="KD64" s="12"/>
      <c r="KE64" s="12"/>
      <c r="KF64" s="12"/>
      <c r="KG64" s="12"/>
      <c r="KH64" s="12"/>
      <c r="KI64" s="12"/>
      <c r="KJ64" s="12"/>
      <c r="KK64" s="12"/>
      <c r="KL64" s="12"/>
      <c r="KM64" s="12"/>
      <c r="KN64" s="12"/>
      <c r="KO64" s="12"/>
      <c r="KP64" s="12"/>
      <c r="KQ64" s="12"/>
      <c r="KR64" s="12"/>
      <c r="KS64" s="12"/>
      <c r="KT64" s="12"/>
      <c r="KU64" s="12"/>
      <c r="KV64" s="12"/>
      <c r="KW64" s="12"/>
      <c r="KX64" s="12"/>
      <c r="KY64" s="12"/>
      <c r="KZ64" s="12"/>
      <c r="LA64" s="12"/>
      <c r="LB64" s="12"/>
      <c r="LC64" s="12"/>
      <c r="LD64" s="12"/>
      <c r="LE64" s="12"/>
      <c r="LF64" s="12"/>
      <c r="LG64" s="12"/>
      <c r="LH64" s="12"/>
      <c r="LI64" s="12"/>
      <c r="LJ64" s="12"/>
      <c r="LK64" s="12"/>
      <c r="LL64" s="12"/>
      <c r="LM64" s="12"/>
      <c r="LN64" s="12"/>
      <c r="LO64" s="12"/>
      <c r="LP64" s="12"/>
      <c r="LQ64" s="12"/>
      <c r="LR64" s="12"/>
      <c r="LS64" s="12"/>
      <c r="LT64" s="12"/>
      <c r="LU64" s="12"/>
      <c r="LV64" s="12"/>
      <c r="LW64" s="12"/>
      <c r="LX64" s="12"/>
      <c r="LY64" s="12"/>
      <c r="LZ64" s="12"/>
      <c r="MA64" s="12"/>
      <c r="MB64" s="12"/>
      <c r="MC64" s="12"/>
      <c r="MD64" s="12"/>
      <c r="ME64" s="12"/>
      <c r="MF64" s="12"/>
      <c r="MG64" s="12"/>
      <c r="MH64" s="12"/>
      <c r="MI64" s="12"/>
      <c r="MJ64" s="12"/>
      <c r="MK64" s="12"/>
      <c r="ML64" s="12"/>
      <c r="MM64" s="12"/>
      <c r="MN64" s="12"/>
      <c r="MO64" s="12"/>
      <c r="MP64" s="12"/>
      <c r="MQ64" s="12"/>
      <c r="MR64" s="12"/>
      <c r="MS64" s="12"/>
      <c r="MT64" s="12"/>
      <c r="MU64" s="12"/>
      <c r="MV64" s="12"/>
      <c r="MW64" s="12"/>
      <c r="MX64" s="12"/>
      <c r="MY64" s="12"/>
      <c r="MZ64" s="12"/>
      <c r="NA64" s="12"/>
      <c r="NB64" s="12"/>
      <c r="NC64" s="12"/>
      <c r="ND64" s="12"/>
      <c r="NE64" s="12"/>
      <c r="NF64" s="12"/>
      <c r="NG64" s="12"/>
      <c r="NH64" s="12"/>
      <c r="NI64" s="12"/>
      <c r="NJ64" s="12"/>
      <c r="NK64" s="12"/>
      <c r="NL64" s="12"/>
      <c r="NM64" s="12"/>
      <c r="NN64" s="12"/>
      <c r="NO64" s="12"/>
      <c r="NP64" s="12"/>
      <c r="NQ64" s="12"/>
      <c r="NR64" s="12"/>
      <c r="NS64" s="12"/>
      <c r="NT64" s="12"/>
      <c r="NU64" s="12"/>
      <c r="NV64" s="12"/>
      <c r="NW64" s="12"/>
      <c r="NX64" s="12"/>
      <c r="NY64" s="12"/>
      <c r="NZ64" s="12"/>
      <c r="OA64" s="12"/>
      <c r="OB64" s="12"/>
      <c r="OC64" s="12"/>
      <c r="OD64" s="12"/>
      <c r="OE64" s="12"/>
      <c r="OF64" s="12"/>
      <c r="OG64" s="12"/>
      <c r="OH64" s="12"/>
      <c r="OI64" s="12"/>
      <c r="OJ64" s="12"/>
      <c r="OK64" s="12"/>
      <c r="OL64" s="12"/>
      <c r="OM64" s="12"/>
      <c r="ON64" s="12"/>
      <c r="OO64" s="12"/>
      <c r="OP64" s="12"/>
      <c r="OQ64" s="12"/>
      <c r="OR64" s="12"/>
      <c r="OS64" s="12"/>
      <c r="OT64" s="12"/>
      <c r="OU64" s="12"/>
      <c r="OV64" s="12"/>
      <c r="OW64" s="12"/>
      <c r="OX64" s="12"/>
      <c r="OY64" s="12"/>
      <c r="OZ64" s="12"/>
      <c r="PA64" s="12"/>
      <c r="PB64" s="12"/>
      <c r="PC64" s="12"/>
      <c r="PD64" s="12"/>
      <c r="PE64" s="12"/>
      <c r="PF64" s="12"/>
      <c r="PG64" s="12"/>
      <c r="PH64" s="12"/>
      <c r="PI64" s="12"/>
      <c r="PJ64" s="12"/>
      <c r="PK64" s="12"/>
      <c r="PL64" s="12"/>
      <c r="PM64" s="12"/>
      <c r="PN64" s="12"/>
      <c r="PO64" s="12"/>
      <c r="PP64" s="12"/>
      <c r="PQ64" s="12"/>
      <c r="PR64" s="12"/>
      <c r="PS64" s="12"/>
      <c r="PT64" s="12"/>
      <c r="PU64" s="12"/>
      <c r="PV64" s="12"/>
      <c r="PW64" s="12"/>
      <c r="PX64" s="12"/>
      <c r="PY64" s="12"/>
      <c r="PZ64" s="12"/>
      <c r="QA64" s="12"/>
      <c r="QB64" s="12"/>
      <c r="QC64" s="12"/>
      <c r="QD64" s="12"/>
      <c r="QE64" s="12"/>
      <c r="QF64" s="12"/>
      <c r="QG64" s="12"/>
      <c r="QH64" s="12"/>
      <c r="QI64" s="12"/>
      <c r="QJ64" s="12"/>
      <c r="QK64" s="12"/>
      <c r="QL64" s="12"/>
      <c r="QM64" s="12"/>
      <c r="QN64" s="12"/>
      <c r="QO64" s="12"/>
      <c r="QP64" s="12"/>
      <c r="QQ64" s="12"/>
      <c r="QR64" s="12"/>
      <c r="QS64" s="12"/>
      <c r="QT64" s="12"/>
      <c r="QU64" s="12"/>
      <c r="QV64" s="12"/>
      <c r="QW64" s="12"/>
      <c r="QX64" s="12"/>
      <c r="QY64" s="12"/>
      <c r="QZ64" s="12"/>
      <c r="RA64" s="12"/>
      <c r="RB64" s="12"/>
      <c r="RC64" s="12"/>
      <c r="RD64" s="12"/>
      <c r="RE64" s="12"/>
      <c r="RF64" s="12"/>
      <c r="RG64" s="12"/>
      <c r="RH64" s="12"/>
      <c r="RI64" s="12"/>
      <c r="RJ64" s="12"/>
      <c r="RK64" s="12"/>
      <c r="RL64" s="12"/>
      <c r="RM64" s="12"/>
      <c r="RN64" s="12"/>
      <c r="RO64" s="12"/>
      <c r="RP64" s="12"/>
      <c r="RQ64" s="12"/>
      <c r="RR64" s="12"/>
      <c r="RS64" s="12"/>
      <c r="RT64" s="12"/>
      <c r="RU64" s="12"/>
      <c r="RV64" s="12"/>
      <c r="RW64" s="12"/>
      <c r="RX64" s="12"/>
      <c r="RY64" s="12"/>
      <c r="RZ64" s="12"/>
      <c r="SA64" s="12"/>
      <c r="SB64" s="12"/>
      <c r="SC64" s="12"/>
      <c r="SD64" s="12"/>
      <c r="SE64" s="12"/>
      <c r="SF64" s="12"/>
      <c r="SG64" s="12"/>
      <c r="SH64" s="12"/>
      <c r="SI64" s="12"/>
      <c r="SJ64" s="12"/>
      <c r="SK64" s="12"/>
      <c r="SL64" s="12"/>
      <c r="SM64" s="12"/>
      <c r="SN64" s="12"/>
      <c r="SO64" s="12"/>
      <c r="SP64" s="12"/>
      <c r="SQ64" s="12"/>
      <c r="SR64" s="12"/>
      <c r="SS64" s="12"/>
      <c r="ST64" s="12"/>
      <c r="SU64" s="12"/>
      <c r="SV64" s="12"/>
      <c r="SW64" s="12"/>
      <c r="SX64" s="12"/>
      <c r="SY64" s="12"/>
      <c r="SZ64" s="12"/>
      <c r="TA64" s="12"/>
      <c r="TB64" s="12"/>
      <c r="TC64" s="12"/>
      <c r="TD64" s="12"/>
      <c r="TE64" s="12"/>
      <c r="TF64" s="12"/>
      <c r="TG64" s="12"/>
      <c r="TH64" s="12"/>
      <c r="TI64" s="12"/>
      <c r="TJ64" s="12"/>
      <c r="TK64" s="12"/>
      <c r="TL64" s="12"/>
      <c r="TM64" s="12"/>
      <c r="TN64" s="12"/>
      <c r="TO64" s="12"/>
      <c r="TP64" s="12"/>
      <c r="TQ64" s="12"/>
      <c r="TR64" s="12"/>
      <c r="TS64" s="12"/>
      <c r="TT64" s="12"/>
      <c r="TU64" s="12"/>
      <c r="TV64" s="12"/>
      <c r="TW64" s="12"/>
      <c r="TX64" s="12"/>
      <c r="TY64" s="12"/>
      <c r="TZ64" s="12"/>
      <c r="UA64" s="12"/>
      <c r="UB64" s="12"/>
      <c r="UC64" s="12"/>
      <c r="UD64" s="12"/>
      <c r="UE64" s="12"/>
      <c r="UF64" s="12"/>
      <c r="UG64" s="12"/>
      <c r="UH64" s="12"/>
      <c r="UI64" s="12"/>
      <c r="UJ64" s="12"/>
      <c r="UK64" s="12"/>
      <c r="UL64" s="12"/>
      <c r="UM64" s="12"/>
      <c r="UN64" s="12"/>
      <c r="UO64" s="12"/>
      <c r="UP64" s="12"/>
      <c r="UQ64" s="12"/>
      <c r="UR64" s="12"/>
      <c r="US64" s="12"/>
      <c r="UT64" s="12"/>
      <c r="UU64" s="12"/>
      <c r="UV64" s="12"/>
      <c r="UW64" s="12"/>
      <c r="UX64" s="12"/>
      <c r="UY64" s="12"/>
      <c r="UZ64" s="12"/>
      <c r="VA64" s="12"/>
      <c r="VB64" s="12"/>
      <c r="VC64" s="12"/>
      <c r="VD64" s="12"/>
      <c r="VE64" s="12"/>
      <c r="VF64" s="12"/>
      <c r="VG64" s="12"/>
      <c r="VH64" s="12"/>
      <c r="VI64" s="12"/>
      <c r="VJ64" s="12"/>
      <c r="VK64" s="12"/>
      <c r="VL64" s="12"/>
      <c r="VM64" s="12"/>
      <c r="VN64" s="12"/>
      <c r="VO64" s="12"/>
      <c r="VP64" s="12"/>
      <c r="VQ64" s="12"/>
      <c r="VR64" s="12"/>
      <c r="VS64" s="12"/>
      <c r="VT64" s="12"/>
      <c r="VU64" s="12"/>
      <c r="VV64" s="12"/>
      <c r="VW64" s="12"/>
      <c r="VX64" s="12"/>
      <c r="VY64" s="12"/>
      <c r="VZ64" s="12"/>
      <c r="WA64" s="12"/>
      <c r="WB64" s="12"/>
      <c r="WC64" s="12"/>
      <c r="WD64" s="12"/>
      <c r="WE64" s="12"/>
      <c r="WF64" s="12"/>
      <c r="WG64" s="12"/>
      <c r="WH64" s="12"/>
      <c r="WI64" s="12"/>
      <c r="WJ64" s="12"/>
      <c r="WK64" s="12"/>
      <c r="WL64" s="12"/>
      <c r="WM64" s="12"/>
      <c r="WN64" s="12"/>
      <c r="WO64" s="12"/>
      <c r="WP64" s="12"/>
      <c r="WQ64" s="12"/>
      <c r="WR64" s="12"/>
      <c r="WS64" s="12"/>
      <c r="WT64" s="12"/>
      <c r="WU64" s="12"/>
      <c r="WV64" s="12"/>
      <c r="WW64" s="12"/>
      <c r="WX64" s="12"/>
      <c r="WY64" s="12"/>
      <c r="WZ64" s="12"/>
      <c r="XA64" s="12"/>
      <c r="XB64" s="12"/>
      <c r="XC64" s="12"/>
      <c r="XD64" s="12"/>
      <c r="XE64" s="12"/>
      <c r="XF64" s="12"/>
      <c r="XG64" s="12"/>
      <c r="XH64" s="12"/>
      <c r="XI64" s="12"/>
      <c r="XJ64" s="12"/>
      <c r="XK64" s="12"/>
      <c r="XL64" s="12"/>
      <c r="XM64" s="12"/>
      <c r="XN64" s="12"/>
      <c r="XO64" s="12"/>
      <c r="XP64" s="12"/>
      <c r="XQ64" s="12"/>
      <c r="XR64" s="12"/>
      <c r="XS64" s="12"/>
      <c r="XT64" s="12"/>
      <c r="XU64" s="12"/>
      <c r="XV64" s="12"/>
      <c r="XW64" s="12"/>
      <c r="XX64" s="12"/>
      <c r="XY64" s="12"/>
      <c r="XZ64" s="12"/>
      <c r="YA64" s="12"/>
      <c r="YB64" s="12"/>
      <c r="YC64" s="12"/>
      <c r="YD64" s="12"/>
      <c r="YE64" s="12"/>
      <c r="YF64" s="12"/>
      <c r="YG64" s="12"/>
      <c r="YH64" s="12"/>
      <c r="YI64" s="12"/>
      <c r="YJ64" s="12"/>
      <c r="YK64" s="12"/>
      <c r="YL64" s="12"/>
      <c r="YM64" s="12"/>
      <c r="YN64" s="12"/>
      <c r="YO64" s="12"/>
      <c r="YP64" s="12"/>
      <c r="YQ64" s="12"/>
      <c r="YR64" s="12"/>
      <c r="YS64" s="12"/>
      <c r="YT64" s="12"/>
      <c r="YU64" s="12"/>
      <c r="YV64" s="12"/>
      <c r="YW64" s="12"/>
      <c r="YX64" s="12"/>
      <c r="YY64" s="12"/>
      <c r="YZ64" s="12"/>
      <c r="ZA64" s="12"/>
      <c r="ZB64" s="12"/>
      <c r="ZC64" s="12"/>
      <c r="ZD64" s="12"/>
      <c r="ZE64" s="12"/>
      <c r="ZF64" s="12"/>
      <c r="ZG64" s="12"/>
      <c r="ZH64" s="12"/>
      <c r="ZI64" s="12"/>
      <c r="ZJ64" s="12"/>
      <c r="ZK64" s="12"/>
      <c r="ZL64" s="12"/>
      <c r="ZM64" s="12"/>
      <c r="ZN64" s="12"/>
      <c r="ZO64" s="12"/>
      <c r="ZP64" s="12"/>
      <c r="ZQ64" s="12"/>
      <c r="ZR64" s="12"/>
      <c r="ZS64" s="12"/>
      <c r="ZT64" s="12"/>
      <c r="ZU64" s="12"/>
      <c r="ZV64" s="12"/>
      <c r="ZW64" s="12"/>
      <c r="ZX64" s="12"/>
      <c r="ZY64" s="12"/>
      <c r="ZZ64" s="12"/>
      <c r="AAA64" s="12"/>
      <c r="AAB64" s="12"/>
      <c r="AAC64" s="12"/>
      <c r="AAD64" s="12"/>
      <c r="AAE64" s="12"/>
      <c r="AAF64" s="12"/>
      <c r="AAG64" s="12"/>
      <c r="AAH64" s="12"/>
      <c r="AAI64" s="12"/>
      <c r="AAJ64" s="12"/>
      <c r="AAK64" s="12"/>
      <c r="AAL64" s="12"/>
      <c r="AAM64" s="12"/>
      <c r="AAN64" s="12"/>
      <c r="AAO64" s="12"/>
      <c r="AAP64" s="12"/>
      <c r="AAQ64" s="12"/>
      <c r="AAR64" s="12"/>
      <c r="AAS64" s="12"/>
      <c r="AAT64" s="12"/>
      <c r="AAU64" s="12"/>
      <c r="AAV64" s="12"/>
      <c r="AAW64" s="12"/>
      <c r="AAX64" s="12"/>
      <c r="AAY64" s="12"/>
      <c r="AAZ64" s="12"/>
      <c r="ABA64" s="12"/>
      <c r="ABB64" s="12"/>
      <c r="ABC64" s="12"/>
      <c r="ABD64" s="12"/>
      <c r="ABE64" s="12"/>
      <c r="ABF64" s="12"/>
      <c r="ABG64" s="12"/>
      <c r="ABH64" s="12"/>
      <c r="ABI64" s="12"/>
      <c r="ABJ64" s="12"/>
      <c r="ABK64" s="12"/>
      <c r="ABL64" s="12"/>
      <c r="ABM64" s="12"/>
      <c r="ABN64" s="12"/>
      <c r="ABO64" s="12"/>
      <c r="ABP64" s="12"/>
      <c r="ABQ64" s="12"/>
      <c r="ABR64" s="12"/>
      <c r="ABS64" s="12"/>
      <c r="ABT64" s="12"/>
      <c r="ABU64" s="12"/>
      <c r="ABV64" s="12"/>
      <c r="ABW64" s="12"/>
      <c r="ABX64" s="12"/>
      <c r="ABY64" s="12"/>
      <c r="ABZ64" s="12"/>
      <c r="ACA64" s="12"/>
      <c r="ACB64" s="12"/>
      <c r="ACC64" s="12"/>
      <c r="ACD64" s="12"/>
      <c r="ACE64" s="12"/>
      <c r="ACF64" s="12"/>
      <c r="ACG64" s="12"/>
      <c r="ACH64" s="12"/>
      <c r="ACI64" s="12"/>
      <c r="ACJ64" s="12"/>
      <c r="ACK64" s="12"/>
      <c r="ACL64" s="12"/>
      <c r="ACM64" s="12"/>
      <c r="ACN64" s="12"/>
      <c r="ACO64" s="12"/>
      <c r="ACP64" s="12"/>
      <c r="ACQ64" s="12"/>
      <c r="ACR64" s="12"/>
      <c r="ACS64" s="12"/>
      <c r="ACT64" s="12"/>
      <c r="ACU64" s="12"/>
      <c r="ACV64" s="12"/>
      <c r="ACW64" s="12"/>
      <c r="ACX64" s="12"/>
      <c r="ACY64" s="12"/>
      <c r="ACZ64" s="12"/>
      <c r="ADA64" s="12"/>
      <c r="ADB64" s="12"/>
      <c r="ADC64" s="12"/>
      <c r="ADD64" s="12"/>
      <c r="ADE64" s="12"/>
      <c r="ADF64" s="12"/>
      <c r="ADG64" s="12"/>
      <c r="ADH64" s="12"/>
      <c r="ADI64" s="12"/>
      <c r="ADJ64" s="12"/>
      <c r="ADK64" s="12"/>
      <c r="ADL64" s="12"/>
      <c r="ADM64" s="12"/>
      <c r="ADN64" s="12"/>
      <c r="ADO64" s="12"/>
      <c r="ADP64" s="12"/>
      <c r="ADQ64" s="12"/>
      <c r="ADR64" s="12"/>
      <c r="ADS64" s="12"/>
      <c r="ADT64" s="12"/>
      <c r="ADU64" s="12"/>
      <c r="ADV64" s="12"/>
      <c r="ADW64" s="12"/>
      <c r="ADX64" s="12"/>
      <c r="ADY64" s="12"/>
      <c r="ADZ64" s="12"/>
      <c r="AEA64" s="12"/>
      <c r="AEB64" s="12"/>
      <c r="AEC64" s="12"/>
      <c r="AED64" s="12"/>
      <c r="AEE64" s="12"/>
      <c r="AEF64" s="12"/>
      <c r="AEG64" s="12"/>
      <c r="AEH64" s="12"/>
      <c r="AEI64" s="12"/>
      <c r="AEJ64" s="12"/>
      <c r="AEK64" s="12"/>
      <c r="AEL64" s="12"/>
      <c r="AEM64" s="12"/>
      <c r="AEN64" s="12"/>
      <c r="AEO64" s="12"/>
      <c r="AEP64" s="12"/>
      <c r="AEQ64" s="12"/>
      <c r="AER64" s="12"/>
      <c r="AES64" s="12"/>
      <c r="AET64" s="12"/>
      <c r="AEU64" s="12"/>
      <c r="AEV64" s="12"/>
    </row>
    <row r="65" spans="1:828" s="66" customFormat="1" ht="19" thickBot="1" x14ac:dyDescent="0.25">
      <c r="A65" s="63"/>
      <c r="B65" s="27"/>
      <c r="D65" s="65"/>
      <c r="E65" s="64"/>
      <c r="F65" s="64"/>
      <c r="G65" s="64"/>
      <c r="H65" s="67"/>
      <c r="I65" s="64"/>
      <c r="J65" s="65"/>
      <c r="K65" s="67"/>
      <c r="L65" s="64"/>
      <c r="M65" s="65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  <c r="IY65" s="12"/>
      <c r="IZ65" s="12"/>
      <c r="JA65" s="12"/>
      <c r="JB65" s="12"/>
      <c r="JC65" s="12"/>
      <c r="JD65" s="12"/>
      <c r="JE65" s="12"/>
      <c r="JF65" s="12"/>
      <c r="JG65" s="12"/>
      <c r="JH65" s="12"/>
      <c r="JI65" s="12"/>
      <c r="JJ65" s="12"/>
      <c r="JK65" s="12"/>
      <c r="JL65" s="12"/>
      <c r="JM65" s="12"/>
      <c r="JN65" s="12"/>
      <c r="JO65" s="12"/>
      <c r="JP65" s="12"/>
      <c r="JQ65" s="12"/>
      <c r="JR65" s="12"/>
      <c r="JS65" s="12"/>
      <c r="JT65" s="12"/>
      <c r="JU65" s="12"/>
      <c r="JV65" s="12"/>
      <c r="JW65" s="12"/>
      <c r="JX65" s="12"/>
      <c r="JY65" s="12"/>
      <c r="JZ65" s="12"/>
      <c r="KA65" s="12"/>
      <c r="KB65" s="12"/>
      <c r="KC65" s="12"/>
      <c r="KD65" s="12"/>
      <c r="KE65" s="12"/>
      <c r="KF65" s="12"/>
      <c r="KG65" s="12"/>
      <c r="KH65" s="12"/>
      <c r="KI65" s="12"/>
      <c r="KJ65" s="12"/>
      <c r="KK65" s="12"/>
      <c r="KL65" s="12"/>
      <c r="KM65" s="12"/>
      <c r="KN65" s="12"/>
      <c r="KO65" s="12"/>
      <c r="KP65" s="12"/>
      <c r="KQ65" s="12"/>
      <c r="KR65" s="12"/>
      <c r="KS65" s="12"/>
      <c r="KT65" s="12"/>
      <c r="KU65" s="12"/>
      <c r="KV65" s="12"/>
      <c r="KW65" s="12"/>
      <c r="KX65" s="12"/>
      <c r="KY65" s="12"/>
      <c r="KZ65" s="12"/>
      <c r="LA65" s="12"/>
      <c r="LB65" s="12"/>
      <c r="LC65" s="12"/>
      <c r="LD65" s="12"/>
      <c r="LE65" s="12"/>
      <c r="LF65" s="12"/>
      <c r="LG65" s="12"/>
      <c r="LH65" s="12"/>
      <c r="LI65" s="12"/>
      <c r="LJ65" s="12"/>
      <c r="LK65" s="12"/>
      <c r="LL65" s="12"/>
      <c r="LM65" s="12"/>
      <c r="LN65" s="12"/>
      <c r="LO65" s="12"/>
      <c r="LP65" s="12"/>
      <c r="LQ65" s="12"/>
      <c r="LR65" s="12"/>
      <c r="LS65" s="12"/>
      <c r="LT65" s="12"/>
      <c r="LU65" s="12"/>
      <c r="LV65" s="12"/>
      <c r="LW65" s="12"/>
      <c r="LX65" s="12"/>
      <c r="LY65" s="12"/>
      <c r="LZ65" s="12"/>
      <c r="MA65" s="12"/>
      <c r="MB65" s="12"/>
      <c r="MC65" s="12"/>
      <c r="MD65" s="12"/>
      <c r="ME65" s="12"/>
      <c r="MF65" s="12"/>
      <c r="MG65" s="12"/>
      <c r="MH65" s="12"/>
      <c r="MI65" s="12"/>
      <c r="MJ65" s="12"/>
      <c r="MK65" s="12"/>
      <c r="ML65" s="12"/>
      <c r="MM65" s="12"/>
      <c r="MN65" s="12"/>
      <c r="MO65" s="12"/>
      <c r="MP65" s="12"/>
      <c r="MQ65" s="12"/>
      <c r="MR65" s="12"/>
      <c r="MS65" s="12"/>
      <c r="MT65" s="12"/>
      <c r="MU65" s="12"/>
      <c r="MV65" s="12"/>
      <c r="MW65" s="12"/>
      <c r="MX65" s="12"/>
      <c r="MY65" s="12"/>
      <c r="MZ65" s="12"/>
      <c r="NA65" s="12"/>
      <c r="NB65" s="12"/>
      <c r="NC65" s="12"/>
      <c r="ND65" s="12"/>
      <c r="NE65" s="12"/>
      <c r="NF65" s="12"/>
      <c r="NG65" s="12"/>
      <c r="NH65" s="12"/>
      <c r="NI65" s="12"/>
      <c r="NJ65" s="12"/>
      <c r="NK65" s="12"/>
      <c r="NL65" s="12"/>
      <c r="NM65" s="12"/>
      <c r="NN65" s="12"/>
      <c r="NO65" s="12"/>
      <c r="NP65" s="12"/>
      <c r="NQ65" s="12"/>
      <c r="NR65" s="12"/>
      <c r="NS65" s="12"/>
      <c r="NT65" s="12"/>
      <c r="NU65" s="12"/>
      <c r="NV65" s="12"/>
      <c r="NW65" s="12"/>
      <c r="NX65" s="12"/>
      <c r="NY65" s="12"/>
      <c r="NZ65" s="12"/>
      <c r="OA65" s="12"/>
      <c r="OB65" s="12"/>
      <c r="OC65" s="12"/>
      <c r="OD65" s="12"/>
      <c r="OE65" s="12"/>
      <c r="OF65" s="12"/>
      <c r="OG65" s="12"/>
      <c r="OH65" s="12"/>
      <c r="OI65" s="12"/>
      <c r="OJ65" s="12"/>
      <c r="OK65" s="12"/>
      <c r="OL65" s="12"/>
      <c r="OM65" s="12"/>
      <c r="ON65" s="12"/>
      <c r="OO65" s="12"/>
      <c r="OP65" s="12"/>
      <c r="OQ65" s="12"/>
      <c r="OR65" s="12"/>
      <c r="OS65" s="12"/>
      <c r="OT65" s="12"/>
      <c r="OU65" s="12"/>
      <c r="OV65" s="12"/>
      <c r="OW65" s="12"/>
      <c r="OX65" s="12"/>
      <c r="OY65" s="12"/>
      <c r="OZ65" s="12"/>
      <c r="PA65" s="12"/>
      <c r="PB65" s="12"/>
      <c r="PC65" s="12"/>
      <c r="PD65" s="12"/>
      <c r="PE65" s="12"/>
      <c r="PF65" s="12"/>
      <c r="PG65" s="12"/>
      <c r="PH65" s="12"/>
      <c r="PI65" s="12"/>
      <c r="PJ65" s="12"/>
      <c r="PK65" s="12"/>
      <c r="PL65" s="12"/>
      <c r="PM65" s="12"/>
      <c r="PN65" s="12"/>
      <c r="PO65" s="12"/>
      <c r="PP65" s="12"/>
      <c r="PQ65" s="12"/>
      <c r="PR65" s="12"/>
      <c r="PS65" s="12"/>
      <c r="PT65" s="12"/>
      <c r="PU65" s="12"/>
      <c r="PV65" s="12"/>
      <c r="PW65" s="12"/>
      <c r="PX65" s="12"/>
      <c r="PY65" s="12"/>
      <c r="PZ65" s="12"/>
      <c r="QA65" s="12"/>
      <c r="QB65" s="12"/>
      <c r="QC65" s="12"/>
      <c r="QD65" s="12"/>
      <c r="QE65" s="12"/>
      <c r="QF65" s="12"/>
      <c r="QG65" s="12"/>
      <c r="QH65" s="12"/>
      <c r="QI65" s="12"/>
      <c r="QJ65" s="12"/>
      <c r="QK65" s="12"/>
      <c r="QL65" s="12"/>
      <c r="QM65" s="12"/>
      <c r="QN65" s="12"/>
      <c r="QO65" s="12"/>
      <c r="QP65" s="12"/>
      <c r="QQ65" s="12"/>
      <c r="QR65" s="12"/>
      <c r="QS65" s="12"/>
      <c r="QT65" s="12"/>
      <c r="QU65" s="12"/>
      <c r="QV65" s="12"/>
      <c r="QW65" s="12"/>
      <c r="QX65" s="12"/>
      <c r="QY65" s="12"/>
      <c r="QZ65" s="12"/>
      <c r="RA65" s="12"/>
      <c r="RB65" s="12"/>
      <c r="RC65" s="12"/>
      <c r="RD65" s="12"/>
      <c r="RE65" s="12"/>
      <c r="RF65" s="12"/>
      <c r="RG65" s="12"/>
      <c r="RH65" s="12"/>
      <c r="RI65" s="12"/>
      <c r="RJ65" s="12"/>
      <c r="RK65" s="12"/>
      <c r="RL65" s="12"/>
      <c r="RM65" s="12"/>
      <c r="RN65" s="12"/>
      <c r="RO65" s="12"/>
      <c r="RP65" s="12"/>
      <c r="RQ65" s="12"/>
      <c r="RR65" s="12"/>
      <c r="RS65" s="12"/>
      <c r="RT65" s="12"/>
      <c r="RU65" s="12"/>
      <c r="RV65" s="12"/>
      <c r="RW65" s="12"/>
      <c r="RX65" s="12"/>
      <c r="RY65" s="12"/>
      <c r="RZ65" s="12"/>
      <c r="SA65" s="12"/>
      <c r="SB65" s="12"/>
      <c r="SC65" s="12"/>
      <c r="SD65" s="12"/>
      <c r="SE65" s="12"/>
      <c r="SF65" s="12"/>
      <c r="SG65" s="12"/>
      <c r="SH65" s="12"/>
      <c r="SI65" s="12"/>
      <c r="SJ65" s="12"/>
      <c r="SK65" s="12"/>
      <c r="SL65" s="12"/>
      <c r="SM65" s="12"/>
      <c r="SN65" s="12"/>
      <c r="SO65" s="12"/>
      <c r="SP65" s="12"/>
      <c r="SQ65" s="12"/>
      <c r="SR65" s="12"/>
      <c r="SS65" s="12"/>
      <c r="ST65" s="12"/>
      <c r="SU65" s="12"/>
      <c r="SV65" s="12"/>
      <c r="SW65" s="12"/>
      <c r="SX65" s="12"/>
      <c r="SY65" s="12"/>
      <c r="SZ65" s="12"/>
      <c r="TA65" s="12"/>
      <c r="TB65" s="12"/>
      <c r="TC65" s="12"/>
      <c r="TD65" s="12"/>
      <c r="TE65" s="12"/>
      <c r="TF65" s="12"/>
      <c r="TG65" s="12"/>
      <c r="TH65" s="12"/>
      <c r="TI65" s="12"/>
      <c r="TJ65" s="12"/>
      <c r="TK65" s="12"/>
      <c r="TL65" s="12"/>
      <c r="TM65" s="12"/>
      <c r="TN65" s="12"/>
      <c r="TO65" s="12"/>
      <c r="TP65" s="12"/>
      <c r="TQ65" s="12"/>
      <c r="TR65" s="12"/>
      <c r="TS65" s="12"/>
      <c r="TT65" s="12"/>
      <c r="TU65" s="12"/>
      <c r="TV65" s="12"/>
      <c r="TW65" s="12"/>
      <c r="TX65" s="12"/>
      <c r="TY65" s="12"/>
      <c r="TZ65" s="12"/>
      <c r="UA65" s="12"/>
      <c r="UB65" s="12"/>
      <c r="UC65" s="12"/>
      <c r="UD65" s="12"/>
      <c r="UE65" s="12"/>
      <c r="UF65" s="12"/>
      <c r="UG65" s="12"/>
      <c r="UH65" s="12"/>
      <c r="UI65" s="12"/>
      <c r="UJ65" s="12"/>
      <c r="UK65" s="12"/>
      <c r="UL65" s="12"/>
      <c r="UM65" s="12"/>
      <c r="UN65" s="12"/>
      <c r="UO65" s="12"/>
      <c r="UP65" s="12"/>
      <c r="UQ65" s="12"/>
      <c r="UR65" s="12"/>
      <c r="US65" s="12"/>
      <c r="UT65" s="12"/>
      <c r="UU65" s="12"/>
      <c r="UV65" s="12"/>
      <c r="UW65" s="12"/>
      <c r="UX65" s="12"/>
      <c r="UY65" s="12"/>
      <c r="UZ65" s="12"/>
      <c r="VA65" s="12"/>
      <c r="VB65" s="12"/>
      <c r="VC65" s="12"/>
      <c r="VD65" s="12"/>
      <c r="VE65" s="12"/>
      <c r="VF65" s="12"/>
      <c r="VG65" s="12"/>
      <c r="VH65" s="12"/>
      <c r="VI65" s="12"/>
      <c r="VJ65" s="12"/>
      <c r="VK65" s="12"/>
      <c r="VL65" s="12"/>
      <c r="VM65" s="12"/>
      <c r="VN65" s="12"/>
      <c r="VO65" s="12"/>
      <c r="VP65" s="12"/>
      <c r="VQ65" s="12"/>
      <c r="VR65" s="12"/>
      <c r="VS65" s="12"/>
      <c r="VT65" s="12"/>
      <c r="VU65" s="12"/>
      <c r="VV65" s="12"/>
      <c r="VW65" s="12"/>
      <c r="VX65" s="12"/>
      <c r="VY65" s="12"/>
      <c r="VZ65" s="12"/>
      <c r="WA65" s="12"/>
      <c r="WB65" s="12"/>
      <c r="WC65" s="12"/>
      <c r="WD65" s="12"/>
      <c r="WE65" s="12"/>
      <c r="WF65" s="12"/>
      <c r="WG65" s="12"/>
      <c r="WH65" s="12"/>
      <c r="WI65" s="12"/>
      <c r="WJ65" s="12"/>
      <c r="WK65" s="12"/>
      <c r="WL65" s="12"/>
      <c r="WM65" s="12"/>
      <c r="WN65" s="12"/>
      <c r="WO65" s="12"/>
      <c r="WP65" s="12"/>
      <c r="WQ65" s="12"/>
      <c r="WR65" s="12"/>
      <c r="WS65" s="12"/>
      <c r="WT65" s="12"/>
      <c r="WU65" s="12"/>
      <c r="WV65" s="12"/>
      <c r="WW65" s="12"/>
      <c r="WX65" s="12"/>
      <c r="WY65" s="12"/>
      <c r="WZ65" s="12"/>
      <c r="XA65" s="12"/>
      <c r="XB65" s="12"/>
      <c r="XC65" s="12"/>
      <c r="XD65" s="12"/>
      <c r="XE65" s="12"/>
      <c r="XF65" s="12"/>
      <c r="XG65" s="12"/>
      <c r="XH65" s="12"/>
      <c r="XI65" s="12"/>
      <c r="XJ65" s="12"/>
      <c r="XK65" s="12"/>
      <c r="XL65" s="12"/>
      <c r="XM65" s="12"/>
      <c r="XN65" s="12"/>
      <c r="XO65" s="12"/>
      <c r="XP65" s="12"/>
      <c r="XQ65" s="12"/>
      <c r="XR65" s="12"/>
      <c r="XS65" s="12"/>
      <c r="XT65" s="12"/>
      <c r="XU65" s="12"/>
      <c r="XV65" s="12"/>
      <c r="XW65" s="12"/>
      <c r="XX65" s="12"/>
      <c r="XY65" s="12"/>
      <c r="XZ65" s="12"/>
      <c r="YA65" s="12"/>
      <c r="YB65" s="12"/>
      <c r="YC65" s="12"/>
      <c r="YD65" s="12"/>
      <c r="YE65" s="12"/>
      <c r="YF65" s="12"/>
      <c r="YG65" s="12"/>
      <c r="YH65" s="12"/>
      <c r="YI65" s="12"/>
      <c r="YJ65" s="12"/>
      <c r="YK65" s="12"/>
      <c r="YL65" s="12"/>
      <c r="YM65" s="12"/>
      <c r="YN65" s="12"/>
      <c r="YO65" s="12"/>
      <c r="YP65" s="12"/>
      <c r="YQ65" s="12"/>
      <c r="YR65" s="12"/>
      <c r="YS65" s="12"/>
      <c r="YT65" s="12"/>
      <c r="YU65" s="12"/>
      <c r="YV65" s="12"/>
      <c r="YW65" s="12"/>
      <c r="YX65" s="12"/>
      <c r="YY65" s="12"/>
      <c r="YZ65" s="12"/>
      <c r="ZA65" s="12"/>
      <c r="ZB65" s="12"/>
      <c r="ZC65" s="12"/>
      <c r="ZD65" s="12"/>
      <c r="ZE65" s="12"/>
      <c r="ZF65" s="12"/>
      <c r="ZG65" s="12"/>
      <c r="ZH65" s="12"/>
      <c r="ZI65" s="12"/>
      <c r="ZJ65" s="12"/>
      <c r="ZK65" s="12"/>
      <c r="ZL65" s="12"/>
      <c r="ZM65" s="12"/>
      <c r="ZN65" s="12"/>
      <c r="ZO65" s="12"/>
      <c r="ZP65" s="12"/>
      <c r="ZQ65" s="12"/>
      <c r="ZR65" s="12"/>
      <c r="ZS65" s="12"/>
      <c r="ZT65" s="12"/>
      <c r="ZU65" s="12"/>
      <c r="ZV65" s="12"/>
      <c r="ZW65" s="12"/>
      <c r="ZX65" s="12"/>
      <c r="ZY65" s="12"/>
      <c r="ZZ65" s="12"/>
      <c r="AAA65" s="12"/>
      <c r="AAB65" s="12"/>
      <c r="AAC65" s="12"/>
      <c r="AAD65" s="12"/>
      <c r="AAE65" s="12"/>
      <c r="AAF65" s="12"/>
      <c r="AAG65" s="12"/>
      <c r="AAH65" s="12"/>
      <c r="AAI65" s="12"/>
      <c r="AAJ65" s="12"/>
      <c r="AAK65" s="12"/>
      <c r="AAL65" s="12"/>
      <c r="AAM65" s="12"/>
      <c r="AAN65" s="12"/>
      <c r="AAO65" s="12"/>
      <c r="AAP65" s="12"/>
      <c r="AAQ65" s="12"/>
      <c r="AAR65" s="12"/>
      <c r="AAS65" s="12"/>
      <c r="AAT65" s="12"/>
      <c r="AAU65" s="12"/>
      <c r="AAV65" s="12"/>
      <c r="AAW65" s="12"/>
      <c r="AAX65" s="12"/>
      <c r="AAY65" s="12"/>
      <c r="AAZ65" s="12"/>
      <c r="ABA65" s="12"/>
      <c r="ABB65" s="12"/>
      <c r="ABC65" s="12"/>
      <c r="ABD65" s="12"/>
      <c r="ABE65" s="12"/>
      <c r="ABF65" s="12"/>
      <c r="ABG65" s="12"/>
      <c r="ABH65" s="12"/>
      <c r="ABI65" s="12"/>
      <c r="ABJ65" s="12"/>
      <c r="ABK65" s="12"/>
      <c r="ABL65" s="12"/>
      <c r="ABM65" s="12"/>
      <c r="ABN65" s="12"/>
      <c r="ABO65" s="12"/>
      <c r="ABP65" s="12"/>
      <c r="ABQ65" s="12"/>
      <c r="ABR65" s="12"/>
      <c r="ABS65" s="12"/>
      <c r="ABT65" s="12"/>
      <c r="ABU65" s="12"/>
      <c r="ABV65" s="12"/>
      <c r="ABW65" s="12"/>
      <c r="ABX65" s="12"/>
      <c r="ABY65" s="12"/>
      <c r="ABZ65" s="12"/>
      <c r="ACA65" s="12"/>
      <c r="ACB65" s="12"/>
      <c r="ACC65" s="12"/>
      <c r="ACD65" s="12"/>
      <c r="ACE65" s="12"/>
      <c r="ACF65" s="12"/>
      <c r="ACG65" s="12"/>
      <c r="ACH65" s="12"/>
      <c r="ACI65" s="12"/>
      <c r="ACJ65" s="12"/>
      <c r="ACK65" s="12"/>
      <c r="ACL65" s="12"/>
      <c r="ACM65" s="12"/>
      <c r="ACN65" s="12"/>
      <c r="ACO65" s="12"/>
      <c r="ACP65" s="12"/>
      <c r="ACQ65" s="12"/>
      <c r="ACR65" s="12"/>
      <c r="ACS65" s="12"/>
      <c r="ACT65" s="12"/>
      <c r="ACU65" s="12"/>
      <c r="ACV65" s="12"/>
      <c r="ACW65" s="12"/>
      <c r="ACX65" s="12"/>
      <c r="ACY65" s="12"/>
      <c r="ACZ65" s="12"/>
      <c r="ADA65" s="12"/>
      <c r="ADB65" s="12"/>
      <c r="ADC65" s="12"/>
      <c r="ADD65" s="12"/>
      <c r="ADE65" s="12"/>
      <c r="ADF65" s="12"/>
      <c r="ADG65" s="12"/>
      <c r="ADH65" s="12"/>
      <c r="ADI65" s="12"/>
      <c r="ADJ65" s="12"/>
      <c r="ADK65" s="12"/>
      <c r="ADL65" s="12"/>
      <c r="ADM65" s="12"/>
      <c r="ADN65" s="12"/>
      <c r="ADO65" s="12"/>
      <c r="ADP65" s="12"/>
      <c r="ADQ65" s="12"/>
      <c r="ADR65" s="12"/>
      <c r="ADS65" s="12"/>
      <c r="ADT65" s="12"/>
      <c r="ADU65" s="12"/>
      <c r="ADV65" s="12"/>
      <c r="ADW65" s="12"/>
      <c r="ADX65" s="12"/>
      <c r="ADY65" s="12"/>
      <c r="ADZ65" s="12"/>
      <c r="AEA65" s="12"/>
      <c r="AEB65" s="12"/>
      <c r="AEC65" s="12"/>
      <c r="AED65" s="12"/>
      <c r="AEE65" s="12"/>
      <c r="AEF65" s="12"/>
      <c r="AEG65" s="12"/>
      <c r="AEH65" s="12"/>
      <c r="AEI65" s="12"/>
      <c r="AEJ65" s="12"/>
      <c r="AEK65" s="12"/>
      <c r="AEL65" s="12"/>
      <c r="AEM65" s="12"/>
      <c r="AEN65" s="12"/>
      <c r="AEO65" s="12"/>
      <c r="AEP65" s="12"/>
      <c r="AEQ65" s="12"/>
      <c r="AER65" s="12"/>
      <c r="AES65" s="12"/>
      <c r="AET65" s="12"/>
      <c r="AEU65" s="12"/>
      <c r="AEV65" s="12"/>
    </row>
    <row r="66" spans="1:828" s="27" customFormat="1" ht="19" x14ac:dyDescent="0.2">
      <c r="A66" s="28" t="s">
        <v>60</v>
      </c>
      <c r="B66" s="26">
        <f t="shared" si="0"/>
        <v>9.8937990251460675E-3</v>
      </c>
      <c r="C66" s="23" t="s">
        <v>61</v>
      </c>
      <c r="D66" s="29">
        <f>1216+10</f>
        <v>1226</v>
      </c>
      <c r="E66" s="37">
        <f>G66/D74</f>
        <v>4.0349914458181346E-4</v>
      </c>
      <c r="F66" s="23" t="s">
        <v>62</v>
      </c>
      <c r="G66" s="29">
        <v>50</v>
      </c>
      <c r="H66" s="50">
        <f>SUM(J66:J67)/J74</f>
        <v>1.9516432286226346E-3</v>
      </c>
      <c r="I66" s="23" t="s">
        <v>63</v>
      </c>
      <c r="J66" s="29">
        <v>196</v>
      </c>
      <c r="K66" s="50">
        <f>M66/J74</f>
        <v>2.8037691453451934E-4</v>
      </c>
      <c r="L66" s="23" t="s">
        <v>64</v>
      </c>
      <c r="M66" s="29">
        <v>51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  <c r="IY66" s="12"/>
      <c r="IZ66" s="12"/>
      <c r="JA66" s="12"/>
      <c r="JB66" s="12"/>
      <c r="JC66" s="12"/>
      <c r="JD66" s="12"/>
      <c r="JE66" s="12"/>
      <c r="JF66" s="12"/>
      <c r="JG66" s="12"/>
      <c r="JH66" s="12"/>
      <c r="JI66" s="12"/>
      <c r="JJ66" s="12"/>
      <c r="JK66" s="12"/>
      <c r="JL66" s="12"/>
      <c r="JM66" s="12"/>
      <c r="JN66" s="12"/>
      <c r="JO66" s="12"/>
      <c r="JP66" s="12"/>
      <c r="JQ66" s="12"/>
      <c r="JR66" s="12"/>
      <c r="JS66" s="12"/>
      <c r="JT66" s="12"/>
      <c r="JU66" s="12"/>
      <c r="JV66" s="12"/>
      <c r="JW66" s="12"/>
      <c r="JX66" s="12"/>
      <c r="JY66" s="12"/>
      <c r="JZ66" s="12"/>
      <c r="KA66" s="12"/>
      <c r="KB66" s="12"/>
      <c r="KC66" s="12"/>
      <c r="KD66" s="12"/>
      <c r="KE66" s="12"/>
      <c r="KF66" s="12"/>
      <c r="KG66" s="12"/>
      <c r="KH66" s="12"/>
      <c r="KI66" s="12"/>
      <c r="KJ66" s="12"/>
      <c r="KK66" s="12"/>
      <c r="KL66" s="12"/>
      <c r="KM66" s="12"/>
      <c r="KN66" s="12"/>
      <c r="KO66" s="12"/>
      <c r="KP66" s="12"/>
      <c r="KQ66" s="12"/>
      <c r="KR66" s="12"/>
      <c r="KS66" s="12"/>
      <c r="KT66" s="12"/>
      <c r="KU66" s="12"/>
      <c r="KV66" s="12"/>
      <c r="KW66" s="12"/>
      <c r="KX66" s="12"/>
      <c r="KY66" s="12"/>
      <c r="KZ66" s="12"/>
      <c r="LA66" s="12"/>
      <c r="LB66" s="12"/>
      <c r="LC66" s="12"/>
      <c r="LD66" s="12"/>
      <c r="LE66" s="12"/>
      <c r="LF66" s="12"/>
      <c r="LG66" s="12"/>
      <c r="LH66" s="12"/>
      <c r="LI66" s="12"/>
      <c r="LJ66" s="12"/>
      <c r="LK66" s="12"/>
      <c r="LL66" s="12"/>
      <c r="LM66" s="12"/>
      <c r="LN66" s="12"/>
      <c r="LO66" s="12"/>
      <c r="LP66" s="12"/>
      <c r="LQ66" s="12"/>
      <c r="LR66" s="12"/>
      <c r="LS66" s="12"/>
      <c r="LT66" s="12"/>
      <c r="LU66" s="12"/>
      <c r="LV66" s="12"/>
      <c r="LW66" s="12"/>
      <c r="LX66" s="12"/>
      <c r="LY66" s="12"/>
      <c r="LZ66" s="12"/>
      <c r="MA66" s="12"/>
      <c r="MB66" s="12"/>
      <c r="MC66" s="12"/>
      <c r="MD66" s="12"/>
      <c r="ME66" s="12"/>
      <c r="MF66" s="12"/>
      <c r="MG66" s="12"/>
      <c r="MH66" s="12"/>
      <c r="MI66" s="12"/>
      <c r="MJ66" s="12"/>
      <c r="MK66" s="12"/>
      <c r="ML66" s="12"/>
      <c r="MM66" s="12"/>
      <c r="MN66" s="12"/>
      <c r="MO66" s="12"/>
      <c r="MP66" s="12"/>
      <c r="MQ66" s="12"/>
      <c r="MR66" s="12"/>
      <c r="MS66" s="12"/>
      <c r="MT66" s="12"/>
      <c r="MU66" s="12"/>
      <c r="MV66" s="12"/>
      <c r="MW66" s="12"/>
      <c r="MX66" s="12"/>
      <c r="MY66" s="12"/>
      <c r="MZ66" s="12"/>
      <c r="NA66" s="12"/>
      <c r="NB66" s="12"/>
      <c r="NC66" s="12"/>
      <c r="ND66" s="12"/>
      <c r="NE66" s="12"/>
      <c r="NF66" s="12"/>
      <c r="NG66" s="12"/>
      <c r="NH66" s="12"/>
      <c r="NI66" s="12"/>
      <c r="NJ66" s="12"/>
      <c r="NK66" s="12"/>
      <c r="NL66" s="12"/>
      <c r="NM66" s="12"/>
      <c r="NN66" s="12"/>
      <c r="NO66" s="12"/>
      <c r="NP66" s="12"/>
      <c r="NQ66" s="12"/>
      <c r="NR66" s="12"/>
      <c r="NS66" s="12"/>
      <c r="NT66" s="12"/>
      <c r="NU66" s="12"/>
      <c r="NV66" s="12"/>
      <c r="NW66" s="12"/>
      <c r="NX66" s="12"/>
      <c r="NY66" s="12"/>
      <c r="NZ66" s="12"/>
      <c r="OA66" s="12"/>
      <c r="OB66" s="12"/>
      <c r="OC66" s="12"/>
      <c r="OD66" s="12"/>
      <c r="OE66" s="12"/>
      <c r="OF66" s="12"/>
      <c r="OG66" s="12"/>
      <c r="OH66" s="12"/>
      <c r="OI66" s="12"/>
      <c r="OJ66" s="12"/>
      <c r="OK66" s="12"/>
      <c r="OL66" s="12"/>
      <c r="OM66" s="12"/>
      <c r="ON66" s="12"/>
      <c r="OO66" s="12"/>
      <c r="OP66" s="12"/>
      <c r="OQ66" s="12"/>
      <c r="OR66" s="12"/>
      <c r="OS66" s="12"/>
      <c r="OT66" s="12"/>
      <c r="OU66" s="12"/>
      <c r="OV66" s="12"/>
      <c r="OW66" s="12"/>
      <c r="OX66" s="12"/>
      <c r="OY66" s="12"/>
      <c r="OZ66" s="12"/>
      <c r="PA66" s="12"/>
      <c r="PB66" s="12"/>
      <c r="PC66" s="12"/>
      <c r="PD66" s="12"/>
      <c r="PE66" s="12"/>
      <c r="PF66" s="12"/>
      <c r="PG66" s="12"/>
      <c r="PH66" s="12"/>
      <c r="PI66" s="12"/>
      <c r="PJ66" s="12"/>
      <c r="PK66" s="12"/>
      <c r="PL66" s="12"/>
      <c r="PM66" s="12"/>
      <c r="PN66" s="12"/>
      <c r="PO66" s="12"/>
      <c r="PP66" s="12"/>
      <c r="PQ66" s="12"/>
      <c r="PR66" s="12"/>
      <c r="PS66" s="12"/>
      <c r="PT66" s="12"/>
      <c r="PU66" s="12"/>
      <c r="PV66" s="12"/>
      <c r="PW66" s="12"/>
      <c r="PX66" s="12"/>
      <c r="PY66" s="12"/>
      <c r="PZ66" s="12"/>
      <c r="QA66" s="12"/>
      <c r="QB66" s="12"/>
      <c r="QC66" s="12"/>
      <c r="QD66" s="12"/>
      <c r="QE66" s="12"/>
      <c r="QF66" s="12"/>
      <c r="QG66" s="12"/>
      <c r="QH66" s="12"/>
      <c r="QI66" s="12"/>
      <c r="QJ66" s="12"/>
      <c r="QK66" s="12"/>
      <c r="QL66" s="12"/>
      <c r="QM66" s="12"/>
      <c r="QN66" s="12"/>
      <c r="QO66" s="12"/>
      <c r="QP66" s="12"/>
      <c r="QQ66" s="12"/>
      <c r="QR66" s="12"/>
      <c r="QS66" s="12"/>
      <c r="QT66" s="12"/>
      <c r="QU66" s="12"/>
      <c r="QV66" s="12"/>
      <c r="QW66" s="12"/>
      <c r="QX66" s="12"/>
      <c r="QY66" s="12"/>
      <c r="QZ66" s="12"/>
      <c r="RA66" s="12"/>
      <c r="RB66" s="12"/>
      <c r="RC66" s="12"/>
      <c r="RD66" s="12"/>
      <c r="RE66" s="12"/>
      <c r="RF66" s="12"/>
      <c r="RG66" s="12"/>
      <c r="RH66" s="12"/>
      <c r="RI66" s="12"/>
      <c r="RJ66" s="12"/>
      <c r="RK66" s="12"/>
      <c r="RL66" s="12"/>
      <c r="RM66" s="12"/>
      <c r="RN66" s="12"/>
      <c r="RO66" s="12"/>
      <c r="RP66" s="12"/>
      <c r="RQ66" s="12"/>
      <c r="RR66" s="12"/>
      <c r="RS66" s="12"/>
      <c r="RT66" s="12"/>
      <c r="RU66" s="12"/>
      <c r="RV66" s="12"/>
      <c r="RW66" s="12"/>
      <c r="RX66" s="12"/>
      <c r="RY66" s="12"/>
      <c r="RZ66" s="12"/>
      <c r="SA66" s="12"/>
      <c r="SB66" s="12"/>
      <c r="SC66" s="12"/>
      <c r="SD66" s="12"/>
      <c r="SE66" s="12"/>
      <c r="SF66" s="12"/>
      <c r="SG66" s="12"/>
      <c r="SH66" s="12"/>
      <c r="SI66" s="12"/>
      <c r="SJ66" s="12"/>
      <c r="SK66" s="12"/>
      <c r="SL66" s="12"/>
      <c r="SM66" s="12"/>
      <c r="SN66" s="12"/>
      <c r="SO66" s="12"/>
      <c r="SP66" s="12"/>
      <c r="SQ66" s="12"/>
      <c r="SR66" s="12"/>
      <c r="SS66" s="12"/>
      <c r="ST66" s="12"/>
      <c r="SU66" s="12"/>
      <c r="SV66" s="12"/>
      <c r="SW66" s="12"/>
      <c r="SX66" s="12"/>
      <c r="SY66" s="12"/>
      <c r="SZ66" s="12"/>
      <c r="TA66" s="12"/>
      <c r="TB66" s="12"/>
      <c r="TC66" s="12"/>
      <c r="TD66" s="12"/>
      <c r="TE66" s="12"/>
      <c r="TF66" s="12"/>
      <c r="TG66" s="12"/>
      <c r="TH66" s="12"/>
      <c r="TI66" s="12"/>
      <c r="TJ66" s="12"/>
      <c r="TK66" s="12"/>
      <c r="TL66" s="12"/>
      <c r="TM66" s="12"/>
      <c r="TN66" s="12"/>
      <c r="TO66" s="12"/>
      <c r="TP66" s="12"/>
      <c r="TQ66" s="12"/>
      <c r="TR66" s="12"/>
      <c r="TS66" s="12"/>
      <c r="TT66" s="12"/>
      <c r="TU66" s="12"/>
      <c r="TV66" s="12"/>
      <c r="TW66" s="12"/>
      <c r="TX66" s="12"/>
      <c r="TY66" s="12"/>
      <c r="TZ66" s="12"/>
      <c r="UA66" s="12"/>
      <c r="UB66" s="12"/>
      <c r="UC66" s="12"/>
      <c r="UD66" s="12"/>
      <c r="UE66" s="12"/>
      <c r="UF66" s="12"/>
      <c r="UG66" s="12"/>
      <c r="UH66" s="12"/>
      <c r="UI66" s="12"/>
      <c r="UJ66" s="12"/>
      <c r="UK66" s="12"/>
      <c r="UL66" s="12"/>
      <c r="UM66" s="12"/>
      <c r="UN66" s="12"/>
      <c r="UO66" s="12"/>
      <c r="UP66" s="12"/>
      <c r="UQ66" s="12"/>
      <c r="UR66" s="12"/>
      <c r="US66" s="12"/>
      <c r="UT66" s="12"/>
      <c r="UU66" s="12"/>
      <c r="UV66" s="12"/>
      <c r="UW66" s="12"/>
      <c r="UX66" s="12"/>
      <c r="UY66" s="12"/>
      <c r="UZ66" s="12"/>
      <c r="VA66" s="12"/>
      <c r="VB66" s="12"/>
      <c r="VC66" s="12"/>
      <c r="VD66" s="12"/>
      <c r="VE66" s="12"/>
      <c r="VF66" s="12"/>
      <c r="VG66" s="12"/>
      <c r="VH66" s="12"/>
      <c r="VI66" s="12"/>
      <c r="VJ66" s="12"/>
      <c r="VK66" s="12"/>
      <c r="VL66" s="12"/>
      <c r="VM66" s="12"/>
      <c r="VN66" s="12"/>
      <c r="VO66" s="12"/>
      <c r="VP66" s="12"/>
      <c r="VQ66" s="12"/>
      <c r="VR66" s="12"/>
      <c r="VS66" s="12"/>
      <c r="VT66" s="12"/>
      <c r="VU66" s="12"/>
      <c r="VV66" s="12"/>
      <c r="VW66" s="12"/>
      <c r="VX66" s="12"/>
      <c r="VY66" s="12"/>
      <c r="VZ66" s="12"/>
      <c r="WA66" s="12"/>
      <c r="WB66" s="12"/>
      <c r="WC66" s="12"/>
      <c r="WD66" s="12"/>
      <c r="WE66" s="12"/>
      <c r="WF66" s="12"/>
      <c r="WG66" s="12"/>
      <c r="WH66" s="12"/>
      <c r="WI66" s="12"/>
      <c r="WJ66" s="12"/>
      <c r="WK66" s="12"/>
      <c r="WL66" s="12"/>
      <c r="WM66" s="12"/>
      <c r="WN66" s="12"/>
      <c r="WO66" s="12"/>
      <c r="WP66" s="12"/>
      <c r="WQ66" s="12"/>
      <c r="WR66" s="12"/>
      <c r="WS66" s="12"/>
      <c r="WT66" s="12"/>
      <c r="WU66" s="12"/>
      <c r="WV66" s="12"/>
      <c r="WW66" s="12"/>
      <c r="WX66" s="12"/>
      <c r="WY66" s="12"/>
      <c r="WZ66" s="12"/>
      <c r="XA66" s="12"/>
      <c r="XB66" s="12"/>
      <c r="XC66" s="12"/>
      <c r="XD66" s="12"/>
      <c r="XE66" s="12"/>
      <c r="XF66" s="12"/>
      <c r="XG66" s="12"/>
      <c r="XH66" s="12"/>
      <c r="XI66" s="12"/>
      <c r="XJ66" s="12"/>
      <c r="XK66" s="12"/>
      <c r="XL66" s="12"/>
      <c r="XM66" s="12"/>
      <c r="XN66" s="12"/>
      <c r="XO66" s="12"/>
      <c r="XP66" s="12"/>
      <c r="XQ66" s="12"/>
      <c r="XR66" s="12"/>
      <c r="XS66" s="12"/>
      <c r="XT66" s="12"/>
      <c r="XU66" s="12"/>
      <c r="XV66" s="12"/>
      <c r="XW66" s="12"/>
      <c r="XX66" s="12"/>
      <c r="XY66" s="12"/>
      <c r="XZ66" s="12"/>
      <c r="YA66" s="12"/>
      <c r="YB66" s="12"/>
      <c r="YC66" s="12"/>
      <c r="YD66" s="12"/>
      <c r="YE66" s="12"/>
      <c r="YF66" s="12"/>
      <c r="YG66" s="12"/>
      <c r="YH66" s="12"/>
      <c r="YI66" s="12"/>
      <c r="YJ66" s="12"/>
      <c r="YK66" s="12"/>
      <c r="YL66" s="12"/>
      <c r="YM66" s="12"/>
      <c r="YN66" s="12"/>
      <c r="YO66" s="12"/>
      <c r="YP66" s="12"/>
      <c r="YQ66" s="12"/>
      <c r="YR66" s="12"/>
      <c r="YS66" s="12"/>
      <c r="YT66" s="12"/>
      <c r="YU66" s="12"/>
      <c r="YV66" s="12"/>
      <c r="YW66" s="12"/>
      <c r="YX66" s="12"/>
      <c r="YY66" s="12"/>
      <c r="YZ66" s="12"/>
      <c r="ZA66" s="12"/>
      <c r="ZB66" s="12"/>
      <c r="ZC66" s="12"/>
      <c r="ZD66" s="12"/>
      <c r="ZE66" s="12"/>
      <c r="ZF66" s="12"/>
      <c r="ZG66" s="12"/>
      <c r="ZH66" s="12"/>
      <c r="ZI66" s="12"/>
      <c r="ZJ66" s="12"/>
      <c r="ZK66" s="12"/>
      <c r="ZL66" s="12"/>
      <c r="ZM66" s="12"/>
      <c r="ZN66" s="12"/>
      <c r="ZO66" s="12"/>
      <c r="ZP66" s="12"/>
      <c r="ZQ66" s="12"/>
      <c r="ZR66" s="12"/>
      <c r="ZS66" s="12"/>
      <c r="ZT66" s="12"/>
      <c r="ZU66" s="12"/>
      <c r="ZV66" s="12"/>
      <c r="ZW66" s="12"/>
      <c r="ZX66" s="12"/>
      <c r="ZY66" s="12"/>
      <c r="ZZ66" s="12"/>
      <c r="AAA66" s="12"/>
      <c r="AAB66" s="12"/>
      <c r="AAC66" s="12"/>
      <c r="AAD66" s="12"/>
      <c r="AAE66" s="12"/>
      <c r="AAF66" s="12"/>
      <c r="AAG66" s="12"/>
      <c r="AAH66" s="12"/>
      <c r="AAI66" s="12"/>
      <c r="AAJ66" s="12"/>
      <c r="AAK66" s="12"/>
      <c r="AAL66" s="12"/>
      <c r="AAM66" s="12"/>
      <c r="AAN66" s="12"/>
      <c r="AAO66" s="12"/>
      <c r="AAP66" s="12"/>
      <c r="AAQ66" s="12"/>
      <c r="AAR66" s="12"/>
      <c r="AAS66" s="12"/>
      <c r="AAT66" s="12"/>
      <c r="AAU66" s="12"/>
      <c r="AAV66" s="12"/>
      <c r="AAW66" s="12"/>
      <c r="AAX66" s="12"/>
      <c r="AAY66" s="12"/>
      <c r="AAZ66" s="12"/>
      <c r="ABA66" s="12"/>
      <c r="ABB66" s="12"/>
      <c r="ABC66" s="12"/>
      <c r="ABD66" s="12"/>
      <c r="ABE66" s="12"/>
      <c r="ABF66" s="12"/>
      <c r="ABG66" s="12"/>
      <c r="ABH66" s="12"/>
      <c r="ABI66" s="12"/>
      <c r="ABJ66" s="12"/>
      <c r="ABK66" s="12"/>
      <c r="ABL66" s="12"/>
      <c r="ABM66" s="12"/>
      <c r="ABN66" s="12"/>
      <c r="ABO66" s="12"/>
      <c r="ABP66" s="12"/>
      <c r="ABQ66" s="12"/>
      <c r="ABR66" s="12"/>
      <c r="ABS66" s="12"/>
      <c r="ABT66" s="12"/>
      <c r="ABU66" s="12"/>
      <c r="ABV66" s="12"/>
      <c r="ABW66" s="12"/>
      <c r="ABX66" s="12"/>
      <c r="ABY66" s="12"/>
      <c r="ABZ66" s="12"/>
      <c r="ACA66" s="12"/>
      <c r="ACB66" s="12"/>
      <c r="ACC66" s="12"/>
      <c r="ACD66" s="12"/>
      <c r="ACE66" s="12"/>
      <c r="ACF66" s="12"/>
      <c r="ACG66" s="12"/>
      <c r="ACH66" s="12"/>
      <c r="ACI66" s="12"/>
      <c r="ACJ66" s="12"/>
      <c r="ACK66" s="12"/>
      <c r="ACL66" s="12"/>
      <c r="ACM66" s="12"/>
      <c r="ACN66" s="12"/>
      <c r="ACO66" s="12"/>
      <c r="ACP66" s="12"/>
      <c r="ACQ66" s="12"/>
      <c r="ACR66" s="12"/>
      <c r="ACS66" s="12"/>
      <c r="ACT66" s="12"/>
      <c r="ACU66" s="12"/>
      <c r="ACV66" s="12"/>
      <c r="ACW66" s="12"/>
      <c r="ACX66" s="12"/>
      <c r="ACY66" s="12"/>
      <c r="ACZ66" s="12"/>
      <c r="ADA66" s="12"/>
      <c r="ADB66" s="12"/>
      <c r="ADC66" s="12"/>
      <c r="ADD66" s="12"/>
      <c r="ADE66" s="12"/>
      <c r="ADF66" s="12"/>
      <c r="ADG66" s="12"/>
      <c r="ADH66" s="12"/>
      <c r="ADI66" s="12"/>
      <c r="ADJ66" s="12"/>
      <c r="ADK66" s="12"/>
      <c r="ADL66" s="12"/>
      <c r="ADM66" s="12"/>
      <c r="ADN66" s="12"/>
      <c r="ADO66" s="12"/>
      <c r="ADP66" s="12"/>
      <c r="ADQ66" s="12"/>
      <c r="ADR66" s="12"/>
      <c r="ADS66" s="12"/>
      <c r="ADT66" s="12"/>
      <c r="ADU66" s="12"/>
      <c r="ADV66" s="12"/>
      <c r="ADW66" s="12"/>
      <c r="ADX66" s="12"/>
      <c r="ADY66" s="12"/>
      <c r="ADZ66" s="12"/>
      <c r="AEA66" s="12"/>
      <c r="AEB66" s="12"/>
      <c r="AEC66" s="12"/>
      <c r="AED66" s="12"/>
      <c r="AEE66" s="12"/>
      <c r="AEF66" s="12"/>
      <c r="AEG66" s="12"/>
      <c r="AEH66" s="12"/>
      <c r="AEI66" s="12"/>
      <c r="AEJ66" s="12"/>
      <c r="AEK66" s="12"/>
      <c r="AEL66" s="12"/>
      <c r="AEM66" s="12"/>
      <c r="AEN66" s="12"/>
      <c r="AEO66" s="12"/>
      <c r="AEP66" s="12"/>
      <c r="AEQ66" s="12"/>
      <c r="AER66" s="12"/>
      <c r="AES66" s="12"/>
      <c r="AET66" s="12"/>
      <c r="AEU66" s="12"/>
      <c r="AEV66" s="12"/>
    </row>
    <row r="67" spans="1:828" s="27" customFormat="1" ht="18" x14ac:dyDescent="0.2">
      <c r="A67" s="68"/>
      <c r="B67" s="30"/>
      <c r="D67" s="29"/>
      <c r="E67" s="23"/>
      <c r="F67" s="23"/>
      <c r="G67" s="23"/>
      <c r="H67" s="30"/>
      <c r="I67" s="23" t="s">
        <v>65</v>
      </c>
      <c r="J67" s="29">
        <v>159</v>
      </c>
      <c r="K67" s="30"/>
      <c r="L67" s="23"/>
      <c r="M67" s="29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  <c r="IY67" s="12"/>
      <c r="IZ67" s="12"/>
      <c r="JA67" s="12"/>
      <c r="JB67" s="12"/>
      <c r="JC67" s="12"/>
      <c r="JD67" s="12"/>
      <c r="JE67" s="12"/>
      <c r="JF67" s="12"/>
      <c r="JG67" s="12"/>
      <c r="JH67" s="12"/>
      <c r="JI67" s="12"/>
      <c r="JJ67" s="12"/>
      <c r="JK67" s="12"/>
      <c r="JL67" s="12"/>
      <c r="JM67" s="12"/>
      <c r="JN67" s="12"/>
      <c r="JO67" s="12"/>
      <c r="JP67" s="12"/>
      <c r="JQ67" s="12"/>
      <c r="JR67" s="12"/>
      <c r="JS67" s="12"/>
      <c r="JT67" s="12"/>
      <c r="JU67" s="12"/>
      <c r="JV67" s="12"/>
      <c r="JW67" s="12"/>
      <c r="JX67" s="12"/>
      <c r="JY67" s="12"/>
      <c r="JZ67" s="12"/>
      <c r="KA67" s="12"/>
      <c r="KB67" s="12"/>
      <c r="KC67" s="12"/>
      <c r="KD67" s="12"/>
      <c r="KE67" s="12"/>
      <c r="KF67" s="12"/>
      <c r="KG67" s="12"/>
      <c r="KH67" s="12"/>
      <c r="KI67" s="12"/>
      <c r="KJ67" s="12"/>
      <c r="KK67" s="12"/>
      <c r="KL67" s="12"/>
      <c r="KM67" s="12"/>
      <c r="KN67" s="12"/>
      <c r="KO67" s="12"/>
      <c r="KP67" s="12"/>
      <c r="KQ67" s="12"/>
      <c r="KR67" s="12"/>
      <c r="KS67" s="12"/>
      <c r="KT67" s="12"/>
      <c r="KU67" s="12"/>
      <c r="KV67" s="12"/>
      <c r="KW67" s="12"/>
      <c r="KX67" s="12"/>
      <c r="KY67" s="12"/>
      <c r="KZ67" s="12"/>
      <c r="LA67" s="12"/>
      <c r="LB67" s="12"/>
      <c r="LC67" s="12"/>
      <c r="LD67" s="12"/>
      <c r="LE67" s="12"/>
      <c r="LF67" s="12"/>
      <c r="LG67" s="12"/>
      <c r="LH67" s="12"/>
      <c r="LI67" s="12"/>
      <c r="LJ67" s="12"/>
      <c r="LK67" s="12"/>
      <c r="LL67" s="12"/>
      <c r="LM67" s="12"/>
      <c r="LN67" s="12"/>
      <c r="LO67" s="12"/>
      <c r="LP67" s="12"/>
      <c r="LQ67" s="12"/>
      <c r="LR67" s="12"/>
      <c r="LS67" s="12"/>
      <c r="LT67" s="12"/>
      <c r="LU67" s="12"/>
      <c r="LV67" s="12"/>
      <c r="LW67" s="12"/>
      <c r="LX67" s="12"/>
      <c r="LY67" s="12"/>
      <c r="LZ67" s="12"/>
      <c r="MA67" s="12"/>
      <c r="MB67" s="12"/>
      <c r="MC67" s="12"/>
      <c r="MD67" s="12"/>
      <c r="ME67" s="12"/>
      <c r="MF67" s="12"/>
      <c r="MG67" s="12"/>
      <c r="MH67" s="12"/>
      <c r="MI67" s="12"/>
      <c r="MJ67" s="12"/>
      <c r="MK67" s="12"/>
      <c r="ML67" s="12"/>
      <c r="MM67" s="12"/>
      <c r="MN67" s="12"/>
      <c r="MO67" s="12"/>
      <c r="MP67" s="12"/>
      <c r="MQ67" s="12"/>
      <c r="MR67" s="12"/>
      <c r="MS67" s="12"/>
      <c r="MT67" s="12"/>
      <c r="MU67" s="12"/>
      <c r="MV67" s="12"/>
      <c r="MW67" s="12"/>
      <c r="MX67" s="12"/>
      <c r="MY67" s="12"/>
      <c r="MZ67" s="12"/>
      <c r="NA67" s="12"/>
      <c r="NB67" s="12"/>
      <c r="NC67" s="12"/>
      <c r="ND67" s="12"/>
      <c r="NE67" s="12"/>
      <c r="NF67" s="12"/>
      <c r="NG67" s="12"/>
      <c r="NH67" s="12"/>
      <c r="NI67" s="12"/>
      <c r="NJ67" s="12"/>
      <c r="NK67" s="12"/>
      <c r="NL67" s="12"/>
      <c r="NM67" s="12"/>
      <c r="NN67" s="12"/>
      <c r="NO67" s="12"/>
      <c r="NP67" s="12"/>
      <c r="NQ67" s="12"/>
      <c r="NR67" s="12"/>
      <c r="NS67" s="12"/>
      <c r="NT67" s="12"/>
      <c r="NU67" s="12"/>
      <c r="NV67" s="12"/>
      <c r="NW67" s="12"/>
      <c r="NX67" s="12"/>
      <c r="NY67" s="12"/>
      <c r="NZ67" s="12"/>
      <c r="OA67" s="12"/>
      <c r="OB67" s="12"/>
      <c r="OC67" s="12"/>
      <c r="OD67" s="12"/>
      <c r="OE67" s="12"/>
      <c r="OF67" s="12"/>
      <c r="OG67" s="12"/>
      <c r="OH67" s="12"/>
      <c r="OI67" s="12"/>
      <c r="OJ67" s="12"/>
      <c r="OK67" s="12"/>
      <c r="OL67" s="12"/>
      <c r="OM67" s="12"/>
      <c r="ON67" s="12"/>
      <c r="OO67" s="12"/>
      <c r="OP67" s="12"/>
      <c r="OQ67" s="12"/>
      <c r="OR67" s="12"/>
      <c r="OS67" s="12"/>
      <c r="OT67" s="12"/>
      <c r="OU67" s="12"/>
      <c r="OV67" s="12"/>
      <c r="OW67" s="12"/>
      <c r="OX67" s="12"/>
      <c r="OY67" s="12"/>
      <c r="OZ67" s="12"/>
      <c r="PA67" s="12"/>
      <c r="PB67" s="12"/>
      <c r="PC67" s="12"/>
      <c r="PD67" s="12"/>
      <c r="PE67" s="12"/>
      <c r="PF67" s="12"/>
      <c r="PG67" s="12"/>
      <c r="PH67" s="12"/>
      <c r="PI67" s="12"/>
      <c r="PJ67" s="12"/>
      <c r="PK67" s="12"/>
      <c r="PL67" s="12"/>
      <c r="PM67" s="12"/>
      <c r="PN67" s="12"/>
      <c r="PO67" s="12"/>
      <c r="PP67" s="12"/>
      <c r="PQ67" s="12"/>
      <c r="PR67" s="12"/>
      <c r="PS67" s="12"/>
      <c r="PT67" s="12"/>
      <c r="PU67" s="12"/>
      <c r="PV67" s="12"/>
      <c r="PW67" s="12"/>
      <c r="PX67" s="12"/>
      <c r="PY67" s="12"/>
      <c r="PZ67" s="12"/>
      <c r="QA67" s="12"/>
      <c r="QB67" s="12"/>
      <c r="QC67" s="12"/>
      <c r="QD67" s="12"/>
      <c r="QE67" s="12"/>
      <c r="QF67" s="12"/>
      <c r="QG67" s="12"/>
      <c r="QH67" s="12"/>
      <c r="QI67" s="12"/>
      <c r="QJ67" s="12"/>
      <c r="QK67" s="12"/>
      <c r="QL67" s="12"/>
      <c r="QM67" s="12"/>
      <c r="QN67" s="12"/>
      <c r="QO67" s="12"/>
      <c r="QP67" s="12"/>
      <c r="QQ67" s="12"/>
      <c r="QR67" s="12"/>
      <c r="QS67" s="12"/>
      <c r="QT67" s="12"/>
      <c r="QU67" s="12"/>
      <c r="QV67" s="12"/>
      <c r="QW67" s="12"/>
      <c r="QX67" s="12"/>
      <c r="QY67" s="12"/>
      <c r="QZ67" s="12"/>
      <c r="RA67" s="12"/>
      <c r="RB67" s="12"/>
      <c r="RC67" s="12"/>
      <c r="RD67" s="12"/>
      <c r="RE67" s="12"/>
      <c r="RF67" s="12"/>
      <c r="RG67" s="12"/>
      <c r="RH67" s="12"/>
      <c r="RI67" s="12"/>
      <c r="RJ67" s="12"/>
      <c r="RK67" s="12"/>
      <c r="RL67" s="12"/>
      <c r="RM67" s="12"/>
      <c r="RN67" s="12"/>
      <c r="RO67" s="12"/>
      <c r="RP67" s="12"/>
      <c r="RQ67" s="12"/>
      <c r="RR67" s="12"/>
      <c r="RS67" s="12"/>
      <c r="RT67" s="12"/>
      <c r="RU67" s="12"/>
      <c r="RV67" s="12"/>
      <c r="RW67" s="12"/>
      <c r="RX67" s="12"/>
      <c r="RY67" s="12"/>
      <c r="RZ67" s="12"/>
      <c r="SA67" s="12"/>
      <c r="SB67" s="12"/>
      <c r="SC67" s="12"/>
      <c r="SD67" s="12"/>
      <c r="SE67" s="12"/>
      <c r="SF67" s="12"/>
      <c r="SG67" s="12"/>
      <c r="SH67" s="12"/>
      <c r="SI67" s="12"/>
      <c r="SJ67" s="12"/>
      <c r="SK67" s="12"/>
      <c r="SL67" s="12"/>
      <c r="SM67" s="12"/>
      <c r="SN67" s="12"/>
      <c r="SO67" s="12"/>
      <c r="SP67" s="12"/>
      <c r="SQ67" s="12"/>
      <c r="SR67" s="12"/>
      <c r="SS67" s="12"/>
      <c r="ST67" s="12"/>
      <c r="SU67" s="12"/>
      <c r="SV67" s="12"/>
      <c r="SW67" s="12"/>
      <c r="SX67" s="12"/>
      <c r="SY67" s="12"/>
      <c r="SZ67" s="12"/>
      <c r="TA67" s="12"/>
      <c r="TB67" s="12"/>
      <c r="TC67" s="12"/>
      <c r="TD67" s="12"/>
      <c r="TE67" s="12"/>
      <c r="TF67" s="12"/>
      <c r="TG67" s="12"/>
      <c r="TH67" s="12"/>
      <c r="TI67" s="12"/>
      <c r="TJ67" s="12"/>
      <c r="TK67" s="12"/>
      <c r="TL67" s="12"/>
      <c r="TM67" s="12"/>
      <c r="TN67" s="12"/>
      <c r="TO67" s="12"/>
      <c r="TP67" s="12"/>
      <c r="TQ67" s="12"/>
      <c r="TR67" s="12"/>
      <c r="TS67" s="12"/>
      <c r="TT67" s="12"/>
      <c r="TU67" s="12"/>
      <c r="TV67" s="12"/>
      <c r="TW67" s="12"/>
      <c r="TX67" s="12"/>
      <c r="TY67" s="12"/>
      <c r="TZ67" s="12"/>
      <c r="UA67" s="12"/>
      <c r="UB67" s="12"/>
      <c r="UC67" s="12"/>
      <c r="UD67" s="12"/>
      <c r="UE67" s="12"/>
      <c r="UF67" s="12"/>
      <c r="UG67" s="12"/>
      <c r="UH67" s="12"/>
      <c r="UI67" s="12"/>
      <c r="UJ67" s="12"/>
      <c r="UK67" s="12"/>
      <c r="UL67" s="12"/>
      <c r="UM67" s="12"/>
      <c r="UN67" s="12"/>
      <c r="UO67" s="12"/>
      <c r="UP67" s="12"/>
      <c r="UQ67" s="12"/>
      <c r="UR67" s="12"/>
      <c r="US67" s="12"/>
      <c r="UT67" s="12"/>
      <c r="UU67" s="12"/>
      <c r="UV67" s="12"/>
      <c r="UW67" s="12"/>
      <c r="UX67" s="12"/>
      <c r="UY67" s="12"/>
      <c r="UZ67" s="12"/>
      <c r="VA67" s="12"/>
      <c r="VB67" s="12"/>
      <c r="VC67" s="12"/>
      <c r="VD67" s="12"/>
      <c r="VE67" s="12"/>
      <c r="VF67" s="12"/>
      <c r="VG67" s="12"/>
      <c r="VH67" s="12"/>
      <c r="VI67" s="12"/>
      <c r="VJ67" s="12"/>
      <c r="VK67" s="12"/>
      <c r="VL67" s="12"/>
      <c r="VM67" s="12"/>
      <c r="VN67" s="12"/>
      <c r="VO67" s="12"/>
      <c r="VP67" s="12"/>
      <c r="VQ67" s="12"/>
      <c r="VR67" s="12"/>
      <c r="VS67" s="12"/>
      <c r="VT67" s="12"/>
      <c r="VU67" s="12"/>
      <c r="VV67" s="12"/>
      <c r="VW67" s="12"/>
      <c r="VX67" s="12"/>
      <c r="VY67" s="12"/>
      <c r="VZ67" s="12"/>
      <c r="WA67" s="12"/>
      <c r="WB67" s="12"/>
      <c r="WC67" s="12"/>
      <c r="WD67" s="12"/>
      <c r="WE67" s="12"/>
      <c r="WF67" s="12"/>
      <c r="WG67" s="12"/>
      <c r="WH67" s="12"/>
      <c r="WI67" s="12"/>
      <c r="WJ67" s="12"/>
      <c r="WK67" s="12"/>
      <c r="WL67" s="12"/>
      <c r="WM67" s="12"/>
      <c r="WN67" s="12"/>
      <c r="WO67" s="12"/>
      <c r="WP67" s="12"/>
      <c r="WQ67" s="12"/>
      <c r="WR67" s="12"/>
      <c r="WS67" s="12"/>
      <c r="WT67" s="12"/>
      <c r="WU67" s="12"/>
      <c r="WV67" s="12"/>
      <c r="WW67" s="12"/>
      <c r="WX67" s="12"/>
      <c r="WY67" s="12"/>
      <c r="WZ67" s="12"/>
      <c r="XA67" s="12"/>
      <c r="XB67" s="12"/>
      <c r="XC67" s="12"/>
      <c r="XD67" s="12"/>
      <c r="XE67" s="12"/>
      <c r="XF67" s="12"/>
      <c r="XG67" s="12"/>
      <c r="XH67" s="12"/>
      <c r="XI67" s="12"/>
      <c r="XJ67" s="12"/>
      <c r="XK67" s="12"/>
      <c r="XL67" s="12"/>
      <c r="XM67" s="12"/>
      <c r="XN67" s="12"/>
      <c r="XO67" s="12"/>
      <c r="XP67" s="12"/>
      <c r="XQ67" s="12"/>
      <c r="XR67" s="12"/>
      <c r="XS67" s="12"/>
      <c r="XT67" s="12"/>
      <c r="XU67" s="12"/>
      <c r="XV67" s="12"/>
      <c r="XW67" s="12"/>
      <c r="XX67" s="12"/>
      <c r="XY67" s="12"/>
      <c r="XZ67" s="12"/>
      <c r="YA67" s="12"/>
      <c r="YB67" s="12"/>
      <c r="YC67" s="12"/>
      <c r="YD67" s="12"/>
      <c r="YE67" s="12"/>
      <c r="YF67" s="12"/>
      <c r="YG67" s="12"/>
      <c r="YH67" s="12"/>
      <c r="YI67" s="12"/>
      <c r="YJ67" s="12"/>
      <c r="YK67" s="12"/>
      <c r="YL67" s="12"/>
      <c r="YM67" s="12"/>
      <c r="YN67" s="12"/>
      <c r="YO67" s="12"/>
      <c r="YP67" s="12"/>
      <c r="YQ67" s="12"/>
      <c r="YR67" s="12"/>
      <c r="YS67" s="12"/>
      <c r="YT67" s="12"/>
      <c r="YU67" s="12"/>
      <c r="YV67" s="12"/>
      <c r="YW67" s="12"/>
      <c r="YX67" s="12"/>
      <c r="YY67" s="12"/>
      <c r="YZ67" s="12"/>
      <c r="ZA67" s="12"/>
      <c r="ZB67" s="12"/>
      <c r="ZC67" s="12"/>
      <c r="ZD67" s="12"/>
      <c r="ZE67" s="12"/>
      <c r="ZF67" s="12"/>
      <c r="ZG67" s="12"/>
      <c r="ZH67" s="12"/>
      <c r="ZI67" s="12"/>
      <c r="ZJ67" s="12"/>
      <c r="ZK67" s="12"/>
      <c r="ZL67" s="12"/>
      <c r="ZM67" s="12"/>
      <c r="ZN67" s="12"/>
      <c r="ZO67" s="12"/>
      <c r="ZP67" s="12"/>
      <c r="ZQ67" s="12"/>
      <c r="ZR67" s="12"/>
      <c r="ZS67" s="12"/>
      <c r="ZT67" s="12"/>
      <c r="ZU67" s="12"/>
      <c r="ZV67" s="12"/>
      <c r="ZW67" s="12"/>
      <c r="ZX67" s="12"/>
      <c r="ZY67" s="12"/>
      <c r="ZZ67" s="12"/>
      <c r="AAA67" s="12"/>
      <c r="AAB67" s="12"/>
      <c r="AAC67" s="12"/>
      <c r="AAD67" s="12"/>
      <c r="AAE67" s="12"/>
      <c r="AAF67" s="12"/>
      <c r="AAG67" s="12"/>
      <c r="AAH67" s="12"/>
      <c r="AAI67" s="12"/>
      <c r="AAJ67" s="12"/>
      <c r="AAK67" s="12"/>
      <c r="AAL67" s="12"/>
      <c r="AAM67" s="12"/>
      <c r="AAN67" s="12"/>
      <c r="AAO67" s="12"/>
      <c r="AAP67" s="12"/>
      <c r="AAQ67" s="12"/>
      <c r="AAR67" s="12"/>
      <c r="AAS67" s="12"/>
      <c r="AAT67" s="12"/>
      <c r="AAU67" s="12"/>
      <c r="AAV67" s="12"/>
      <c r="AAW67" s="12"/>
      <c r="AAX67" s="12"/>
      <c r="AAY67" s="12"/>
      <c r="AAZ67" s="12"/>
      <c r="ABA67" s="12"/>
      <c r="ABB67" s="12"/>
      <c r="ABC67" s="12"/>
      <c r="ABD67" s="12"/>
      <c r="ABE67" s="12"/>
      <c r="ABF67" s="12"/>
      <c r="ABG67" s="12"/>
      <c r="ABH67" s="12"/>
      <c r="ABI67" s="12"/>
      <c r="ABJ67" s="12"/>
      <c r="ABK67" s="12"/>
      <c r="ABL67" s="12"/>
      <c r="ABM67" s="12"/>
      <c r="ABN67" s="12"/>
      <c r="ABO67" s="12"/>
      <c r="ABP67" s="12"/>
      <c r="ABQ67" s="12"/>
      <c r="ABR67" s="12"/>
      <c r="ABS67" s="12"/>
      <c r="ABT67" s="12"/>
      <c r="ABU67" s="12"/>
      <c r="ABV67" s="12"/>
      <c r="ABW67" s="12"/>
      <c r="ABX67" s="12"/>
      <c r="ABY67" s="12"/>
      <c r="ABZ67" s="12"/>
      <c r="ACA67" s="12"/>
      <c r="ACB67" s="12"/>
      <c r="ACC67" s="12"/>
      <c r="ACD67" s="12"/>
      <c r="ACE67" s="12"/>
      <c r="ACF67" s="12"/>
      <c r="ACG67" s="12"/>
      <c r="ACH67" s="12"/>
      <c r="ACI67" s="12"/>
      <c r="ACJ67" s="12"/>
      <c r="ACK67" s="12"/>
      <c r="ACL67" s="12"/>
      <c r="ACM67" s="12"/>
      <c r="ACN67" s="12"/>
      <c r="ACO67" s="12"/>
      <c r="ACP67" s="12"/>
      <c r="ACQ67" s="12"/>
      <c r="ACR67" s="12"/>
      <c r="ACS67" s="12"/>
      <c r="ACT67" s="12"/>
      <c r="ACU67" s="12"/>
      <c r="ACV67" s="12"/>
      <c r="ACW67" s="12"/>
      <c r="ACX67" s="12"/>
      <c r="ACY67" s="12"/>
      <c r="ACZ67" s="12"/>
      <c r="ADA67" s="12"/>
      <c r="ADB67" s="12"/>
      <c r="ADC67" s="12"/>
      <c r="ADD67" s="12"/>
      <c r="ADE67" s="12"/>
      <c r="ADF67" s="12"/>
      <c r="ADG67" s="12"/>
      <c r="ADH67" s="12"/>
      <c r="ADI67" s="12"/>
      <c r="ADJ67" s="12"/>
      <c r="ADK67" s="12"/>
      <c r="ADL67" s="12"/>
      <c r="ADM67" s="12"/>
      <c r="ADN67" s="12"/>
      <c r="ADO67" s="12"/>
      <c r="ADP67" s="12"/>
      <c r="ADQ67" s="12"/>
      <c r="ADR67" s="12"/>
      <c r="ADS67" s="12"/>
      <c r="ADT67" s="12"/>
      <c r="ADU67" s="12"/>
      <c r="ADV67" s="12"/>
      <c r="ADW67" s="12"/>
      <c r="ADX67" s="12"/>
      <c r="ADY67" s="12"/>
      <c r="ADZ67" s="12"/>
      <c r="AEA67" s="12"/>
      <c r="AEB67" s="12"/>
      <c r="AEC67" s="12"/>
      <c r="AED67" s="12"/>
      <c r="AEE67" s="12"/>
      <c r="AEF67" s="12"/>
      <c r="AEG67" s="12"/>
      <c r="AEH67" s="12"/>
      <c r="AEI67" s="12"/>
      <c r="AEJ67" s="12"/>
      <c r="AEK67" s="12"/>
      <c r="AEL67" s="12"/>
      <c r="AEM67" s="12"/>
      <c r="AEN67" s="12"/>
      <c r="AEO67" s="12"/>
      <c r="AEP67" s="12"/>
      <c r="AEQ67" s="12"/>
      <c r="AER67" s="12"/>
      <c r="AES67" s="12"/>
      <c r="AET67" s="12"/>
      <c r="AEU67" s="12"/>
      <c r="AEV67" s="12"/>
    </row>
    <row r="68" spans="1:828" s="27" customFormat="1" ht="18" x14ac:dyDescent="0.2">
      <c r="A68" s="68"/>
      <c r="B68" s="30"/>
      <c r="C68" s="23"/>
      <c r="D68" s="29"/>
      <c r="E68" s="23"/>
      <c r="F68" s="23"/>
      <c r="G68" s="23"/>
      <c r="H68" s="30"/>
      <c r="I68" s="23"/>
      <c r="J68" s="29"/>
      <c r="K68" s="30"/>
      <c r="L68" s="23"/>
      <c r="M68" s="29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  <c r="IY68" s="12"/>
      <c r="IZ68" s="12"/>
      <c r="JA68" s="12"/>
      <c r="JB68" s="12"/>
      <c r="JC68" s="12"/>
      <c r="JD68" s="12"/>
      <c r="JE68" s="12"/>
      <c r="JF68" s="12"/>
      <c r="JG68" s="12"/>
      <c r="JH68" s="12"/>
      <c r="JI68" s="12"/>
      <c r="JJ68" s="12"/>
      <c r="JK68" s="12"/>
      <c r="JL68" s="12"/>
      <c r="JM68" s="12"/>
      <c r="JN68" s="12"/>
      <c r="JO68" s="12"/>
      <c r="JP68" s="12"/>
      <c r="JQ68" s="12"/>
      <c r="JR68" s="12"/>
      <c r="JS68" s="12"/>
      <c r="JT68" s="12"/>
      <c r="JU68" s="12"/>
      <c r="JV68" s="12"/>
      <c r="JW68" s="12"/>
      <c r="JX68" s="12"/>
      <c r="JY68" s="12"/>
      <c r="JZ68" s="12"/>
      <c r="KA68" s="12"/>
      <c r="KB68" s="12"/>
      <c r="KC68" s="12"/>
      <c r="KD68" s="12"/>
      <c r="KE68" s="12"/>
      <c r="KF68" s="12"/>
      <c r="KG68" s="12"/>
      <c r="KH68" s="12"/>
      <c r="KI68" s="12"/>
      <c r="KJ68" s="12"/>
      <c r="KK68" s="12"/>
      <c r="KL68" s="12"/>
      <c r="KM68" s="12"/>
      <c r="KN68" s="12"/>
      <c r="KO68" s="12"/>
      <c r="KP68" s="12"/>
      <c r="KQ68" s="12"/>
      <c r="KR68" s="12"/>
      <c r="KS68" s="12"/>
      <c r="KT68" s="12"/>
      <c r="KU68" s="12"/>
      <c r="KV68" s="12"/>
      <c r="KW68" s="12"/>
      <c r="KX68" s="12"/>
      <c r="KY68" s="12"/>
      <c r="KZ68" s="12"/>
      <c r="LA68" s="12"/>
      <c r="LB68" s="12"/>
      <c r="LC68" s="12"/>
      <c r="LD68" s="12"/>
      <c r="LE68" s="12"/>
      <c r="LF68" s="12"/>
      <c r="LG68" s="12"/>
      <c r="LH68" s="12"/>
      <c r="LI68" s="12"/>
      <c r="LJ68" s="12"/>
      <c r="LK68" s="12"/>
      <c r="LL68" s="12"/>
      <c r="LM68" s="12"/>
      <c r="LN68" s="12"/>
      <c r="LO68" s="12"/>
      <c r="LP68" s="12"/>
      <c r="LQ68" s="12"/>
      <c r="LR68" s="12"/>
      <c r="LS68" s="12"/>
      <c r="LT68" s="12"/>
      <c r="LU68" s="12"/>
      <c r="LV68" s="12"/>
      <c r="LW68" s="12"/>
      <c r="LX68" s="12"/>
      <c r="LY68" s="12"/>
      <c r="LZ68" s="12"/>
      <c r="MA68" s="12"/>
      <c r="MB68" s="12"/>
      <c r="MC68" s="12"/>
      <c r="MD68" s="12"/>
      <c r="ME68" s="12"/>
      <c r="MF68" s="12"/>
      <c r="MG68" s="12"/>
      <c r="MH68" s="12"/>
      <c r="MI68" s="12"/>
      <c r="MJ68" s="12"/>
      <c r="MK68" s="12"/>
      <c r="ML68" s="12"/>
      <c r="MM68" s="12"/>
      <c r="MN68" s="12"/>
      <c r="MO68" s="12"/>
      <c r="MP68" s="12"/>
      <c r="MQ68" s="12"/>
      <c r="MR68" s="12"/>
      <c r="MS68" s="12"/>
      <c r="MT68" s="12"/>
      <c r="MU68" s="12"/>
      <c r="MV68" s="12"/>
      <c r="MW68" s="12"/>
      <c r="MX68" s="12"/>
      <c r="MY68" s="12"/>
      <c r="MZ68" s="12"/>
      <c r="NA68" s="12"/>
      <c r="NB68" s="12"/>
      <c r="NC68" s="12"/>
      <c r="ND68" s="12"/>
      <c r="NE68" s="12"/>
      <c r="NF68" s="12"/>
      <c r="NG68" s="12"/>
      <c r="NH68" s="12"/>
      <c r="NI68" s="12"/>
      <c r="NJ68" s="12"/>
      <c r="NK68" s="12"/>
      <c r="NL68" s="12"/>
      <c r="NM68" s="12"/>
      <c r="NN68" s="12"/>
      <c r="NO68" s="12"/>
      <c r="NP68" s="12"/>
      <c r="NQ68" s="12"/>
      <c r="NR68" s="12"/>
      <c r="NS68" s="12"/>
      <c r="NT68" s="12"/>
      <c r="NU68" s="12"/>
      <c r="NV68" s="12"/>
      <c r="NW68" s="12"/>
      <c r="NX68" s="12"/>
      <c r="NY68" s="12"/>
      <c r="NZ68" s="12"/>
      <c r="OA68" s="12"/>
      <c r="OB68" s="12"/>
      <c r="OC68" s="12"/>
      <c r="OD68" s="12"/>
      <c r="OE68" s="12"/>
      <c r="OF68" s="12"/>
      <c r="OG68" s="12"/>
      <c r="OH68" s="12"/>
      <c r="OI68" s="12"/>
      <c r="OJ68" s="12"/>
      <c r="OK68" s="12"/>
      <c r="OL68" s="12"/>
      <c r="OM68" s="12"/>
      <c r="ON68" s="12"/>
      <c r="OO68" s="12"/>
      <c r="OP68" s="12"/>
      <c r="OQ68" s="12"/>
      <c r="OR68" s="12"/>
      <c r="OS68" s="12"/>
      <c r="OT68" s="12"/>
      <c r="OU68" s="12"/>
      <c r="OV68" s="12"/>
      <c r="OW68" s="12"/>
      <c r="OX68" s="12"/>
      <c r="OY68" s="12"/>
      <c r="OZ68" s="12"/>
      <c r="PA68" s="12"/>
      <c r="PB68" s="12"/>
      <c r="PC68" s="12"/>
      <c r="PD68" s="12"/>
      <c r="PE68" s="12"/>
      <c r="PF68" s="12"/>
      <c r="PG68" s="12"/>
      <c r="PH68" s="12"/>
      <c r="PI68" s="12"/>
      <c r="PJ68" s="12"/>
      <c r="PK68" s="12"/>
      <c r="PL68" s="12"/>
      <c r="PM68" s="12"/>
      <c r="PN68" s="12"/>
      <c r="PO68" s="12"/>
      <c r="PP68" s="12"/>
      <c r="PQ68" s="12"/>
      <c r="PR68" s="12"/>
      <c r="PS68" s="12"/>
      <c r="PT68" s="12"/>
      <c r="PU68" s="12"/>
      <c r="PV68" s="12"/>
      <c r="PW68" s="12"/>
      <c r="PX68" s="12"/>
      <c r="PY68" s="12"/>
      <c r="PZ68" s="12"/>
      <c r="QA68" s="12"/>
      <c r="QB68" s="12"/>
      <c r="QC68" s="12"/>
      <c r="QD68" s="12"/>
      <c r="QE68" s="12"/>
      <c r="QF68" s="12"/>
      <c r="QG68" s="12"/>
      <c r="QH68" s="12"/>
      <c r="QI68" s="12"/>
      <c r="QJ68" s="12"/>
      <c r="QK68" s="12"/>
      <c r="QL68" s="12"/>
      <c r="QM68" s="12"/>
      <c r="QN68" s="12"/>
      <c r="QO68" s="12"/>
      <c r="QP68" s="12"/>
      <c r="QQ68" s="12"/>
      <c r="QR68" s="12"/>
      <c r="QS68" s="12"/>
      <c r="QT68" s="12"/>
      <c r="QU68" s="12"/>
      <c r="QV68" s="12"/>
      <c r="QW68" s="12"/>
      <c r="QX68" s="12"/>
      <c r="QY68" s="12"/>
      <c r="QZ68" s="12"/>
      <c r="RA68" s="12"/>
      <c r="RB68" s="12"/>
      <c r="RC68" s="12"/>
      <c r="RD68" s="12"/>
      <c r="RE68" s="12"/>
      <c r="RF68" s="12"/>
      <c r="RG68" s="12"/>
      <c r="RH68" s="12"/>
      <c r="RI68" s="12"/>
      <c r="RJ68" s="12"/>
      <c r="RK68" s="12"/>
      <c r="RL68" s="12"/>
      <c r="RM68" s="12"/>
      <c r="RN68" s="12"/>
      <c r="RO68" s="12"/>
      <c r="RP68" s="12"/>
      <c r="RQ68" s="12"/>
      <c r="RR68" s="12"/>
      <c r="RS68" s="12"/>
      <c r="RT68" s="12"/>
      <c r="RU68" s="12"/>
      <c r="RV68" s="12"/>
      <c r="RW68" s="12"/>
      <c r="RX68" s="12"/>
      <c r="RY68" s="12"/>
      <c r="RZ68" s="12"/>
      <c r="SA68" s="12"/>
      <c r="SB68" s="12"/>
      <c r="SC68" s="12"/>
      <c r="SD68" s="12"/>
      <c r="SE68" s="12"/>
      <c r="SF68" s="12"/>
      <c r="SG68" s="12"/>
      <c r="SH68" s="12"/>
      <c r="SI68" s="12"/>
      <c r="SJ68" s="12"/>
      <c r="SK68" s="12"/>
      <c r="SL68" s="12"/>
      <c r="SM68" s="12"/>
      <c r="SN68" s="12"/>
      <c r="SO68" s="12"/>
      <c r="SP68" s="12"/>
      <c r="SQ68" s="12"/>
      <c r="SR68" s="12"/>
      <c r="SS68" s="12"/>
      <c r="ST68" s="12"/>
      <c r="SU68" s="12"/>
      <c r="SV68" s="12"/>
      <c r="SW68" s="12"/>
      <c r="SX68" s="12"/>
      <c r="SY68" s="12"/>
      <c r="SZ68" s="12"/>
      <c r="TA68" s="12"/>
      <c r="TB68" s="12"/>
      <c r="TC68" s="12"/>
      <c r="TD68" s="12"/>
      <c r="TE68" s="12"/>
      <c r="TF68" s="12"/>
      <c r="TG68" s="12"/>
      <c r="TH68" s="12"/>
      <c r="TI68" s="12"/>
      <c r="TJ68" s="12"/>
      <c r="TK68" s="12"/>
      <c r="TL68" s="12"/>
      <c r="TM68" s="12"/>
      <c r="TN68" s="12"/>
      <c r="TO68" s="12"/>
      <c r="TP68" s="12"/>
      <c r="TQ68" s="12"/>
      <c r="TR68" s="12"/>
      <c r="TS68" s="12"/>
      <c r="TT68" s="12"/>
      <c r="TU68" s="12"/>
      <c r="TV68" s="12"/>
      <c r="TW68" s="12"/>
      <c r="TX68" s="12"/>
      <c r="TY68" s="12"/>
      <c r="TZ68" s="12"/>
      <c r="UA68" s="12"/>
      <c r="UB68" s="12"/>
      <c r="UC68" s="12"/>
      <c r="UD68" s="12"/>
      <c r="UE68" s="12"/>
      <c r="UF68" s="12"/>
      <c r="UG68" s="12"/>
      <c r="UH68" s="12"/>
      <c r="UI68" s="12"/>
      <c r="UJ68" s="12"/>
      <c r="UK68" s="12"/>
      <c r="UL68" s="12"/>
      <c r="UM68" s="12"/>
      <c r="UN68" s="12"/>
      <c r="UO68" s="12"/>
      <c r="UP68" s="12"/>
      <c r="UQ68" s="12"/>
      <c r="UR68" s="12"/>
      <c r="US68" s="12"/>
      <c r="UT68" s="12"/>
      <c r="UU68" s="12"/>
      <c r="UV68" s="12"/>
      <c r="UW68" s="12"/>
      <c r="UX68" s="12"/>
      <c r="UY68" s="12"/>
      <c r="UZ68" s="12"/>
      <c r="VA68" s="12"/>
      <c r="VB68" s="12"/>
      <c r="VC68" s="12"/>
      <c r="VD68" s="12"/>
      <c r="VE68" s="12"/>
      <c r="VF68" s="12"/>
      <c r="VG68" s="12"/>
      <c r="VH68" s="12"/>
      <c r="VI68" s="12"/>
      <c r="VJ68" s="12"/>
      <c r="VK68" s="12"/>
      <c r="VL68" s="12"/>
      <c r="VM68" s="12"/>
      <c r="VN68" s="12"/>
      <c r="VO68" s="12"/>
      <c r="VP68" s="12"/>
      <c r="VQ68" s="12"/>
      <c r="VR68" s="12"/>
      <c r="VS68" s="12"/>
      <c r="VT68" s="12"/>
      <c r="VU68" s="12"/>
      <c r="VV68" s="12"/>
      <c r="VW68" s="12"/>
      <c r="VX68" s="12"/>
      <c r="VY68" s="12"/>
      <c r="VZ68" s="12"/>
      <c r="WA68" s="12"/>
      <c r="WB68" s="12"/>
      <c r="WC68" s="12"/>
      <c r="WD68" s="12"/>
      <c r="WE68" s="12"/>
      <c r="WF68" s="12"/>
      <c r="WG68" s="12"/>
      <c r="WH68" s="12"/>
      <c r="WI68" s="12"/>
      <c r="WJ68" s="12"/>
      <c r="WK68" s="12"/>
      <c r="WL68" s="12"/>
      <c r="WM68" s="12"/>
      <c r="WN68" s="12"/>
      <c r="WO68" s="12"/>
      <c r="WP68" s="12"/>
      <c r="WQ68" s="12"/>
      <c r="WR68" s="12"/>
      <c r="WS68" s="12"/>
      <c r="WT68" s="12"/>
      <c r="WU68" s="12"/>
      <c r="WV68" s="12"/>
      <c r="WW68" s="12"/>
      <c r="WX68" s="12"/>
      <c r="WY68" s="12"/>
      <c r="WZ68" s="12"/>
      <c r="XA68" s="12"/>
      <c r="XB68" s="12"/>
      <c r="XC68" s="12"/>
      <c r="XD68" s="12"/>
      <c r="XE68" s="12"/>
      <c r="XF68" s="12"/>
      <c r="XG68" s="12"/>
      <c r="XH68" s="12"/>
      <c r="XI68" s="12"/>
      <c r="XJ68" s="12"/>
      <c r="XK68" s="12"/>
      <c r="XL68" s="12"/>
      <c r="XM68" s="12"/>
      <c r="XN68" s="12"/>
      <c r="XO68" s="12"/>
      <c r="XP68" s="12"/>
      <c r="XQ68" s="12"/>
      <c r="XR68" s="12"/>
      <c r="XS68" s="12"/>
      <c r="XT68" s="12"/>
      <c r="XU68" s="12"/>
      <c r="XV68" s="12"/>
      <c r="XW68" s="12"/>
      <c r="XX68" s="12"/>
      <c r="XY68" s="12"/>
      <c r="XZ68" s="12"/>
      <c r="YA68" s="12"/>
      <c r="YB68" s="12"/>
      <c r="YC68" s="12"/>
      <c r="YD68" s="12"/>
      <c r="YE68" s="12"/>
      <c r="YF68" s="12"/>
      <c r="YG68" s="12"/>
      <c r="YH68" s="12"/>
      <c r="YI68" s="12"/>
      <c r="YJ68" s="12"/>
      <c r="YK68" s="12"/>
      <c r="YL68" s="12"/>
      <c r="YM68" s="12"/>
      <c r="YN68" s="12"/>
      <c r="YO68" s="12"/>
      <c r="YP68" s="12"/>
      <c r="YQ68" s="12"/>
      <c r="YR68" s="12"/>
      <c r="YS68" s="12"/>
      <c r="YT68" s="12"/>
      <c r="YU68" s="12"/>
      <c r="YV68" s="12"/>
      <c r="YW68" s="12"/>
      <c r="YX68" s="12"/>
      <c r="YY68" s="12"/>
      <c r="YZ68" s="12"/>
      <c r="ZA68" s="12"/>
      <c r="ZB68" s="12"/>
      <c r="ZC68" s="12"/>
      <c r="ZD68" s="12"/>
      <c r="ZE68" s="12"/>
      <c r="ZF68" s="12"/>
      <c r="ZG68" s="12"/>
      <c r="ZH68" s="12"/>
      <c r="ZI68" s="12"/>
      <c r="ZJ68" s="12"/>
      <c r="ZK68" s="12"/>
      <c r="ZL68" s="12"/>
      <c r="ZM68" s="12"/>
      <c r="ZN68" s="12"/>
      <c r="ZO68" s="12"/>
      <c r="ZP68" s="12"/>
      <c r="ZQ68" s="12"/>
      <c r="ZR68" s="12"/>
      <c r="ZS68" s="12"/>
      <c r="ZT68" s="12"/>
      <c r="ZU68" s="12"/>
      <c r="ZV68" s="12"/>
      <c r="ZW68" s="12"/>
      <c r="ZX68" s="12"/>
      <c r="ZY68" s="12"/>
      <c r="ZZ68" s="12"/>
      <c r="AAA68" s="12"/>
      <c r="AAB68" s="12"/>
      <c r="AAC68" s="12"/>
      <c r="AAD68" s="12"/>
      <c r="AAE68" s="12"/>
      <c r="AAF68" s="12"/>
      <c r="AAG68" s="12"/>
      <c r="AAH68" s="12"/>
      <c r="AAI68" s="12"/>
      <c r="AAJ68" s="12"/>
      <c r="AAK68" s="12"/>
      <c r="AAL68" s="12"/>
      <c r="AAM68" s="12"/>
      <c r="AAN68" s="12"/>
      <c r="AAO68" s="12"/>
      <c r="AAP68" s="12"/>
      <c r="AAQ68" s="12"/>
      <c r="AAR68" s="12"/>
      <c r="AAS68" s="12"/>
      <c r="AAT68" s="12"/>
      <c r="AAU68" s="12"/>
      <c r="AAV68" s="12"/>
      <c r="AAW68" s="12"/>
      <c r="AAX68" s="12"/>
      <c r="AAY68" s="12"/>
      <c r="AAZ68" s="12"/>
      <c r="ABA68" s="12"/>
      <c r="ABB68" s="12"/>
      <c r="ABC68" s="12"/>
      <c r="ABD68" s="12"/>
      <c r="ABE68" s="12"/>
      <c r="ABF68" s="12"/>
      <c r="ABG68" s="12"/>
      <c r="ABH68" s="12"/>
      <c r="ABI68" s="12"/>
      <c r="ABJ68" s="12"/>
      <c r="ABK68" s="12"/>
      <c r="ABL68" s="12"/>
      <c r="ABM68" s="12"/>
      <c r="ABN68" s="12"/>
      <c r="ABO68" s="12"/>
      <c r="ABP68" s="12"/>
      <c r="ABQ68" s="12"/>
      <c r="ABR68" s="12"/>
      <c r="ABS68" s="12"/>
      <c r="ABT68" s="12"/>
      <c r="ABU68" s="12"/>
      <c r="ABV68" s="12"/>
      <c r="ABW68" s="12"/>
      <c r="ABX68" s="12"/>
      <c r="ABY68" s="12"/>
      <c r="ABZ68" s="12"/>
      <c r="ACA68" s="12"/>
      <c r="ACB68" s="12"/>
      <c r="ACC68" s="12"/>
      <c r="ACD68" s="12"/>
      <c r="ACE68" s="12"/>
      <c r="ACF68" s="12"/>
      <c r="ACG68" s="12"/>
      <c r="ACH68" s="12"/>
      <c r="ACI68" s="12"/>
      <c r="ACJ68" s="12"/>
      <c r="ACK68" s="12"/>
      <c r="ACL68" s="12"/>
      <c r="ACM68" s="12"/>
      <c r="ACN68" s="12"/>
      <c r="ACO68" s="12"/>
      <c r="ACP68" s="12"/>
      <c r="ACQ68" s="12"/>
      <c r="ACR68" s="12"/>
      <c r="ACS68" s="12"/>
      <c r="ACT68" s="12"/>
      <c r="ACU68" s="12"/>
      <c r="ACV68" s="12"/>
      <c r="ACW68" s="12"/>
      <c r="ACX68" s="12"/>
      <c r="ACY68" s="12"/>
      <c r="ACZ68" s="12"/>
      <c r="ADA68" s="12"/>
      <c r="ADB68" s="12"/>
      <c r="ADC68" s="12"/>
      <c r="ADD68" s="12"/>
      <c r="ADE68" s="12"/>
      <c r="ADF68" s="12"/>
      <c r="ADG68" s="12"/>
      <c r="ADH68" s="12"/>
      <c r="ADI68" s="12"/>
      <c r="ADJ68" s="12"/>
      <c r="ADK68" s="12"/>
      <c r="ADL68" s="12"/>
      <c r="ADM68" s="12"/>
      <c r="ADN68" s="12"/>
      <c r="ADO68" s="12"/>
      <c r="ADP68" s="12"/>
      <c r="ADQ68" s="12"/>
      <c r="ADR68" s="12"/>
      <c r="ADS68" s="12"/>
      <c r="ADT68" s="12"/>
      <c r="ADU68" s="12"/>
      <c r="ADV68" s="12"/>
      <c r="ADW68" s="12"/>
      <c r="ADX68" s="12"/>
      <c r="ADY68" s="12"/>
      <c r="ADZ68" s="12"/>
      <c r="AEA68" s="12"/>
      <c r="AEB68" s="12"/>
      <c r="AEC68" s="12"/>
      <c r="AED68" s="12"/>
      <c r="AEE68" s="12"/>
      <c r="AEF68" s="12"/>
      <c r="AEG68" s="12"/>
      <c r="AEH68" s="12"/>
      <c r="AEI68" s="12"/>
      <c r="AEJ68" s="12"/>
      <c r="AEK68" s="12"/>
      <c r="AEL68" s="12"/>
      <c r="AEM68" s="12"/>
      <c r="AEN68" s="12"/>
      <c r="AEO68" s="12"/>
      <c r="AEP68" s="12"/>
      <c r="AEQ68" s="12"/>
      <c r="AER68" s="12"/>
      <c r="AES68" s="12"/>
      <c r="AET68" s="12"/>
      <c r="AEU68" s="12"/>
      <c r="AEV68" s="12"/>
    </row>
    <row r="69" spans="1:828" s="27" customFormat="1" ht="18" x14ac:dyDescent="0.2">
      <c r="A69" s="68"/>
      <c r="B69" s="30"/>
      <c r="C69" s="23"/>
      <c r="D69" s="29"/>
      <c r="E69" s="23"/>
      <c r="F69" s="23"/>
      <c r="G69" s="23"/>
      <c r="H69" s="30"/>
      <c r="I69" s="23"/>
      <c r="J69" s="29"/>
      <c r="K69" s="30"/>
      <c r="L69" s="23"/>
      <c r="M69" s="29"/>
      <c r="N69" s="12"/>
      <c r="O69" s="12"/>
      <c r="P69" s="69"/>
      <c r="Q69" s="69"/>
      <c r="R69" s="69"/>
      <c r="S69" s="69"/>
      <c r="T69" s="69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  <c r="IY69" s="12"/>
      <c r="IZ69" s="12"/>
      <c r="JA69" s="12"/>
      <c r="JB69" s="12"/>
      <c r="JC69" s="12"/>
      <c r="JD69" s="12"/>
      <c r="JE69" s="12"/>
      <c r="JF69" s="12"/>
      <c r="JG69" s="12"/>
      <c r="JH69" s="12"/>
      <c r="JI69" s="12"/>
      <c r="JJ69" s="12"/>
      <c r="JK69" s="12"/>
      <c r="JL69" s="12"/>
      <c r="JM69" s="12"/>
      <c r="JN69" s="12"/>
      <c r="JO69" s="12"/>
      <c r="JP69" s="12"/>
      <c r="JQ69" s="12"/>
      <c r="JR69" s="12"/>
      <c r="JS69" s="12"/>
      <c r="JT69" s="12"/>
      <c r="JU69" s="12"/>
      <c r="JV69" s="12"/>
      <c r="JW69" s="12"/>
      <c r="JX69" s="12"/>
      <c r="JY69" s="12"/>
      <c r="JZ69" s="12"/>
      <c r="KA69" s="12"/>
      <c r="KB69" s="12"/>
      <c r="KC69" s="12"/>
      <c r="KD69" s="12"/>
      <c r="KE69" s="12"/>
      <c r="KF69" s="12"/>
      <c r="KG69" s="12"/>
      <c r="KH69" s="12"/>
      <c r="KI69" s="12"/>
      <c r="KJ69" s="12"/>
      <c r="KK69" s="12"/>
      <c r="KL69" s="12"/>
      <c r="KM69" s="12"/>
      <c r="KN69" s="12"/>
      <c r="KO69" s="12"/>
      <c r="KP69" s="12"/>
      <c r="KQ69" s="12"/>
      <c r="KR69" s="12"/>
      <c r="KS69" s="12"/>
      <c r="KT69" s="12"/>
      <c r="KU69" s="12"/>
      <c r="KV69" s="12"/>
      <c r="KW69" s="12"/>
      <c r="KX69" s="12"/>
      <c r="KY69" s="12"/>
      <c r="KZ69" s="12"/>
      <c r="LA69" s="12"/>
      <c r="LB69" s="12"/>
      <c r="LC69" s="12"/>
      <c r="LD69" s="12"/>
      <c r="LE69" s="12"/>
      <c r="LF69" s="12"/>
      <c r="LG69" s="12"/>
      <c r="LH69" s="12"/>
      <c r="LI69" s="12"/>
      <c r="LJ69" s="12"/>
      <c r="LK69" s="12"/>
      <c r="LL69" s="12"/>
      <c r="LM69" s="12"/>
      <c r="LN69" s="12"/>
      <c r="LO69" s="12"/>
      <c r="LP69" s="12"/>
      <c r="LQ69" s="12"/>
      <c r="LR69" s="12"/>
      <c r="LS69" s="12"/>
      <c r="LT69" s="12"/>
      <c r="LU69" s="12"/>
      <c r="LV69" s="12"/>
      <c r="LW69" s="12"/>
      <c r="LX69" s="12"/>
      <c r="LY69" s="12"/>
      <c r="LZ69" s="12"/>
      <c r="MA69" s="12"/>
      <c r="MB69" s="12"/>
      <c r="MC69" s="12"/>
      <c r="MD69" s="12"/>
      <c r="ME69" s="12"/>
      <c r="MF69" s="12"/>
      <c r="MG69" s="12"/>
      <c r="MH69" s="12"/>
      <c r="MI69" s="12"/>
      <c r="MJ69" s="12"/>
      <c r="MK69" s="12"/>
      <c r="ML69" s="12"/>
      <c r="MM69" s="12"/>
      <c r="MN69" s="12"/>
      <c r="MO69" s="12"/>
      <c r="MP69" s="12"/>
      <c r="MQ69" s="12"/>
      <c r="MR69" s="12"/>
      <c r="MS69" s="12"/>
      <c r="MT69" s="12"/>
      <c r="MU69" s="12"/>
      <c r="MV69" s="12"/>
      <c r="MW69" s="12"/>
      <c r="MX69" s="12"/>
      <c r="MY69" s="12"/>
      <c r="MZ69" s="12"/>
      <c r="NA69" s="12"/>
      <c r="NB69" s="12"/>
      <c r="NC69" s="12"/>
      <c r="ND69" s="12"/>
      <c r="NE69" s="12"/>
      <c r="NF69" s="12"/>
      <c r="NG69" s="12"/>
      <c r="NH69" s="12"/>
      <c r="NI69" s="12"/>
      <c r="NJ69" s="12"/>
      <c r="NK69" s="12"/>
      <c r="NL69" s="12"/>
      <c r="NM69" s="12"/>
      <c r="NN69" s="12"/>
      <c r="NO69" s="12"/>
      <c r="NP69" s="12"/>
      <c r="NQ69" s="12"/>
      <c r="NR69" s="12"/>
      <c r="NS69" s="12"/>
      <c r="NT69" s="12"/>
      <c r="NU69" s="12"/>
      <c r="NV69" s="12"/>
      <c r="NW69" s="12"/>
      <c r="NX69" s="12"/>
      <c r="NY69" s="12"/>
      <c r="NZ69" s="12"/>
      <c r="OA69" s="12"/>
      <c r="OB69" s="12"/>
      <c r="OC69" s="12"/>
      <c r="OD69" s="12"/>
      <c r="OE69" s="12"/>
      <c r="OF69" s="12"/>
      <c r="OG69" s="12"/>
      <c r="OH69" s="12"/>
      <c r="OI69" s="12"/>
      <c r="OJ69" s="12"/>
      <c r="OK69" s="12"/>
      <c r="OL69" s="12"/>
      <c r="OM69" s="12"/>
      <c r="ON69" s="12"/>
      <c r="OO69" s="12"/>
      <c r="OP69" s="12"/>
      <c r="OQ69" s="12"/>
      <c r="OR69" s="12"/>
      <c r="OS69" s="12"/>
      <c r="OT69" s="12"/>
      <c r="OU69" s="12"/>
      <c r="OV69" s="12"/>
      <c r="OW69" s="12"/>
      <c r="OX69" s="12"/>
      <c r="OY69" s="12"/>
      <c r="OZ69" s="12"/>
      <c r="PA69" s="12"/>
      <c r="PB69" s="12"/>
      <c r="PC69" s="12"/>
      <c r="PD69" s="12"/>
      <c r="PE69" s="12"/>
      <c r="PF69" s="12"/>
      <c r="PG69" s="12"/>
      <c r="PH69" s="12"/>
      <c r="PI69" s="12"/>
      <c r="PJ69" s="12"/>
      <c r="PK69" s="12"/>
      <c r="PL69" s="12"/>
      <c r="PM69" s="12"/>
      <c r="PN69" s="12"/>
      <c r="PO69" s="12"/>
      <c r="PP69" s="12"/>
      <c r="PQ69" s="12"/>
      <c r="PR69" s="12"/>
      <c r="PS69" s="12"/>
      <c r="PT69" s="12"/>
      <c r="PU69" s="12"/>
      <c r="PV69" s="12"/>
      <c r="PW69" s="12"/>
      <c r="PX69" s="12"/>
      <c r="PY69" s="12"/>
      <c r="PZ69" s="12"/>
      <c r="QA69" s="12"/>
      <c r="QB69" s="12"/>
      <c r="QC69" s="12"/>
      <c r="QD69" s="12"/>
      <c r="QE69" s="12"/>
      <c r="QF69" s="12"/>
      <c r="QG69" s="12"/>
      <c r="QH69" s="12"/>
      <c r="QI69" s="12"/>
      <c r="QJ69" s="12"/>
      <c r="QK69" s="12"/>
      <c r="QL69" s="12"/>
      <c r="QM69" s="12"/>
      <c r="QN69" s="12"/>
      <c r="QO69" s="12"/>
      <c r="QP69" s="12"/>
      <c r="QQ69" s="12"/>
      <c r="QR69" s="12"/>
      <c r="QS69" s="12"/>
      <c r="QT69" s="12"/>
      <c r="QU69" s="12"/>
      <c r="QV69" s="12"/>
      <c r="QW69" s="12"/>
      <c r="QX69" s="12"/>
      <c r="QY69" s="12"/>
      <c r="QZ69" s="12"/>
      <c r="RA69" s="12"/>
      <c r="RB69" s="12"/>
      <c r="RC69" s="12"/>
      <c r="RD69" s="12"/>
      <c r="RE69" s="12"/>
      <c r="RF69" s="12"/>
      <c r="RG69" s="12"/>
      <c r="RH69" s="12"/>
      <c r="RI69" s="12"/>
      <c r="RJ69" s="12"/>
      <c r="RK69" s="12"/>
      <c r="RL69" s="12"/>
      <c r="RM69" s="12"/>
      <c r="RN69" s="12"/>
      <c r="RO69" s="12"/>
      <c r="RP69" s="12"/>
      <c r="RQ69" s="12"/>
      <c r="RR69" s="12"/>
      <c r="RS69" s="12"/>
      <c r="RT69" s="12"/>
      <c r="RU69" s="12"/>
      <c r="RV69" s="12"/>
      <c r="RW69" s="12"/>
      <c r="RX69" s="12"/>
      <c r="RY69" s="12"/>
      <c r="RZ69" s="12"/>
      <c r="SA69" s="12"/>
      <c r="SB69" s="12"/>
      <c r="SC69" s="12"/>
      <c r="SD69" s="12"/>
      <c r="SE69" s="12"/>
      <c r="SF69" s="12"/>
      <c r="SG69" s="12"/>
      <c r="SH69" s="12"/>
      <c r="SI69" s="12"/>
      <c r="SJ69" s="12"/>
      <c r="SK69" s="12"/>
      <c r="SL69" s="12"/>
      <c r="SM69" s="12"/>
      <c r="SN69" s="12"/>
      <c r="SO69" s="12"/>
      <c r="SP69" s="12"/>
      <c r="SQ69" s="12"/>
      <c r="SR69" s="12"/>
      <c r="SS69" s="12"/>
      <c r="ST69" s="12"/>
      <c r="SU69" s="12"/>
      <c r="SV69" s="12"/>
      <c r="SW69" s="12"/>
      <c r="SX69" s="12"/>
      <c r="SY69" s="12"/>
      <c r="SZ69" s="12"/>
      <c r="TA69" s="12"/>
      <c r="TB69" s="12"/>
      <c r="TC69" s="12"/>
      <c r="TD69" s="12"/>
      <c r="TE69" s="12"/>
      <c r="TF69" s="12"/>
      <c r="TG69" s="12"/>
      <c r="TH69" s="12"/>
      <c r="TI69" s="12"/>
      <c r="TJ69" s="12"/>
      <c r="TK69" s="12"/>
      <c r="TL69" s="12"/>
      <c r="TM69" s="12"/>
      <c r="TN69" s="12"/>
      <c r="TO69" s="12"/>
      <c r="TP69" s="12"/>
      <c r="TQ69" s="12"/>
      <c r="TR69" s="12"/>
      <c r="TS69" s="12"/>
      <c r="TT69" s="12"/>
      <c r="TU69" s="12"/>
      <c r="TV69" s="12"/>
      <c r="TW69" s="12"/>
      <c r="TX69" s="12"/>
      <c r="TY69" s="12"/>
      <c r="TZ69" s="12"/>
      <c r="UA69" s="12"/>
      <c r="UB69" s="12"/>
      <c r="UC69" s="12"/>
      <c r="UD69" s="12"/>
      <c r="UE69" s="12"/>
      <c r="UF69" s="12"/>
      <c r="UG69" s="12"/>
      <c r="UH69" s="12"/>
      <c r="UI69" s="12"/>
      <c r="UJ69" s="12"/>
      <c r="UK69" s="12"/>
      <c r="UL69" s="12"/>
      <c r="UM69" s="12"/>
      <c r="UN69" s="12"/>
      <c r="UO69" s="12"/>
      <c r="UP69" s="12"/>
      <c r="UQ69" s="12"/>
      <c r="UR69" s="12"/>
      <c r="US69" s="12"/>
      <c r="UT69" s="12"/>
      <c r="UU69" s="12"/>
      <c r="UV69" s="12"/>
      <c r="UW69" s="12"/>
      <c r="UX69" s="12"/>
      <c r="UY69" s="12"/>
      <c r="UZ69" s="12"/>
      <c r="VA69" s="12"/>
      <c r="VB69" s="12"/>
      <c r="VC69" s="12"/>
      <c r="VD69" s="12"/>
      <c r="VE69" s="12"/>
      <c r="VF69" s="12"/>
      <c r="VG69" s="12"/>
      <c r="VH69" s="12"/>
      <c r="VI69" s="12"/>
      <c r="VJ69" s="12"/>
      <c r="VK69" s="12"/>
      <c r="VL69" s="12"/>
      <c r="VM69" s="12"/>
      <c r="VN69" s="12"/>
      <c r="VO69" s="12"/>
      <c r="VP69" s="12"/>
      <c r="VQ69" s="12"/>
      <c r="VR69" s="12"/>
      <c r="VS69" s="12"/>
      <c r="VT69" s="12"/>
      <c r="VU69" s="12"/>
      <c r="VV69" s="12"/>
      <c r="VW69" s="12"/>
      <c r="VX69" s="12"/>
      <c r="VY69" s="12"/>
      <c r="VZ69" s="12"/>
      <c r="WA69" s="12"/>
      <c r="WB69" s="12"/>
      <c r="WC69" s="12"/>
      <c r="WD69" s="12"/>
      <c r="WE69" s="12"/>
      <c r="WF69" s="12"/>
      <c r="WG69" s="12"/>
      <c r="WH69" s="12"/>
      <c r="WI69" s="12"/>
      <c r="WJ69" s="12"/>
      <c r="WK69" s="12"/>
      <c r="WL69" s="12"/>
      <c r="WM69" s="12"/>
      <c r="WN69" s="12"/>
      <c r="WO69" s="12"/>
      <c r="WP69" s="12"/>
      <c r="WQ69" s="12"/>
      <c r="WR69" s="12"/>
      <c r="WS69" s="12"/>
      <c r="WT69" s="12"/>
      <c r="WU69" s="12"/>
      <c r="WV69" s="12"/>
      <c r="WW69" s="12"/>
      <c r="WX69" s="12"/>
      <c r="WY69" s="12"/>
      <c r="WZ69" s="12"/>
      <c r="XA69" s="12"/>
      <c r="XB69" s="12"/>
      <c r="XC69" s="12"/>
      <c r="XD69" s="12"/>
      <c r="XE69" s="12"/>
      <c r="XF69" s="12"/>
      <c r="XG69" s="12"/>
      <c r="XH69" s="12"/>
      <c r="XI69" s="12"/>
      <c r="XJ69" s="12"/>
      <c r="XK69" s="12"/>
      <c r="XL69" s="12"/>
      <c r="XM69" s="12"/>
      <c r="XN69" s="12"/>
      <c r="XO69" s="12"/>
      <c r="XP69" s="12"/>
      <c r="XQ69" s="12"/>
      <c r="XR69" s="12"/>
      <c r="XS69" s="12"/>
      <c r="XT69" s="12"/>
      <c r="XU69" s="12"/>
      <c r="XV69" s="12"/>
      <c r="XW69" s="12"/>
      <c r="XX69" s="12"/>
      <c r="XY69" s="12"/>
      <c r="XZ69" s="12"/>
      <c r="YA69" s="12"/>
      <c r="YB69" s="12"/>
      <c r="YC69" s="12"/>
      <c r="YD69" s="12"/>
      <c r="YE69" s="12"/>
      <c r="YF69" s="12"/>
      <c r="YG69" s="12"/>
      <c r="YH69" s="12"/>
      <c r="YI69" s="12"/>
      <c r="YJ69" s="12"/>
      <c r="YK69" s="12"/>
      <c r="YL69" s="12"/>
      <c r="YM69" s="12"/>
      <c r="YN69" s="12"/>
      <c r="YO69" s="12"/>
      <c r="YP69" s="12"/>
      <c r="YQ69" s="12"/>
      <c r="YR69" s="12"/>
      <c r="YS69" s="12"/>
      <c r="YT69" s="12"/>
      <c r="YU69" s="12"/>
      <c r="YV69" s="12"/>
      <c r="YW69" s="12"/>
      <c r="YX69" s="12"/>
      <c r="YY69" s="12"/>
      <c r="YZ69" s="12"/>
      <c r="ZA69" s="12"/>
      <c r="ZB69" s="12"/>
      <c r="ZC69" s="12"/>
      <c r="ZD69" s="12"/>
      <c r="ZE69" s="12"/>
      <c r="ZF69" s="12"/>
      <c r="ZG69" s="12"/>
      <c r="ZH69" s="12"/>
      <c r="ZI69" s="12"/>
      <c r="ZJ69" s="12"/>
      <c r="ZK69" s="12"/>
      <c r="ZL69" s="12"/>
      <c r="ZM69" s="12"/>
      <c r="ZN69" s="12"/>
      <c r="ZO69" s="12"/>
      <c r="ZP69" s="12"/>
      <c r="ZQ69" s="12"/>
      <c r="ZR69" s="12"/>
      <c r="ZS69" s="12"/>
      <c r="ZT69" s="12"/>
      <c r="ZU69" s="12"/>
      <c r="ZV69" s="12"/>
      <c r="ZW69" s="12"/>
      <c r="ZX69" s="12"/>
      <c r="ZY69" s="12"/>
      <c r="ZZ69" s="12"/>
      <c r="AAA69" s="12"/>
      <c r="AAB69" s="12"/>
      <c r="AAC69" s="12"/>
      <c r="AAD69" s="12"/>
      <c r="AAE69" s="12"/>
      <c r="AAF69" s="12"/>
      <c r="AAG69" s="12"/>
      <c r="AAH69" s="12"/>
      <c r="AAI69" s="12"/>
      <c r="AAJ69" s="12"/>
      <c r="AAK69" s="12"/>
      <c r="AAL69" s="12"/>
      <c r="AAM69" s="12"/>
      <c r="AAN69" s="12"/>
      <c r="AAO69" s="12"/>
      <c r="AAP69" s="12"/>
      <c r="AAQ69" s="12"/>
      <c r="AAR69" s="12"/>
      <c r="AAS69" s="12"/>
      <c r="AAT69" s="12"/>
      <c r="AAU69" s="12"/>
      <c r="AAV69" s="12"/>
      <c r="AAW69" s="12"/>
      <c r="AAX69" s="12"/>
      <c r="AAY69" s="12"/>
      <c r="AAZ69" s="12"/>
      <c r="ABA69" s="12"/>
      <c r="ABB69" s="12"/>
      <c r="ABC69" s="12"/>
      <c r="ABD69" s="12"/>
      <c r="ABE69" s="12"/>
      <c r="ABF69" s="12"/>
      <c r="ABG69" s="12"/>
      <c r="ABH69" s="12"/>
      <c r="ABI69" s="12"/>
      <c r="ABJ69" s="12"/>
      <c r="ABK69" s="12"/>
      <c r="ABL69" s="12"/>
      <c r="ABM69" s="12"/>
      <c r="ABN69" s="12"/>
      <c r="ABO69" s="12"/>
      <c r="ABP69" s="12"/>
      <c r="ABQ69" s="12"/>
      <c r="ABR69" s="12"/>
      <c r="ABS69" s="12"/>
      <c r="ABT69" s="12"/>
      <c r="ABU69" s="12"/>
      <c r="ABV69" s="12"/>
      <c r="ABW69" s="12"/>
      <c r="ABX69" s="12"/>
      <c r="ABY69" s="12"/>
      <c r="ABZ69" s="12"/>
      <c r="ACA69" s="12"/>
      <c r="ACB69" s="12"/>
      <c r="ACC69" s="12"/>
      <c r="ACD69" s="12"/>
      <c r="ACE69" s="12"/>
      <c r="ACF69" s="12"/>
      <c r="ACG69" s="12"/>
      <c r="ACH69" s="12"/>
      <c r="ACI69" s="12"/>
      <c r="ACJ69" s="12"/>
      <c r="ACK69" s="12"/>
      <c r="ACL69" s="12"/>
      <c r="ACM69" s="12"/>
      <c r="ACN69" s="12"/>
      <c r="ACO69" s="12"/>
      <c r="ACP69" s="12"/>
      <c r="ACQ69" s="12"/>
      <c r="ACR69" s="12"/>
      <c r="ACS69" s="12"/>
      <c r="ACT69" s="12"/>
      <c r="ACU69" s="12"/>
      <c r="ACV69" s="12"/>
      <c r="ACW69" s="12"/>
      <c r="ACX69" s="12"/>
      <c r="ACY69" s="12"/>
      <c r="ACZ69" s="12"/>
      <c r="ADA69" s="12"/>
      <c r="ADB69" s="12"/>
      <c r="ADC69" s="12"/>
      <c r="ADD69" s="12"/>
      <c r="ADE69" s="12"/>
      <c r="ADF69" s="12"/>
      <c r="ADG69" s="12"/>
      <c r="ADH69" s="12"/>
      <c r="ADI69" s="12"/>
      <c r="ADJ69" s="12"/>
      <c r="ADK69" s="12"/>
      <c r="ADL69" s="12"/>
      <c r="ADM69" s="12"/>
      <c r="ADN69" s="12"/>
      <c r="ADO69" s="12"/>
      <c r="ADP69" s="12"/>
      <c r="ADQ69" s="12"/>
      <c r="ADR69" s="12"/>
      <c r="ADS69" s="12"/>
      <c r="ADT69" s="12"/>
      <c r="ADU69" s="12"/>
      <c r="ADV69" s="12"/>
      <c r="ADW69" s="12"/>
      <c r="ADX69" s="12"/>
      <c r="ADY69" s="12"/>
      <c r="ADZ69" s="12"/>
      <c r="AEA69" s="12"/>
      <c r="AEB69" s="12"/>
      <c r="AEC69" s="12"/>
      <c r="AED69" s="12"/>
      <c r="AEE69" s="12"/>
      <c r="AEF69" s="12"/>
      <c r="AEG69" s="12"/>
      <c r="AEH69" s="12"/>
      <c r="AEI69" s="12"/>
      <c r="AEJ69" s="12"/>
      <c r="AEK69" s="12"/>
      <c r="AEL69" s="12"/>
      <c r="AEM69" s="12"/>
      <c r="AEN69" s="12"/>
      <c r="AEO69" s="12"/>
      <c r="AEP69" s="12"/>
      <c r="AEQ69" s="12"/>
      <c r="AER69" s="12"/>
      <c r="AES69" s="12"/>
      <c r="AET69" s="12"/>
      <c r="AEU69" s="12"/>
      <c r="AEV69" s="12"/>
    </row>
    <row r="70" spans="1:828" s="27" customFormat="1" ht="19" thickBot="1" x14ac:dyDescent="0.25">
      <c r="A70" s="70"/>
      <c r="B70" s="42"/>
      <c r="C70" s="40"/>
      <c r="D70" s="41"/>
      <c r="E70" s="40"/>
      <c r="F70" s="40"/>
      <c r="G70" s="40"/>
      <c r="H70" s="42"/>
      <c r="I70" s="40"/>
      <c r="J70" s="41"/>
      <c r="K70" s="42"/>
      <c r="L70" s="40"/>
      <c r="M70" s="41"/>
      <c r="N70" s="12"/>
      <c r="O70" s="12"/>
      <c r="P70" s="69"/>
      <c r="Q70" s="69"/>
      <c r="R70" s="69"/>
      <c r="S70" s="69"/>
      <c r="T70" s="69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12"/>
      <c r="JV70" s="12"/>
      <c r="JW70" s="12"/>
      <c r="JX70" s="12"/>
      <c r="JY70" s="12"/>
      <c r="JZ70" s="12"/>
      <c r="KA70" s="12"/>
      <c r="KB70" s="12"/>
      <c r="KC70" s="12"/>
      <c r="KD70" s="12"/>
      <c r="KE70" s="12"/>
      <c r="KF70" s="12"/>
      <c r="KG70" s="12"/>
      <c r="KH70" s="12"/>
      <c r="KI70" s="12"/>
      <c r="KJ70" s="12"/>
      <c r="KK70" s="12"/>
      <c r="KL70" s="12"/>
      <c r="KM70" s="12"/>
      <c r="KN70" s="12"/>
      <c r="KO70" s="12"/>
      <c r="KP70" s="12"/>
      <c r="KQ70" s="12"/>
      <c r="KR70" s="12"/>
      <c r="KS70" s="12"/>
      <c r="KT70" s="12"/>
      <c r="KU70" s="12"/>
      <c r="KV70" s="12"/>
      <c r="KW70" s="12"/>
      <c r="KX70" s="12"/>
      <c r="KY70" s="12"/>
      <c r="KZ70" s="12"/>
      <c r="LA70" s="12"/>
      <c r="LB70" s="12"/>
      <c r="LC70" s="12"/>
      <c r="LD70" s="12"/>
      <c r="LE70" s="12"/>
      <c r="LF70" s="12"/>
      <c r="LG70" s="12"/>
      <c r="LH70" s="12"/>
      <c r="LI70" s="12"/>
      <c r="LJ70" s="12"/>
      <c r="LK70" s="12"/>
      <c r="LL70" s="12"/>
      <c r="LM70" s="12"/>
      <c r="LN70" s="12"/>
      <c r="LO70" s="12"/>
      <c r="LP70" s="12"/>
      <c r="LQ70" s="12"/>
      <c r="LR70" s="12"/>
      <c r="LS70" s="12"/>
      <c r="LT70" s="12"/>
      <c r="LU70" s="12"/>
      <c r="LV70" s="12"/>
      <c r="LW70" s="12"/>
      <c r="LX70" s="12"/>
      <c r="LY70" s="12"/>
      <c r="LZ70" s="12"/>
      <c r="MA70" s="12"/>
      <c r="MB70" s="12"/>
      <c r="MC70" s="12"/>
      <c r="MD70" s="12"/>
      <c r="ME70" s="12"/>
      <c r="MF70" s="12"/>
      <c r="MG70" s="12"/>
      <c r="MH70" s="12"/>
      <c r="MI70" s="12"/>
      <c r="MJ70" s="12"/>
      <c r="MK70" s="12"/>
      <c r="ML70" s="12"/>
      <c r="MM70" s="12"/>
      <c r="MN70" s="12"/>
      <c r="MO70" s="12"/>
      <c r="MP70" s="12"/>
      <c r="MQ70" s="12"/>
      <c r="MR70" s="12"/>
      <c r="MS70" s="12"/>
      <c r="MT70" s="12"/>
      <c r="MU70" s="12"/>
      <c r="MV70" s="12"/>
      <c r="MW70" s="12"/>
      <c r="MX70" s="12"/>
      <c r="MY70" s="12"/>
      <c r="MZ70" s="12"/>
      <c r="NA70" s="12"/>
      <c r="NB70" s="12"/>
      <c r="NC70" s="12"/>
      <c r="ND70" s="12"/>
      <c r="NE70" s="12"/>
      <c r="NF70" s="12"/>
      <c r="NG70" s="12"/>
      <c r="NH70" s="12"/>
      <c r="NI70" s="12"/>
      <c r="NJ70" s="12"/>
      <c r="NK70" s="12"/>
      <c r="NL70" s="12"/>
      <c r="NM70" s="12"/>
      <c r="NN70" s="12"/>
      <c r="NO70" s="12"/>
      <c r="NP70" s="12"/>
      <c r="NQ70" s="12"/>
      <c r="NR70" s="12"/>
      <c r="NS70" s="12"/>
      <c r="NT70" s="12"/>
      <c r="NU70" s="12"/>
      <c r="NV70" s="12"/>
      <c r="NW70" s="12"/>
      <c r="NX70" s="12"/>
      <c r="NY70" s="12"/>
      <c r="NZ70" s="12"/>
      <c r="OA70" s="12"/>
      <c r="OB70" s="12"/>
      <c r="OC70" s="12"/>
      <c r="OD70" s="12"/>
      <c r="OE70" s="12"/>
      <c r="OF70" s="12"/>
      <c r="OG70" s="12"/>
      <c r="OH70" s="12"/>
      <c r="OI70" s="12"/>
      <c r="OJ70" s="12"/>
      <c r="OK70" s="12"/>
      <c r="OL70" s="12"/>
      <c r="OM70" s="12"/>
      <c r="ON70" s="12"/>
      <c r="OO70" s="12"/>
      <c r="OP70" s="12"/>
      <c r="OQ70" s="12"/>
      <c r="OR70" s="12"/>
      <c r="OS70" s="12"/>
      <c r="OT70" s="12"/>
      <c r="OU70" s="12"/>
      <c r="OV70" s="12"/>
      <c r="OW70" s="12"/>
      <c r="OX70" s="12"/>
      <c r="OY70" s="12"/>
      <c r="OZ70" s="12"/>
      <c r="PA70" s="12"/>
      <c r="PB70" s="12"/>
      <c r="PC70" s="12"/>
      <c r="PD70" s="12"/>
      <c r="PE70" s="12"/>
      <c r="PF70" s="12"/>
      <c r="PG70" s="12"/>
      <c r="PH70" s="12"/>
      <c r="PI70" s="12"/>
      <c r="PJ70" s="12"/>
      <c r="PK70" s="12"/>
      <c r="PL70" s="12"/>
      <c r="PM70" s="12"/>
      <c r="PN70" s="12"/>
      <c r="PO70" s="12"/>
      <c r="PP70" s="12"/>
      <c r="PQ70" s="12"/>
      <c r="PR70" s="12"/>
      <c r="PS70" s="12"/>
      <c r="PT70" s="12"/>
      <c r="PU70" s="12"/>
      <c r="PV70" s="12"/>
      <c r="PW70" s="12"/>
      <c r="PX70" s="12"/>
      <c r="PY70" s="12"/>
      <c r="PZ70" s="12"/>
      <c r="QA70" s="12"/>
      <c r="QB70" s="12"/>
      <c r="QC70" s="12"/>
      <c r="QD70" s="12"/>
      <c r="QE70" s="12"/>
      <c r="QF70" s="12"/>
      <c r="QG70" s="12"/>
      <c r="QH70" s="12"/>
      <c r="QI70" s="12"/>
      <c r="QJ70" s="12"/>
      <c r="QK70" s="12"/>
      <c r="QL70" s="12"/>
      <c r="QM70" s="12"/>
      <c r="QN70" s="12"/>
      <c r="QO70" s="12"/>
      <c r="QP70" s="12"/>
      <c r="QQ70" s="12"/>
      <c r="QR70" s="12"/>
      <c r="QS70" s="12"/>
      <c r="QT70" s="12"/>
      <c r="QU70" s="12"/>
      <c r="QV70" s="12"/>
      <c r="QW70" s="12"/>
      <c r="QX70" s="12"/>
      <c r="QY70" s="12"/>
      <c r="QZ70" s="12"/>
      <c r="RA70" s="12"/>
      <c r="RB70" s="12"/>
      <c r="RC70" s="12"/>
      <c r="RD70" s="12"/>
      <c r="RE70" s="12"/>
      <c r="RF70" s="12"/>
      <c r="RG70" s="12"/>
      <c r="RH70" s="12"/>
      <c r="RI70" s="12"/>
      <c r="RJ70" s="12"/>
      <c r="RK70" s="12"/>
      <c r="RL70" s="12"/>
      <c r="RM70" s="12"/>
      <c r="RN70" s="12"/>
      <c r="RO70" s="12"/>
      <c r="RP70" s="12"/>
      <c r="RQ70" s="12"/>
      <c r="RR70" s="12"/>
      <c r="RS70" s="12"/>
      <c r="RT70" s="12"/>
      <c r="RU70" s="12"/>
      <c r="RV70" s="12"/>
      <c r="RW70" s="12"/>
      <c r="RX70" s="12"/>
      <c r="RY70" s="12"/>
      <c r="RZ70" s="12"/>
      <c r="SA70" s="12"/>
      <c r="SB70" s="12"/>
      <c r="SC70" s="12"/>
      <c r="SD70" s="12"/>
      <c r="SE70" s="12"/>
      <c r="SF70" s="12"/>
      <c r="SG70" s="12"/>
      <c r="SH70" s="12"/>
      <c r="SI70" s="12"/>
      <c r="SJ70" s="12"/>
      <c r="SK70" s="12"/>
      <c r="SL70" s="12"/>
      <c r="SM70" s="12"/>
      <c r="SN70" s="12"/>
      <c r="SO70" s="12"/>
      <c r="SP70" s="12"/>
      <c r="SQ70" s="12"/>
      <c r="SR70" s="12"/>
      <c r="SS70" s="12"/>
      <c r="ST70" s="12"/>
      <c r="SU70" s="12"/>
      <c r="SV70" s="12"/>
      <c r="SW70" s="12"/>
      <c r="SX70" s="12"/>
      <c r="SY70" s="12"/>
      <c r="SZ70" s="12"/>
      <c r="TA70" s="12"/>
      <c r="TB70" s="12"/>
      <c r="TC70" s="12"/>
      <c r="TD70" s="12"/>
      <c r="TE70" s="12"/>
      <c r="TF70" s="12"/>
      <c r="TG70" s="12"/>
      <c r="TH70" s="12"/>
      <c r="TI70" s="12"/>
      <c r="TJ70" s="12"/>
      <c r="TK70" s="12"/>
      <c r="TL70" s="12"/>
      <c r="TM70" s="12"/>
      <c r="TN70" s="12"/>
      <c r="TO70" s="12"/>
      <c r="TP70" s="12"/>
      <c r="TQ70" s="12"/>
      <c r="TR70" s="12"/>
      <c r="TS70" s="12"/>
      <c r="TT70" s="12"/>
      <c r="TU70" s="12"/>
      <c r="TV70" s="12"/>
      <c r="TW70" s="12"/>
      <c r="TX70" s="12"/>
      <c r="TY70" s="12"/>
      <c r="TZ70" s="12"/>
      <c r="UA70" s="12"/>
      <c r="UB70" s="12"/>
      <c r="UC70" s="12"/>
      <c r="UD70" s="12"/>
      <c r="UE70" s="12"/>
      <c r="UF70" s="12"/>
      <c r="UG70" s="12"/>
      <c r="UH70" s="12"/>
      <c r="UI70" s="12"/>
      <c r="UJ70" s="12"/>
      <c r="UK70" s="12"/>
      <c r="UL70" s="12"/>
      <c r="UM70" s="12"/>
      <c r="UN70" s="12"/>
      <c r="UO70" s="12"/>
      <c r="UP70" s="12"/>
      <c r="UQ70" s="12"/>
      <c r="UR70" s="12"/>
      <c r="US70" s="12"/>
      <c r="UT70" s="12"/>
      <c r="UU70" s="12"/>
      <c r="UV70" s="12"/>
      <c r="UW70" s="12"/>
      <c r="UX70" s="12"/>
      <c r="UY70" s="12"/>
      <c r="UZ70" s="12"/>
      <c r="VA70" s="12"/>
      <c r="VB70" s="12"/>
      <c r="VC70" s="12"/>
      <c r="VD70" s="12"/>
      <c r="VE70" s="12"/>
      <c r="VF70" s="12"/>
      <c r="VG70" s="12"/>
      <c r="VH70" s="12"/>
      <c r="VI70" s="12"/>
      <c r="VJ70" s="12"/>
      <c r="VK70" s="12"/>
      <c r="VL70" s="12"/>
      <c r="VM70" s="12"/>
      <c r="VN70" s="12"/>
      <c r="VO70" s="12"/>
      <c r="VP70" s="12"/>
      <c r="VQ70" s="12"/>
      <c r="VR70" s="12"/>
      <c r="VS70" s="12"/>
      <c r="VT70" s="12"/>
      <c r="VU70" s="12"/>
      <c r="VV70" s="12"/>
      <c r="VW70" s="12"/>
      <c r="VX70" s="12"/>
      <c r="VY70" s="12"/>
      <c r="VZ70" s="12"/>
      <c r="WA70" s="12"/>
      <c r="WB70" s="12"/>
      <c r="WC70" s="12"/>
      <c r="WD70" s="12"/>
      <c r="WE70" s="12"/>
      <c r="WF70" s="12"/>
      <c r="WG70" s="12"/>
      <c r="WH70" s="12"/>
      <c r="WI70" s="12"/>
      <c r="WJ70" s="12"/>
      <c r="WK70" s="12"/>
      <c r="WL70" s="12"/>
      <c r="WM70" s="12"/>
      <c r="WN70" s="12"/>
      <c r="WO70" s="12"/>
      <c r="WP70" s="12"/>
      <c r="WQ70" s="12"/>
      <c r="WR70" s="12"/>
      <c r="WS70" s="12"/>
      <c r="WT70" s="12"/>
      <c r="WU70" s="12"/>
      <c r="WV70" s="12"/>
      <c r="WW70" s="12"/>
      <c r="WX70" s="12"/>
      <c r="WY70" s="12"/>
      <c r="WZ70" s="12"/>
      <c r="XA70" s="12"/>
      <c r="XB70" s="12"/>
      <c r="XC70" s="12"/>
      <c r="XD70" s="12"/>
      <c r="XE70" s="12"/>
      <c r="XF70" s="12"/>
      <c r="XG70" s="12"/>
      <c r="XH70" s="12"/>
      <c r="XI70" s="12"/>
      <c r="XJ70" s="12"/>
      <c r="XK70" s="12"/>
      <c r="XL70" s="12"/>
      <c r="XM70" s="12"/>
      <c r="XN70" s="12"/>
      <c r="XO70" s="12"/>
      <c r="XP70" s="12"/>
      <c r="XQ70" s="12"/>
      <c r="XR70" s="12"/>
      <c r="XS70" s="12"/>
      <c r="XT70" s="12"/>
      <c r="XU70" s="12"/>
      <c r="XV70" s="12"/>
      <c r="XW70" s="12"/>
      <c r="XX70" s="12"/>
      <c r="XY70" s="12"/>
      <c r="XZ70" s="12"/>
      <c r="YA70" s="12"/>
      <c r="YB70" s="12"/>
      <c r="YC70" s="12"/>
      <c r="YD70" s="12"/>
      <c r="YE70" s="12"/>
      <c r="YF70" s="12"/>
      <c r="YG70" s="12"/>
      <c r="YH70" s="12"/>
      <c r="YI70" s="12"/>
      <c r="YJ70" s="12"/>
      <c r="YK70" s="12"/>
      <c r="YL70" s="12"/>
      <c r="YM70" s="12"/>
      <c r="YN70" s="12"/>
      <c r="YO70" s="12"/>
      <c r="YP70" s="12"/>
      <c r="YQ70" s="12"/>
      <c r="YR70" s="12"/>
      <c r="YS70" s="12"/>
      <c r="YT70" s="12"/>
      <c r="YU70" s="12"/>
      <c r="YV70" s="12"/>
      <c r="YW70" s="12"/>
      <c r="YX70" s="12"/>
      <c r="YY70" s="12"/>
      <c r="YZ70" s="12"/>
      <c r="ZA70" s="12"/>
      <c r="ZB70" s="12"/>
      <c r="ZC70" s="12"/>
      <c r="ZD70" s="12"/>
      <c r="ZE70" s="12"/>
      <c r="ZF70" s="12"/>
      <c r="ZG70" s="12"/>
      <c r="ZH70" s="12"/>
      <c r="ZI70" s="12"/>
      <c r="ZJ70" s="12"/>
      <c r="ZK70" s="12"/>
      <c r="ZL70" s="12"/>
      <c r="ZM70" s="12"/>
      <c r="ZN70" s="12"/>
      <c r="ZO70" s="12"/>
      <c r="ZP70" s="12"/>
      <c r="ZQ70" s="12"/>
      <c r="ZR70" s="12"/>
      <c r="ZS70" s="12"/>
      <c r="ZT70" s="12"/>
      <c r="ZU70" s="12"/>
      <c r="ZV70" s="12"/>
      <c r="ZW70" s="12"/>
      <c r="ZX70" s="12"/>
      <c r="ZY70" s="12"/>
      <c r="ZZ70" s="12"/>
      <c r="AAA70" s="12"/>
      <c r="AAB70" s="12"/>
      <c r="AAC70" s="12"/>
      <c r="AAD70" s="12"/>
      <c r="AAE70" s="12"/>
      <c r="AAF70" s="12"/>
      <c r="AAG70" s="12"/>
      <c r="AAH70" s="12"/>
      <c r="AAI70" s="12"/>
      <c r="AAJ70" s="12"/>
      <c r="AAK70" s="12"/>
      <c r="AAL70" s="12"/>
      <c r="AAM70" s="12"/>
      <c r="AAN70" s="12"/>
      <c r="AAO70" s="12"/>
      <c r="AAP70" s="12"/>
      <c r="AAQ70" s="12"/>
      <c r="AAR70" s="12"/>
      <c r="AAS70" s="12"/>
      <c r="AAT70" s="12"/>
      <c r="AAU70" s="12"/>
      <c r="AAV70" s="12"/>
      <c r="AAW70" s="12"/>
      <c r="AAX70" s="12"/>
      <c r="AAY70" s="12"/>
      <c r="AAZ70" s="12"/>
      <c r="ABA70" s="12"/>
      <c r="ABB70" s="12"/>
      <c r="ABC70" s="12"/>
      <c r="ABD70" s="12"/>
      <c r="ABE70" s="12"/>
      <c r="ABF70" s="12"/>
      <c r="ABG70" s="12"/>
      <c r="ABH70" s="12"/>
      <c r="ABI70" s="12"/>
      <c r="ABJ70" s="12"/>
      <c r="ABK70" s="12"/>
      <c r="ABL70" s="12"/>
      <c r="ABM70" s="12"/>
      <c r="ABN70" s="12"/>
      <c r="ABO70" s="12"/>
      <c r="ABP70" s="12"/>
      <c r="ABQ70" s="12"/>
      <c r="ABR70" s="12"/>
      <c r="ABS70" s="12"/>
      <c r="ABT70" s="12"/>
      <c r="ABU70" s="12"/>
      <c r="ABV70" s="12"/>
      <c r="ABW70" s="12"/>
      <c r="ABX70" s="12"/>
      <c r="ABY70" s="12"/>
      <c r="ABZ70" s="12"/>
      <c r="ACA70" s="12"/>
      <c r="ACB70" s="12"/>
      <c r="ACC70" s="12"/>
      <c r="ACD70" s="12"/>
      <c r="ACE70" s="12"/>
      <c r="ACF70" s="12"/>
      <c r="ACG70" s="12"/>
      <c r="ACH70" s="12"/>
      <c r="ACI70" s="12"/>
      <c r="ACJ70" s="12"/>
      <c r="ACK70" s="12"/>
      <c r="ACL70" s="12"/>
      <c r="ACM70" s="12"/>
      <c r="ACN70" s="12"/>
      <c r="ACO70" s="12"/>
      <c r="ACP70" s="12"/>
      <c r="ACQ70" s="12"/>
      <c r="ACR70" s="12"/>
      <c r="ACS70" s="12"/>
      <c r="ACT70" s="12"/>
      <c r="ACU70" s="12"/>
      <c r="ACV70" s="12"/>
      <c r="ACW70" s="12"/>
      <c r="ACX70" s="12"/>
      <c r="ACY70" s="12"/>
      <c r="ACZ70" s="12"/>
      <c r="ADA70" s="12"/>
      <c r="ADB70" s="12"/>
      <c r="ADC70" s="12"/>
      <c r="ADD70" s="12"/>
      <c r="ADE70" s="12"/>
      <c r="ADF70" s="12"/>
      <c r="ADG70" s="12"/>
      <c r="ADH70" s="12"/>
      <c r="ADI70" s="12"/>
      <c r="ADJ70" s="12"/>
      <c r="ADK70" s="12"/>
      <c r="ADL70" s="12"/>
      <c r="ADM70" s="12"/>
      <c r="ADN70" s="12"/>
      <c r="ADO70" s="12"/>
      <c r="ADP70" s="12"/>
      <c r="ADQ70" s="12"/>
      <c r="ADR70" s="12"/>
      <c r="ADS70" s="12"/>
      <c r="ADT70" s="12"/>
      <c r="ADU70" s="12"/>
      <c r="ADV70" s="12"/>
      <c r="ADW70" s="12"/>
      <c r="ADX70" s="12"/>
      <c r="ADY70" s="12"/>
      <c r="ADZ70" s="12"/>
      <c r="AEA70" s="12"/>
      <c r="AEB70" s="12"/>
      <c r="AEC70" s="12"/>
      <c r="AED70" s="12"/>
      <c r="AEE70" s="12"/>
      <c r="AEF70" s="12"/>
      <c r="AEG70" s="12"/>
      <c r="AEH70" s="12"/>
      <c r="AEI70" s="12"/>
      <c r="AEJ70" s="12"/>
      <c r="AEK70" s="12"/>
      <c r="AEL70" s="12"/>
      <c r="AEM70" s="12"/>
      <c r="AEN70" s="12"/>
      <c r="AEO70" s="12"/>
      <c r="AEP70" s="12"/>
      <c r="AEQ70" s="12"/>
      <c r="AER70" s="12"/>
      <c r="AES70" s="12"/>
      <c r="AET70" s="12"/>
      <c r="AEU70" s="12"/>
      <c r="AEV70" s="12"/>
    </row>
    <row r="71" spans="1:828" s="75" customFormat="1" ht="18" x14ac:dyDescent="0.2">
      <c r="A71" s="71" t="s">
        <v>66</v>
      </c>
      <c r="B71" s="72"/>
      <c r="C71" s="73"/>
      <c r="D71" s="74">
        <f>SUM(D5:D66)</f>
        <v>95561</v>
      </c>
      <c r="E71" s="73"/>
      <c r="F71" s="73"/>
      <c r="G71" s="73">
        <f>SUM(G34:G66)</f>
        <v>28355</v>
      </c>
      <c r="H71" s="72"/>
      <c r="I71" s="73"/>
      <c r="J71" s="74">
        <f>SUM(J2:J67)</f>
        <v>158286</v>
      </c>
      <c r="K71" s="72"/>
      <c r="L71" s="73"/>
      <c r="M71" s="74">
        <f>SUM(M2:M67)</f>
        <v>23612</v>
      </c>
      <c r="N71" s="12"/>
      <c r="O71" s="12"/>
      <c r="P71" s="69"/>
      <c r="Q71" s="69"/>
      <c r="R71" s="69"/>
      <c r="S71" s="69"/>
      <c r="T71" s="69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  <c r="IY71" s="12"/>
      <c r="IZ71" s="12"/>
      <c r="JA71" s="12"/>
      <c r="JB71" s="12"/>
      <c r="JC71" s="12"/>
      <c r="JD71" s="12"/>
      <c r="JE71" s="12"/>
      <c r="JF71" s="12"/>
      <c r="JG71" s="12"/>
      <c r="JH71" s="12"/>
      <c r="JI71" s="12"/>
      <c r="JJ71" s="12"/>
      <c r="JK71" s="12"/>
      <c r="JL71" s="12"/>
      <c r="JM71" s="12"/>
      <c r="JN71" s="12"/>
      <c r="JO71" s="12"/>
      <c r="JP71" s="12"/>
      <c r="JQ71" s="12"/>
      <c r="JR71" s="12"/>
      <c r="JS71" s="12"/>
      <c r="JT71" s="12"/>
      <c r="JU71" s="12"/>
      <c r="JV71" s="12"/>
      <c r="JW71" s="12"/>
      <c r="JX71" s="12"/>
      <c r="JY71" s="12"/>
      <c r="JZ71" s="12"/>
      <c r="KA71" s="12"/>
      <c r="KB71" s="12"/>
      <c r="KC71" s="12"/>
      <c r="KD71" s="12"/>
      <c r="KE71" s="12"/>
      <c r="KF71" s="12"/>
      <c r="KG71" s="12"/>
      <c r="KH71" s="12"/>
      <c r="KI71" s="12"/>
      <c r="KJ71" s="12"/>
      <c r="KK71" s="12"/>
      <c r="KL71" s="12"/>
      <c r="KM71" s="12"/>
      <c r="KN71" s="12"/>
      <c r="KO71" s="12"/>
      <c r="KP71" s="12"/>
      <c r="KQ71" s="12"/>
      <c r="KR71" s="12"/>
      <c r="KS71" s="12"/>
      <c r="KT71" s="12"/>
      <c r="KU71" s="12"/>
      <c r="KV71" s="12"/>
      <c r="KW71" s="12"/>
      <c r="KX71" s="12"/>
      <c r="KY71" s="12"/>
      <c r="KZ71" s="12"/>
      <c r="LA71" s="12"/>
      <c r="LB71" s="12"/>
      <c r="LC71" s="12"/>
      <c r="LD71" s="12"/>
      <c r="LE71" s="12"/>
      <c r="LF71" s="12"/>
      <c r="LG71" s="12"/>
      <c r="LH71" s="12"/>
      <c r="LI71" s="12"/>
      <c r="LJ71" s="12"/>
      <c r="LK71" s="12"/>
      <c r="LL71" s="12"/>
      <c r="LM71" s="12"/>
      <c r="LN71" s="12"/>
      <c r="LO71" s="12"/>
      <c r="LP71" s="12"/>
      <c r="LQ71" s="12"/>
      <c r="LR71" s="12"/>
      <c r="LS71" s="12"/>
      <c r="LT71" s="12"/>
      <c r="LU71" s="12"/>
      <c r="LV71" s="12"/>
      <c r="LW71" s="12"/>
      <c r="LX71" s="12"/>
      <c r="LY71" s="12"/>
      <c r="LZ71" s="12"/>
      <c r="MA71" s="12"/>
      <c r="MB71" s="12"/>
      <c r="MC71" s="12"/>
      <c r="MD71" s="12"/>
      <c r="ME71" s="12"/>
      <c r="MF71" s="12"/>
      <c r="MG71" s="12"/>
      <c r="MH71" s="12"/>
      <c r="MI71" s="12"/>
      <c r="MJ71" s="12"/>
      <c r="MK71" s="12"/>
      <c r="ML71" s="12"/>
      <c r="MM71" s="12"/>
      <c r="MN71" s="12"/>
      <c r="MO71" s="12"/>
      <c r="MP71" s="12"/>
      <c r="MQ71" s="12"/>
      <c r="MR71" s="12"/>
      <c r="MS71" s="12"/>
      <c r="MT71" s="12"/>
      <c r="MU71" s="12"/>
      <c r="MV71" s="12"/>
      <c r="MW71" s="12"/>
      <c r="MX71" s="12"/>
      <c r="MY71" s="12"/>
      <c r="MZ71" s="12"/>
      <c r="NA71" s="12"/>
      <c r="NB71" s="12"/>
      <c r="NC71" s="12"/>
      <c r="ND71" s="12"/>
      <c r="NE71" s="12"/>
      <c r="NF71" s="12"/>
      <c r="NG71" s="12"/>
      <c r="NH71" s="12"/>
      <c r="NI71" s="12"/>
      <c r="NJ71" s="12"/>
      <c r="NK71" s="12"/>
      <c r="NL71" s="12"/>
      <c r="NM71" s="12"/>
      <c r="NN71" s="12"/>
      <c r="NO71" s="12"/>
      <c r="NP71" s="12"/>
      <c r="NQ71" s="12"/>
      <c r="NR71" s="12"/>
      <c r="NS71" s="12"/>
      <c r="NT71" s="12"/>
      <c r="NU71" s="12"/>
      <c r="NV71" s="12"/>
      <c r="NW71" s="12"/>
      <c r="NX71" s="12"/>
      <c r="NY71" s="12"/>
      <c r="NZ71" s="12"/>
      <c r="OA71" s="12"/>
      <c r="OB71" s="12"/>
      <c r="OC71" s="12"/>
      <c r="OD71" s="12"/>
      <c r="OE71" s="12"/>
      <c r="OF71" s="12"/>
      <c r="OG71" s="12"/>
      <c r="OH71" s="12"/>
      <c r="OI71" s="12"/>
      <c r="OJ71" s="12"/>
      <c r="OK71" s="12"/>
      <c r="OL71" s="12"/>
      <c r="OM71" s="12"/>
      <c r="ON71" s="12"/>
      <c r="OO71" s="12"/>
      <c r="OP71" s="12"/>
      <c r="OQ71" s="12"/>
      <c r="OR71" s="12"/>
      <c r="OS71" s="12"/>
      <c r="OT71" s="12"/>
      <c r="OU71" s="12"/>
      <c r="OV71" s="12"/>
      <c r="OW71" s="12"/>
      <c r="OX71" s="12"/>
      <c r="OY71" s="12"/>
      <c r="OZ71" s="12"/>
      <c r="PA71" s="12"/>
      <c r="PB71" s="12"/>
      <c r="PC71" s="12"/>
      <c r="PD71" s="12"/>
      <c r="PE71" s="12"/>
      <c r="PF71" s="12"/>
      <c r="PG71" s="12"/>
      <c r="PH71" s="12"/>
      <c r="PI71" s="12"/>
      <c r="PJ71" s="12"/>
      <c r="PK71" s="12"/>
      <c r="PL71" s="12"/>
      <c r="PM71" s="12"/>
      <c r="PN71" s="12"/>
      <c r="PO71" s="12"/>
      <c r="PP71" s="12"/>
      <c r="PQ71" s="12"/>
      <c r="PR71" s="12"/>
      <c r="PS71" s="12"/>
      <c r="PT71" s="12"/>
      <c r="PU71" s="12"/>
      <c r="PV71" s="12"/>
      <c r="PW71" s="12"/>
      <c r="PX71" s="12"/>
      <c r="PY71" s="12"/>
      <c r="PZ71" s="12"/>
      <c r="QA71" s="12"/>
      <c r="QB71" s="12"/>
      <c r="QC71" s="12"/>
      <c r="QD71" s="12"/>
      <c r="QE71" s="12"/>
      <c r="QF71" s="12"/>
      <c r="QG71" s="12"/>
      <c r="QH71" s="12"/>
      <c r="QI71" s="12"/>
      <c r="QJ71" s="12"/>
      <c r="QK71" s="12"/>
      <c r="QL71" s="12"/>
      <c r="QM71" s="12"/>
      <c r="QN71" s="12"/>
      <c r="QO71" s="12"/>
      <c r="QP71" s="12"/>
      <c r="QQ71" s="12"/>
      <c r="QR71" s="12"/>
      <c r="QS71" s="12"/>
      <c r="QT71" s="12"/>
      <c r="QU71" s="12"/>
      <c r="QV71" s="12"/>
      <c r="QW71" s="12"/>
      <c r="QX71" s="12"/>
      <c r="QY71" s="12"/>
      <c r="QZ71" s="12"/>
      <c r="RA71" s="12"/>
      <c r="RB71" s="12"/>
      <c r="RC71" s="12"/>
      <c r="RD71" s="12"/>
      <c r="RE71" s="12"/>
      <c r="RF71" s="12"/>
      <c r="RG71" s="12"/>
      <c r="RH71" s="12"/>
      <c r="RI71" s="12"/>
      <c r="RJ71" s="12"/>
      <c r="RK71" s="12"/>
      <c r="RL71" s="12"/>
      <c r="RM71" s="12"/>
      <c r="RN71" s="12"/>
      <c r="RO71" s="12"/>
      <c r="RP71" s="12"/>
      <c r="RQ71" s="12"/>
      <c r="RR71" s="12"/>
      <c r="RS71" s="12"/>
      <c r="RT71" s="12"/>
      <c r="RU71" s="12"/>
      <c r="RV71" s="12"/>
      <c r="RW71" s="12"/>
      <c r="RX71" s="12"/>
      <c r="RY71" s="12"/>
      <c r="RZ71" s="12"/>
      <c r="SA71" s="12"/>
      <c r="SB71" s="12"/>
      <c r="SC71" s="12"/>
      <c r="SD71" s="12"/>
      <c r="SE71" s="12"/>
      <c r="SF71" s="12"/>
      <c r="SG71" s="12"/>
      <c r="SH71" s="12"/>
      <c r="SI71" s="12"/>
      <c r="SJ71" s="12"/>
      <c r="SK71" s="12"/>
      <c r="SL71" s="12"/>
      <c r="SM71" s="12"/>
      <c r="SN71" s="12"/>
      <c r="SO71" s="12"/>
      <c r="SP71" s="12"/>
      <c r="SQ71" s="12"/>
      <c r="SR71" s="12"/>
      <c r="SS71" s="12"/>
      <c r="ST71" s="12"/>
      <c r="SU71" s="12"/>
      <c r="SV71" s="12"/>
      <c r="SW71" s="12"/>
      <c r="SX71" s="12"/>
      <c r="SY71" s="12"/>
      <c r="SZ71" s="12"/>
      <c r="TA71" s="12"/>
      <c r="TB71" s="12"/>
      <c r="TC71" s="12"/>
      <c r="TD71" s="12"/>
      <c r="TE71" s="12"/>
      <c r="TF71" s="12"/>
      <c r="TG71" s="12"/>
      <c r="TH71" s="12"/>
      <c r="TI71" s="12"/>
      <c r="TJ71" s="12"/>
      <c r="TK71" s="12"/>
      <c r="TL71" s="12"/>
      <c r="TM71" s="12"/>
      <c r="TN71" s="12"/>
      <c r="TO71" s="12"/>
      <c r="TP71" s="12"/>
      <c r="TQ71" s="12"/>
      <c r="TR71" s="12"/>
      <c r="TS71" s="12"/>
      <c r="TT71" s="12"/>
      <c r="TU71" s="12"/>
      <c r="TV71" s="12"/>
      <c r="TW71" s="12"/>
      <c r="TX71" s="12"/>
      <c r="TY71" s="12"/>
      <c r="TZ71" s="12"/>
      <c r="UA71" s="12"/>
      <c r="UB71" s="12"/>
      <c r="UC71" s="12"/>
      <c r="UD71" s="12"/>
      <c r="UE71" s="12"/>
      <c r="UF71" s="12"/>
      <c r="UG71" s="12"/>
      <c r="UH71" s="12"/>
      <c r="UI71" s="12"/>
      <c r="UJ71" s="12"/>
      <c r="UK71" s="12"/>
      <c r="UL71" s="12"/>
      <c r="UM71" s="12"/>
      <c r="UN71" s="12"/>
      <c r="UO71" s="12"/>
      <c r="UP71" s="12"/>
      <c r="UQ71" s="12"/>
      <c r="UR71" s="12"/>
      <c r="US71" s="12"/>
      <c r="UT71" s="12"/>
      <c r="UU71" s="12"/>
      <c r="UV71" s="12"/>
      <c r="UW71" s="12"/>
      <c r="UX71" s="12"/>
      <c r="UY71" s="12"/>
      <c r="UZ71" s="12"/>
      <c r="VA71" s="12"/>
      <c r="VB71" s="12"/>
      <c r="VC71" s="12"/>
      <c r="VD71" s="12"/>
      <c r="VE71" s="12"/>
      <c r="VF71" s="12"/>
      <c r="VG71" s="12"/>
      <c r="VH71" s="12"/>
      <c r="VI71" s="12"/>
      <c r="VJ71" s="12"/>
      <c r="VK71" s="12"/>
      <c r="VL71" s="12"/>
      <c r="VM71" s="12"/>
      <c r="VN71" s="12"/>
      <c r="VO71" s="12"/>
      <c r="VP71" s="12"/>
      <c r="VQ71" s="12"/>
      <c r="VR71" s="12"/>
      <c r="VS71" s="12"/>
      <c r="VT71" s="12"/>
      <c r="VU71" s="12"/>
      <c r="VV71" s="12"/>
      <c r="VW71" s="12"/>
      <c r="VX71" s="12"/>
      <c r="VY71" s="12"/>
      <c r="VZ71" s="12"/>
      <c r="WA71" s="12"/>
      <c r="WB71" s="12"/>
      <c r="WC71" s="12"/>
      <c r="WD71" s="12"/>
      <c r="WE71" s="12"/>
      <c r="WF71" s="12"/>
      <c r="WG71" s="12"/>
      <c r="WH71" s="12"/>
      <c r="WI71" s="12"/>
      <c r="WJ71" s="12"/>
      <c r="WK71" s="12"/>
      <c r="WL71" s="12"/>
      <c r="WM71" s="12"/>
      <c r="WN71" s="12"/>
      <c r="WO71" s="12"/>
      <c r="WP71" s="12"/>
      <c r="WQ71" s="12"/>
      <c r="WR71" s="12"/>
      <c r="WS71" s="12"/>
      <c r="WT71" s="12"/>
      <c r="WU71" s="12"/>
      <c r="WV71" s="12"/>
      <c r="WW71" s="12"/>
      <c r="WX71" s="12"/>
      <c r="WY71" s="12"/>
      <c r="WZ71" s="12"/>
      <c r="XA71" s="12"/>
      <c r="XB71" s="12"/>
      <c r="XC71" s="12"/>
      <c r="XD71" s="12"/>
      <c r="XE71" s="12"/>
      <c r="XF71" s="12"/>
      <c r="XG71" s="12"/>
      <c r="XH71" s="12"/>
      <c r="XI71" s="12"/>
      <c r="XJ71" s="12"/>
      <c r="XK71" s="12"/>
      <c r="XL71" s="12"/>
      <c r="XM71" s="12"/>
      <c r="XN71" s="12"/>
      <c r="XO71" s="12"/>
      <c r="XP71" s="12"/>
      <c r="XQ71" s="12"/>
      <c r="XR71" s="12"/>
      <c r="XS71" s="12"/>
      <c r="XT71" s="12"/>
      <c r="XU71" s="12"/>
      <c r="XV71" s="12"/>
      <c r="XW71" s="12"/>
      <c r="XX71" s="12"/>
      <c r="XY71" s="12"/>
      <c r="XZ71" s="12"/>
      <c r="YA71" s="12"/>
      <c r="YB71" s="12"/>
      <c r="YC71" s="12"/>
      <c r="YD71" s="12"/>
      <c r="YE71" s="12"/>
      <c r="YF71" s="12"/>
      <c r="YG71" s="12"/>
      <c r="YH71" s="12"/>
      <c r="YI71" s="12"/>
      <c r="YJ71" s="12"/>
      <c r="YK71" s="12"/>
      <c r="YL71" s="12"/>
      <c r="YM71" s="12"/>
      <c r="YN71" s="12"/>
      <c r="YO71" s="12"/>
      <c r="YP71" s="12"/>
      <c r="YQ71" s="12"/>
      <c r="YR71" s="12"/>
      <c r="YS71" s="12"/>
      <c r="YT71" s="12"/>
      <c r="YU71" s="12"/>
      <c r="YV71" s="12"/>
      <c r="YW71" s="12"/>
      <c r="YX71" s="12"/>
      <c r="YY71" s="12"/>
      <c r="YZ71" s="12"/>
      <c r="ZA71" s="12"/>
      <c r="ZB71" s="12"/>
      <c r="ZC71" s="12"/>
      <c r="ZD71" s="12"/>
      <c r="ZE71" s="12"/>
      <c r="ZF71" s="12"/>
      <c r="ZG71" s="12"/>
      <c r="ZH71" s="12"/>
      <c r="ZI71" s="12"/>
      <c r="ZJ71" s="12"/>
      <c r="ZK71" s="12"/>
      <c r="ZL71" s="12"/>
      <c r="ZM71" s="12"/>
      <c r="ZN71" s="12"/>
      <c r="ZO71" s="12"/>
      <c r="ZP71" s="12"/>
      <c r="ZQ71" s="12"/>
      <c r="ZR71" s="12"/>
      <c r="ZS71" s="12"/>
      <c r="ZT71" s="12"/>
      <c r="ZU71" s="12"/>
      <c r="ZV71" s="12"/>
      <c r="ZW71" s="12"/>
      <c r="ZX71" s="12"/>
      <c r="ZY71" s="12"/>
      <c r="ZZ71" s="12"/>
      <c r="AAA71" s="12"/>
      <c r="AAB71" s="12"/>
      <c r="AAC71" s="12"/>
      <c r="AAD71" s="12"/>
      <c r="AAE71" s="12"/>
      <c r="AAF71" s="12"/>
      <c r="AAG71" s="12"/>
      <c r="AAH71" s="12"/>
      <c r="AAI71" s="12"/>
      <c r="AAJ71" s="12"/>
      <c r="AAK71" s="12"/>
      <c r="AAL71" s="12"/>
      <c r="AAM71" s="12"/>
      <c r="AAN71" s="12"/>
      <c r="AAO71" s="12"/>
      <c r="AAP71" s="12"/>
      <c r="AAQ71" s="12"/>
      <c r="AAR71" s="12"/>
      <c r="AAS71" s="12"/>
      <c r="AAT71" s="12"/>
      <c r="AAU71" s="12"/>
      <c r="AAV71" s="12"/>
      <c r="AAW71" s="12"/>
      <c r="AAX71" s="12"/>
      <c r="AAY71" s="12"/>
      <c r="AAZ71" s="12"/>
      <c r="ABA71" s="12"/>
      <c r="ABB71" s="12"/>
      <c r="ABC71" s="12"/>
      <c r="ABD71" s="12"/>
      <c r="ABE71" s="12"/>
      <c r="ABF71" s="12"/>
      <c r="ABG71" s="12"/>
      <c r="ABH71" s="12"/>
      <c r="ABI71" s="12"/>
      <c r="ABJ71" s="12"/>
      <c r="ABK71" s="12"/>
      <c r="ABL71" s="12"/>
      <c r="ABM71" s="12"/>
      <c r="ABN71" s="12"/>
      <c r="ABO71" s="12"/>
      <c r="ABP71" s="12"/>
      <c r="ABQ71" s="12"/>
      <c r="ABR71" s="12"/>
      <c r="ABS71" s="12"/>
      <c r="ABT71" s="12"/>
      <c r="ABU71" s="12"/>
      <c r="ABV71" s="12"/>
      <c r="ABW71" s="12"/>
      <c r="ABX71" s="12"/>
      <c r="ABY71" s="12"/>
      <c r="ABZ71" s="12"/>
      <c r="ACA71" s="12"/>
      <c r="ACB71" s="12"/>
      <c r="ACC71" s="12"/>
      <c r="ACD71" s="12"/>
      <c r="ACE71" s="12"/>
      <c r="ACF71" s="12"/>
      <c r="ACG71" s="12"/>
      <c r="ACH71" s="12"/>
      <c r="ACI71" s="12"/>
      <c r="ACJ71" s="12"/>
      <c r="ACK71" s="12"/>
      <c r="ACL71" s="12"/>
      <c r="ACM71" s="12"/>
      <c r="ACN71" s="12"/>
      <c r="ACO71" s="12"/>
      <c r="ACP71" s="12"/>
      <c r="ACQ71" s="12"/>
      <c r="ACR71" s="12"/>
      <c r="ACS71" s="12"/>
      <c r="ACT71" s="12"/>
      <c r="ACU71" s="12"/>
      <c r="ACV71" s="12"/>
      <c r="ACW71" s="12"/>
      <c r="ACX71" s="12"/>
      <c r="ACY71" s="12"/>
      <c r="ACZ71" s="12"/>
      <c r="ADA71" s="12"/>
      <c r="ADB71" s="12"/>
      <c r="ADC71" s="12"/>
      <c r="ADD71" s="12"/>
      <c r="ADE71" s="12"/>
      <c r="ADF71" s="12"/>
      <c r="ADG71" s="12"/>
      <c r="ADH71" s="12"/>
      <c r="ADI71" s="12"/>
      <c r="ADJ71" s="12"/>
      <c r="ADK71" s="12"/>
      <c r="ADL71" s="12"/>
      <c r="ADM71" s="12"/>
      <c r="ADN71" s="12"/>
      <c r="ADO71" s="12"/>
      <c r="ADP71" s="12"/>
      <c r="ADQ71" s="12"/>
      <c r="ADR71" s="12"/>
      <c r="ADS71" s="12"/>
      <c r="ADT71" s="12"/>
      <c r="ADU71" s="12"/>
      <c r="ADV71" s="12"/>
      <c r="ADW71" s="12"/>
      <c r="ADX71" s="12"/>
      <c r="ADY71" s="12"/>
      <c r="ADZ71" s="12"/>
      <c r="AEA71" s="12"/>
      <c r="AEB71" s="12"/>
      <c r="AEC71" s="12"/>
      <c r="AED71" s="12"/>
      <c r="AEE71" s="12"/>
      <c r="AEF71" s="12"/>
      <c r="AEG71" s="12"/>
      <c r="AEH71" s="12"/>
      <c r="AEI71" s="12"/>
      <c r="AEJ71" s="12"/>
      <c r="AEK71" s="12"/>
      <c r="AEL71" s="12"/>
      <c r="AEM71" s="12"/>
      <c r="AEN71" s="12"/>
      <c r="AEO71" s="12"/>
      <c r="AEP71" s="12"/>
      <c r="AEQ71" s="12"/>
      <c r="AER71" s="12"/>
      <c r="AES71" s="12"/>
      <c r="AET71" s="12"/>
      <c r="AEU71" s="12"/>
      <c r="AEV71" s="12"/>
    </row>
    <row r="72" spans="1:828" x14ac:dyDescent="0.2">
      <c r="D72" s="78"/>
      <c r="E72" s="79"/>
      <c r="F72" s="79"/>
      <c r="G72" s="79"/>
      <c r="K72" s="27"/>
      <c r="L72" s="27"/>
      <c r="M72" s="29"/>
    </row>
    <row r="73" spans="1:828" x14ac:dyDescent="0.2">
      <c r="K73" s="27"/>
      <c r="L73" s="27"/>
      <c r="M73" s="29"/>
    </row>
    <row r="74" spans="1:828" x14ac:dyDescent="0.2">
      <c r="D74" s="80">
        <f>D71+G71</f>
        <v>123916</v>
      </c>
      <c r="J74" s="80">
        <f>J71+M71</f>
        <v>181898</v>
      </c>
      <c r="K74" s="27"/>
      <c r="L74" s="27"/>
      <c r="M74" s="29"/>
    </row>
    <row r="75" spans="1:828" x14ac:dyDescent="0.2">
      <c r="D75" s="78">
        <f>D71/D74</f>
        <v>0.77117563510765352</v>
      </c>
      <c r="K75" s="27"/>
      <c r="L75" s="27"/>
      <c r="M75" s="29"/>
    </row>
    <row r="76" spans="1:828" x14ac:dyDescent="0.2">
      <c r="J76" s="7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Mexico_city</vt:lpstr>
      <vt:lpstr>out-mexico-city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Zhanchao</dc:creator>
  <cp:lastModifiedBy>Yang, Zhanchao</cp:lastModifiedBy>
  <dcterms:created xsi:type="dcterms:W3CDTF">2025-09-15T15:43:05Z</dcterms:created>
  <dcterms:modified xsi:type="dcterms:W3CDTF">2025-09-15T17:13:47Z</dcterms:modified>
</cp:coreProperties>
</file>