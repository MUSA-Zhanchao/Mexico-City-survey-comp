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anchaoyang/Desktop/Mexico-City-survey-comp/doc/"/>
    </mc:Choice>
  </mc:AlternateContent>
  <xr:revisionPtr revIDLastSave="0" documentId="13_ncr:1_{91A8351C-3BA4-3949-9957-BE67B8AEA420}" xr6:coauthVersionLast="47" xr6:coauthVersionMax="47" xr10:uidLastSave="{00000000-0000-0000-0000-000000000000}"/>
  <bookViews>
    <workbookView xWindow="0" yWindow="860" windowWidth="30520" windowHeight="19000" activeTab="1" xr2:uid="{3EF6F1BB-ED37-3543-A6D9-F80F42A03DF8}"/>
  </bookViews>
  <sheets>
    <sheet name="Mexico_city" sheetId="1" r:id="rId1"/>
    <sheet name="out-mexico-cit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5" i="2" l="1"/>
  <c r="O36" i="2"/>
  <c r="O37" i="2"/>
  <c r="O38" i="2"/>
  <c r="O39" i="2"/>
  <c r="O40" i="2"/>
  <c r="O41" i="2"/>
  <c r="O42" i="2"/>
  <c r="O47" i="2"/>
  <c r="O48" i="2"/>
  <c r="O49" i="2"/>
  <c r="O60" i="2"/>
  <c r="O61" i="2"/>
  <c r="O66" i="2"/>
  <c r="O34" i="2"/>
  <c r="N60" i="2"/>
  <c r="N61" i="2"/>
  <c r="N66" i="2"/>
  <c r="N35" i="2"/>
  <c r="N36" i="2"/>
  <c r="N37" i="2"/>
  <c r="N38" i="2"/>
  <c r="N39" i="2"/>
  <c r="N40" i="2"/>
  <c r="N41" i="2"/>
  <c r="N47" i="2"/>
  <c r="N48" i="2"/>
  <c r="N49" i="2"/>
  <c r="N34" i="2"/>
  <c r="J74" i="2"/>
  <c r="N42" i="1"/>
  <c r="O60" i="1"/>
  <c r="O61" i="1"/>
  <c r="O35" i="1"/>
  <c r="O36" i="1"/>
  <c r="O37" i="1"/>
  <c r="O38" i="1"/>
  <c r="O39" i="1"/>
  <c r="O40" i="1"/>
  <c r="O41" i="1"/>
  <c r="O42" i="1"/>
  <c r="O47" i="1"/>
  <c r="O48" i="1"/>
  <c r="O49" i="1"/>
  <c r="O34" i="1"/>
  <c r="N60" i="1"/>
  <c r="N61" i="1"/>
  <c r="N35" i="1"/>
  <c r="N36" i="1"/>
  <c r="N37" i="1"/>
  <c r="N38" i="1"/>
  <c r="N39" i="1"/>
  <c r="N40" i="1"/>
  <c r="N41" i="1"/>
  <c r="N47" i="1"/>
  <c r="N48" i="1"/>
  <c r="N49" i="1"/>
  <c r="N34" i="1"/>
  <c r="D34" i="2"/>
  <c r="D66" i="2" l="1"/>
  <c r="D5" i="2"/>
  <c r="D71" i="2" s="1"/>
  <c r="D28" i="2"/>
  <c r="M71" i="2"/>
  <c r="J71" i="2"/>
  <c r="G71" i="2"/>
  <c r="D34" i="1"/>
  <c r="D74" i="2" l="1"/>
  <c r="B34" i="2" s="1"/>
  <c r="H66" i="2"/>
  <c r="K47" i="2"/>
  <c r="H5" i="2"/>
  <c r="K60" i="2"/>
  <c r="K34" i="2"/>
  <c r="H20" i="2"/>
  <c r="H60" i="2"/>
  <c r="H34" i="2"/>
  <c r="H11" i="2"/>
  <c r="H47" i="2"/>
  <c r="H28" i="2"/>
  <c r="H2" i="2"/>
  <c r="K66" i="2"/>
  <c r="D66" i="1"/>
  <c r="D5" i="1"/>
  <c r="D71" i="1" s="1"/>
  <c r="D28" i="1"/>
  <c r="M71" i="1"/>
  <c r="J71" i="1"/>
  <c r="G71" i="1"/>
  <c r="E47" i="2" l="1"/>
  <c r="B20" i="2"/>
  <c r="E60" i="2"/>
  <c r="E34" i="2"/>
  <c r="B60" i="2"/>
  <c r="B11" i="2"/>
  <c r="E66" i="2"/>
  <c r="B66" i="2"/>
  <c r="B47" i="2"/>
  <c r="B28" i="2"/>
  <c r="B5" i="2"/>
  <c r="D75" i="2"/>
  <c r="D74" i="1"/>
  <c r="J74" i="1"/>
  <c r="K66" i="1" l="1"/>
  <c r="H60" i="1"/>
  <c r="H66" i="1"/>
  <c r="H28" i="1"/>
  <c r="H2" i="1"/>
  <c r="H20" i="1"/>
  <c r="K47" i="1"/>
  <c r="K34" i="1"/>
  <c r="H47" i="1"/>
  <c r="H34" i="1"/>
  <c r="H11" i="1"/>
  <c r="K60" i="1"/>
  <c r="H5" i="1"/>
  <c r="B47" i="1"/>
  <c r="E60" i="1"/>
  <c r="B5" i="1"/>
  <c r="E66" i="1"/>
  <c r="B60" i="1"/>
  <c r="B66" i="1"/>
  <c r="B28" i="1"/>
  <c r="B20" i="1"/>
  <c r="E47" i="1"/>
  <c r="E34" i="1"/>
  <c r="B11" i="1"/>
  <c r="D75" i="1"/>
  <c r="B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Eilleen</author>
  </authors>
  <commentList>
    <comment ref="H6" authorId="0" shapeId="0" xr:uid="{5419182B-1708-4943-9CA7-6888389DD2C8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  <comment ref="K6" authorId="0" shapeId="0" xr:uid="{4C61BF19-344F-BA40-9FFE-D87EBFF3EF2A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Eilleen</author>
  </authors>
  <commentList>
    <comment ref="H6" authorId="0" shapeId="0" xr:uid="{DD3491A4-1653-274A-984D-9F797AD1261D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  <comment ref="K6" authorId="0" shapeId="0" xr:uid="{8C12769C-090A-9B41-91E8-4783A78CBC64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</commentList>
</comments>
</file>

<file path=xl/sharedStrings.xml><?xml version="1.0" encoding="utf-8"?>
<sst xmlns="http://schemas.openxmlformats.org/spreadsheetml/2006/main" count="156" uniqueCount="76">
  <si>
    <t>x</t>
  </si>
  <si>
    <t>single_label</t>
  </si>
  <si>
    <t>count</t>
  </si>
  <si>
    <t>multi_label</t>
  </si>
  <si>
    <t>count2</t>
  </si>
  <si>
    <t>single_la_17</t>
  </si>
  <si>
    <t>count_1</t>
  </si>
  <si>
    <t>multi_la_17</t>
  </si>
  <si>
    <t>count_2</t>
  </si>
  <si>
    <t>Walk</t>
  </si>
  <si>
    <t>NA</t>
  </si>
  <si>
    <t>caminar en la calle (14)</t>
  </si>
  <si>
    <t>Bike</t>
  </si>
  <si>
    <t>Bicicleta (B)</t>
  </si>
  <si>
    <t>Bicicleta (07)</t>
  </si>
  <si>
    <t>Car</t>
  </si>
  <si>
    <t>automovil (9)</t>
  </si>
  <si>
    <t>automovil (01)</t>
  </si>
  <si>
    <t>Taxi (maybe lump with car)</t>
  </si>
  <si>
    <t>Taxi (8)</t>
  </si>
  <si>
    <t>Taxi (App) (03)</t>
  </si>
  <si>
    <t>Taxi (04)</t>
  </si>
  <si>
    <t>Bicitaxi (16)</t>
  </si>
  <si>
    <t>Mototaxi (17)</t>
  </si>
  <si>
    <t>Motorcycle</t>
  </si>
  <si>
    <t>Moto (A)</t>
  </si>
  <si>
    <t>Moto (09)</t>
  </si>
  <si>
    <t>Metro &amp; Light rail</t>
  </si>
  <si>
    <t>Metro, light rail (only)</t>
  </si>
  <si>
    <t>Metro(05)</t>
  </si>
  <si>
    <t>BRT+metro</t>
  </si>
  <si>
    <t>Bus+Metro</t>
  </si>
  <si>
    <t>Tren Ligero(12)</t>
  </si>
  <si>
    <t>Metro+ other mode of metro</t>
  </si>
  <si>
    <t>Tren suburbano (13)</t>
  </si>
  <si>
    <t>Metro +BRT +bus</t>
  </si>
  <si>
    <t>Mexicable  (15)</t>
  </si>
  <si>
    <t>Metro+other</t>
  </si>
  <si>
    <t>BRT +bus +metro</t>
  </si>
  <si>
    <t>BRT + Metro+other</t>
  </si>
  <si>
    <t>Metro+BRT+ bus+other</t>
  </si>
  <si>
    <t>Bus+metro+other</t>
  </si>
  <si>
    <t>BRT+bus+metro+other</t>
  </si>
  <si>
    <t>BRT</t>
  </si>
  <si>
    <t>Metrobus (only)</t>
  </si>
  <si>
    <t>metrobus,Mexibus(11)</t>
  </si>
  <si>
    <t>BRT+Bus</t>
  </si>
  <si>
    <t>BRT+other</t>
  </si>
  <si>
    <t>BRT +bus +other</t>
  </si>
  <si>
    <t>Non BRT bus</t>
  </si>
  <si>
    <t>Trolebus (4)</t>
  </si>
  <si>
    <t>Trolebus (Trolley) (10)</t>
  </si>
  <si>
    <t>Bus+other Bus (two mode of bus connect)</t>
  </si>
  <si>
    <t>Autobus RTP Autobus (5)</t>
  </si>
  <si>
    <t>Autobus RTP M1 (06)</t>
  </si>
  <si>
    <t>Bus+ other</t>
  </si>
  <si>
    <t>Colectivo (only) (7)</t>
  </si>
  <si>
    <t>Autobus (08)</t>
  </si>
  <si>
    <t>Colectivo/Micro (02)</t>
  </si>
  <si>
    <t>Transporte  escolar  (18)</t>
  </si>
  <si>
    <t>Other</t>
  </si>
  <si>
    <t>Otro  (C )</t>
  </si>
  <si>
    <t>Other mode combined (no public transit)</t>
  </si>
  <si>
    <t>Otro (20)</t>
  </si>
  <si>
    <t>Other mode combined (no public transit involved)</t>
  </si>
  <si>
    <t>Transporte  de personal (19)</t>
  </si>
  <si>
    <t>sum</t>
  </si>
  <si>
    <t>Bus+metro</t>
  </si>
  <si>
    <t>bus</t>
  </si>
  <si>
    <t>Metro</t>
  </si>
  <si>
    <t>Bus+ Other</t>
  </si>
  <si>
    <t>bus+metro+other</t>
  </si>
  <si>
    <t>metro+other</t>
  </si>
  <si>
    <t>BRT+bus</t>
  </si>
  <si>
    <t>BRT+Metro+other</t>
  </si>
  <si>
    <t>BRT+bus+other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</si>
</sst>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0"/>
      <color theme="1"/>
      <name val="Arial"/>
      <family val="2"/>
    </font>
    <font>
      <b/>
      <sz val="20"/>
      <color theme="0"/>
      <name val="Arial"/>
      <family val="2"/>
    </font>
    <font>
      <b/>
      <sz val="14"/>
      <color rgb="FF000000"/>
      <name val="Arial"/>
      <family val="2"/>
    </font>
    <font>
      <sz val="12"/>
      <color rgb="FFFF0000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4"/>
      <color rgb="FF000000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sz val="11"/>
      <color rgb="FFFF0000"/>
      <name val="Arial"/>
      <family val="2"/>
    </font>
    <font>
      <sz val="14"/>
      <color theme="1"/>
      <name val="Arial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0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10" fontId="5" fillId="3" borderId="2" xfId="1" applyNumberFormat="1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6" fillId="3" borderId="5" xfId="0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4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4" fillId="3" borderId="8" xfId="0" applyFont="1" applyFill="1" applyBorder="1" applyAlignment="1">
      <alignment horizontal="left" vertical="center" wrapText="1"/>
    </xf>
    <xf numFmtId="0" fontId="5" fillId="3" borderId="9" xfId="0" applyFont="1" applyFill="1" applyBorder="1" applyAlignment="1">
      <alignment horizontal="left" vertical="center"/>
    </xf>
    <xf numFmtId="0" fontId="6" fillId="3" borderId="10" xfId="0" applyFont="1" applyFill="1" applyBorder="1" applyAlignment="1">
      <alignment horizontal="left" vertical="center"/>
    </xf>
    <xf numFmtId="0" fontId="6" fillId="3" borderId="1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10" fontId="6" fillId="4" borderId="5" xfId="1" applyNumberFormat="1" applyFont="1" applyFill="1" applyBorder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6" fillId="4" borderId="4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10" fontId="5" fillId="4" borderId="2" xfId="1" applyNumberFormat="1" applyFont="1" applyFill="1" applyBorder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4" fillId="4" borderId="6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4" borderId="5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/>
    </xf>
    <xf numFmtId="0" fontId="8" fillId="3" borderId="6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5" fillId="3" borderId="5" xfId="0" applyFont="1" applyFill="1" applyBorder="1" applyAlignment="1">
      <alignment horizontal="left" vertical="center"/>
    </xf>
    <xf numFmtId="10" fontId="6" fillId="4" borderId="0" xfId="1" applyNumberFormat="1" applyFont="1" applyFill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 wrapText="1"/>
    </xf>
    <xf numFmtId="0" fontId="6" fillId="4" borderId="10" xfId="0" applyFont="1" applyFill="1" applyBorder="1" applyAlignment="1">
      <alignment horizontal="left" vertical="center"/>
    </xf>
    <xf numFmtId="0" fontId="6" fillId="4" borderId="11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horizontal="left" vertical="center"/>
    </xf>
    <xf numFmtId="0" fontId="7" fillId="4" borderId="10" xfId="0" applyFont="1" applyFill="1" applyBorder="1" applyAlignment="1">
      <alignment horizontal="left" vertical="center"/>
    </xf>
    <xf numFmtId="10" fontId="6" fillId="3" borderId="0" xfId="1" applyNumberFormat="1" applyFont="1" applyFill="1" applyAlignment="1">
      <alignment horizontal="left" vertical="center"/>
    </xf>
    <xf numFmtId="10" fontId="5" fillId="3" borderId="7" xfId="1" applyNumberFormat="1" applyFont="1" applyFill="1" applyBorder="1" applyAlignment="1">
      <alignment horizontal="left" vertical="center"/>
    </xf>
    <xf numFmtId="10" fontId="6" fillId="4" borderId="3" xfId="1" applyNumberFormat="1" applyFont="1" applyFill="1" applyBorder="1" applyAlignment="1">
      <alignment horizontal="left" vertical="center"/>
    </xf>
    <xf numFmtId="10" fontId="7" fillId="0" borderId="0" xfId="1" applyNumberFormat="1" applyFont="1" applyAlignment="1">
      <alignment horizontal="left" vertical="center"/>
    </xf>
    <xf numFmtId="10" fontId="0" fillId="0" borderId="0" xfId="1" applyNumberFormat="1" applyFont="1" applyAlignment="1"/>
    <xf numFmtId="0" fontId="9" fillId="4" borderId="6" xfId="0" applyFont="1" applyFill="1" applyBorder="1" applyAlignment="1">
      <alignment horizontal="left" vertical="center" wrapText="1"/>
    </xf>
    <xf numFmtId="10" fontId="5" fillId="4" borderId="7" xfId="1" applyNumberFormat="1" applyFont="1" applyFill="1" applyBorder="1" applyAlignment="1">
      <alignment horizontal="left" vertical="center"/>
    </xf>
    <xf numFmtId="10" fontId="0" fillId="0" borderId="0" xfId="0" applyNumberFormat="1"/>
    <xf numFmtId="0" fontId="10" fillId="4" borderId="12" xfId="0" applyFont="1" applyFill="1" applyBorder="1" applyAlignment="1">
      <alignment horizontal="left" vertical="center" wrapText="1" indent="1"/>
    </xf>
    <xf numFmtId="10" fontId="7" fillId="4" borderId="0" xfId="1" applyNumberFormat="1" applyFont="1" applyFill="1" applyAlignment="1">
      <alignment horizontal="left" vertical="center"/>
    </xf>
    <xf numFmtId="0" fontId="5" fillId="4" borderId="13" xfId="0" applyFont="1" applyFill="1" applyBorder="1" applyAlignment="1">
      <alignment horizontal="left" vertical="center"/>
    </xf>
    <xf numFmtId="0" fontId="5" fillId="4" borderId="14" xfId="0" applyFont="1" applyFill="1" applyBorder="1" applyAlignment="1">
      <alignment horizontal="left" vertical="center"/>
    </xf>
    <xf numFmtId="10" fontId="5" fillId="4" borderId="13" xfId="1" applyNumberFormat="1" applyFont="1" applyFill="1" applyBorder="1" applyAlignment="1">
      <alignment horizontal="left" vertical="center"/>
    </xf>
    <xf numFmtId="0" fontId="6" fillId="4" borderId="13" xfId="0" applyFont="1" applyFill="1" applyBorder="1" applyAlignment="1">
      <alignment horizontal="left" vertical="center"/>
    </xf>
    <xf numFmtId="10" fontId="5" fillId="4" borderId="15" xfId="1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4" borderId="13" xfId="0" applyFont="1" applyFill="1" applyBorder="1" applyAlignment="1">
      <alignment horizontal="left" vertical="center"/>
    </xf>
    <xf numFmtId="0" fontId="8" fillId="4" borderId="6" xfId="0" applyFont="1" applyFill="1" applyBorder="1" applyAlignment="1">
      <alignment horizontal="left" vertical="center" wrapText="1" indent="1"/>
    </xf>
    <xf numFmtId="0" fontId="8" fillId="4" borderId="16" xfId="0" applyFont="1" applyFill="1" applyBorder="1" applyAlignment="1">
      <alignment horizontal="left" vertical="center" wrapText="1" indent="1"/>
    </xf>
    <xf numFmtId="0" fontId="6" fillId="4" borderId="17" xfId="0" applyFont="1" applyFill="1" applyBorder="1" applyAlignment="1">
      <alignment horizontal="left" vertical="center"/>
    </xf>
    <xf numFmtId="0" fontId="6" fillId="4" borderId="18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5" fillId="4" borderId="19" xfId="0" applyFont="1" applyFill="1" applyBorder="1" applyAlignment="1">
      <alignment horizontal="left" vertical="center"/>
    </xf>
    <xf numFmtId="0" fontId="12" fillId="4" borderId="6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2" fillId="4" borderId="8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10" fontId="5" fillId="5" borderId="7" xfId="0" applyNumberFormat="1" applyFont="1" applyFill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6" fillId="5" borderId="5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10" fontId="7" fillId="0" borderId="5" xfId="1" applyNumberFormat="1" applyFont="1" applyBorder="1" applyAlignment="1">
      <alignment horizontal="left" vertical="center"/>
    </xf>
    <xf numFmtId="10" fontId="7" fillId="0" borderId="0" xfId="1" applyNumberFormat="1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D7E98-42FB-CC41-8BEF-B3C0E62E0D68}">
  <dimension ref="A1:AEV76"/>
  <sheetViews>
    <sheetView topLeftCell="A31" workbookViewId="0">
      <selection activeCell="E40" sqref="A40:XFD40"/>
    </sheetView>
  </sheetViews>
  <sheetFormatPr baseColWidth="10" defaultColWidth="9" defaultRowHeight="16" x14ac:dyDescent="0.2"/>
  <cols>
    <col min="1" max="1" width="47.33203125" style="75" customWidth="1"/>
    <col min="2" max="2" width="17.33203125" style="76" customWidth="1"/>
    <col min="3" max="3" width="33.5" style="12" customWidth="1"/>
    <col min="4" max="4" width="27.33203125" style="79" customWidth="1"/>
    <col min="5" max="6" width="27.33203125" style="12" customWidth="1"/>
    <col min="7" max="7" width="27" style="12" customWidth="1"/>
    <col min="8" max="8" width="25.6640625" style="76" customWidth="1"/>
    <col min="9" max="9" width="23" style="12" customWidth="1"/>
    <col min="10" max="10" width="27.6640625" style="79" customWidth="1"/>
    <col min="11" max="11" width="37.83203125" style="76" customWidth="1"/>
    <col min="12" max="12" width="17.1640625" style="12" customWidth="1"/>
    <col min="13" max="13" width="21.5" style="79" customWidth="1"/>
    <col min="14" max="14" width="13" style="12" customWidth="1"/>
    <col min="15" max="15" width="12.1640625" style="12" customWidth="1"/>
    <col min="16" max="20" width="9" style="68"/>
    <col min="21" max="16384" width="9" style="12"/>
  </cols>
  <sheetData>
    <row r="1" spans="1:828" s="6" customFormat="1" ht="26" thickBot="1" x14ac:dyDescent="0.25">
      <c r="A1" s="1" t="s">
        <v>0</v>
      </c>
      <c r="B1" s="2">
        <v>2007</v>
      </c>
      <c r="C1" s="3" t="s">
        <v>1</v>
      </c>
      <c r="D1" s="4" t="s">
        <v>2</v>
      </c>
      <c r="E1" s="2">
        <v>2007</v>
      </c>
      <c r="F1" s="3" t="s">
        <v>3</v>
      </c>
      <c r="G1" s="3" t="s">
        <v>4</v>
      </c>
      <c r="H1" s="2">
        <v>2017</v>
      </c>
      <c r="I1" s="3" t="s">
        <v>5</v>
      </c>
      <c r="J1" s="4" t="s">
        <v>6</v>
      </c>
      <c r="K1" s="2">
        <v>2017</v>
      </c>
      <c r="L1" s="3" t="s">
        <v>7</v>
      </c>
      <c r="M1" s="4" t="s">
        <v>8</v>
      </c>
      <c r="N1" s="5"/>
      <c r="O1" s="5"/>
      <c r="P1"/>
      <c r="Q1"/>
      <c r="R1"/>
      <c r="S1"/>
      <c r="T1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</row>
    <row r="2" spans="1:828" s="13" customFormat="1" ht="19" x14ac:dyDescent="0.2">
      <c r="A2" s="7" t="s">
        <v>9</v>
      </c>
      <c r="B2" s="8"/>
      <c r="C2" s="9" t="s">
        <v>10</v>
      </c>
      <c r="D2" s="10">
        <v>0</v>
      </c>
      <c r="E2" s="9"/>
      <c r="F2" s="9"/>
      <c r="G2" s="9"/>
      <c r="H2" s="8">
        <f>J2/J74</f>
        <v>0.40376791756967417</v>
      </c>
      <c r="I2" s="9" t="s">
        <v>11</v>
      </c>
      <c r="J2" s="11">
        <v>42478</v>
      </c>
      <c r="K2" s="8"/>
      <c r="L2" s="9"/>
      <c r="M2" s="10"/>
      <c r="N2" s="12"/>
      <c r="O2" s="12"/>
      <c r="P2"/>
      <c r="Q2"/>
      <c r="R2"/>
      <c r="S2"/>
      <c r="T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</row>
    <row r="3" spans="1:828" s="13" customFormat="1" ht="18" x14ac:dyDescent="0.2">
      <c r="A3" s="14"/>
      <c r="B3" s="15"/>
      <c r="C3" s="16"/>
      <c r="D3" s="11"/>
      <c r="E3" s="16"/>
      <c r="F3" s="16"/>
      <c r="G3" s="16"/>
      <c r="H3" s="15"/>
      <c r="I3" s="16"/>
      <c r="J3" s="11"/>
      <c r="K3" s="15"/>
      <c r="L3" s="16"/>
      <c r="M3" s="11"/>
      <c r="N3" s="12"/>
      <c r="O3" s="12"/>
      <c r="P3"/>
      <c r="Q3"/>
      <c r="R3"/>
      <c r="S3"/>
      <c r="T3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</row>
    <row r="4" spans="1:828" s="13" customFormat="1" ht="19" thickBot="1" x14ac:dyDescent="0.25">
      <c r="A4" s="17"/>
      <c r="B4" s="18"/>
      <c r="C4" s="19"/>
      <c r="D4" s="20"/>
      <c r="E4" s="19"/>
      <c r="F4" s="19"/>
      <c r="G4" s="19"/>
      <c r="H4" s="18"/>
      <c r="I4" s="19"/>
      <c r="J4" s="20"/>
      <c r="K4" s="18"/>
      <c r="L4" s="19"/>
      <c r="M4" s="20"/>
      <c r="N4" s="12"/>
      <c r="O4" s="12"/>
      <c r="P4"/>
      <c r="Q4"/>
      <c r="R4"/>
      <c r="S4"/>
      <c r="T4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</row>
    <row r="5" spans="1:828" s="27" customFormat="1" ht="19" x14ac:dyDescent="0.2">
      <c r="A5" s="21" t="s">
        <v>12</v>
      </c>
      <c r="B5" s="22">
        <f>D5/$D$74</f>
        <v>1.7752740278150974E-2</v>
      </c>
      <c r="C5" s="23" t="s">
        <v>13</v>
      </c>
      <c r="D5" s="24">
        <f>1904+12</f>
        <v>1916</v>
      </c>
      <c r="E5" s="25"/>
      <c r="F5" s="25"/>
      <c r="G5" s="25"/>
      <c r="H5" s="26">
        <f>J5/J74</f>
        <v>1.9619025892551614E-2</v>
      </c>
      <c r="I5" s="25" t="s">
        <v>14</v>
      </c>
      <c r="J5" s="24">
        <v>2064</v>
      </c>
      <c r="K5" s="26"/>
      <c r="L5" s="25"/>
      <c r="M5" s="24"/>
      <c r="N5" s="12"/>
      <c r="O5" s="12"/>
      <c r="P5"/>
      <c r="Q5"/>
      <c r="R5"/>
      <c r="S5"/>
      <c r="T5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</row>
    <row r="6" spans="1:828" s="27" customFormat="1" ht="18" x14ac:dyDescent="0.2">
      <c r="A6" s="28"/>
      <c r="B6" s="29"/>
      <c r="C6" s="23"/>
      <c r="D6" s="29"/>
      <c r="E6" s="23"/>
      <c r="F6" s="23"/>
      <c r="G6" s="23"/>
      <c r="H6" s="30"/>
      <c r="I6" s="31"/>
      <c r="J6" s="32"/>
      <c r="K6" s="30"/>
      <c r="L6" s="31"/>
      <c r="M6" s="32"/>
      <c r="N6" s="12"/>
      <c r="O6" s="12"/>
      <c r="P6"/>
      <c r="Q6"/>
      <c r="R6"/>
      <c r="S6"/>
      <c r="T6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</row>
    <row r="7" spans="1:828" s="27" customFormat="1" ht="18" x14ac:dyDescent="0.2">
      <c r="A7" s="28"/>
      <c r="B7" s="29"/>
      <c r="C7" s="23"/>
      <c r="D7" s="29"/>
      <c r="E7" s="23"/>
      <c r="F7" s="23"/>
      <c r="G7" s="23"/>
      <c r="H7" s="30"/>
      <c r="I7" s="23"/>
      <c r="J7" s="29"/>
      <c r="K7" s="30"/>
      <c r="L7" s="23"/>
      <c r="M7" s="29"/>
      <c r="N7" s="12"/>
      <c r="O7" s="12"/>
      <c r="P7"/>
      <c r="Q7"/>
      <c r="R7"/>
      <c r="S7"/>
      <c r="T7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</row>
    <row r="8" spans="1:828" s="27" customFormat="1" ht="18" x14ac:dyDescent="0.2">
      <c r="A8" s="28"/>
      <c r="B8" s="29"/>
      <c r="C8" s="23"/>
      <c r="D8" s="29"/>
      <c r="E8" s="23"/>
      <c r="F8" s="23"/>
      <c r="G8" s="23"/>
      <c r="H8" s="30"/>
      <c r="I8" s="23"/>
      <c r="J8" s="29"/>
      <c r="K8" s="30"/>
      <c r="L8" s="23"/>
      <c r="M8" s="29"/>
      <c r="N8" s="12"/>
      <c r="O8" s="12"/>
      <c r="P8"/>
      <c r="Q8"/>
      <c r="R8"/>
      <c r="S8"/>
      <c r="T8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</row>
    <row r="9" spans="1:828" s="27" customFormat="1" ht="18" x14ac:dyDescent="0.2">
      <c r="A9" s="28"/>
      <c r="B9" s="29"/>
      <c r="C9" s="23"/>
      <c r="D9" s="29"/>
      <c r="E9" s="23"/>
      <c r="F9" s="23"/>
      <c r="G9" s="23"/>
      <c r="H9" s="30"/>
      <c r="I9" s="23"/>
      <c r="J9" s="29"/>
      <c r="K9" s="30"/>
      <c r="L9" s="23"/>
      <c r="M9" s="29"/>
      <c r="N9" s="12"/>
      <c r="O9" s="12"/>
      <c r="P9"/>
      <c r="Q9"/>
      <c r="R9"/>
      <c r="S9"/>
      <c r="T9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</row>
    <row r="10" spans="1:828" s="27" customFormat="1" ht="19" thickBot="1" x14ac:dyDescent="0.25">
      <c r="A10" s="28"/>
      <c r="B10" s="29"/>
      <c r="C10" s="23"/>
      <c r="D10" s="29"/>
      <c r="E10" s="23"/>
      <c r="F10" s="23"/>
      <c r="G10" s="23"/>
      <c r="H10" s="30"/>
      <c r="I10" s="23"/>
      <c r="J10" s="29"/>
      <c r="K10" s="30"/>
      <c r="L10" s="23"/>
      <c r="M10" s="29"/>
      <c r="N10" s="12"/>
      <c r="O10" s="12"/>
      <c r="P10"/>
      <c r="Q10"/>
      <c r="R10"/>
      <c r="S10"/>
      <c r="T10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</row>
    <row r="11" spans="1:828" s="33" customFormat="1" ht="19" x14ac:dyDescent="0.2">
      <c r="A11" s="7" t="s">
        <v>15</v>
      </c>
      <c r="B11" s="26">
        <f t="shared" ref="B11:B66" si="0">D11/$D$74</f>
        <v>0.27609402651792414</v>
      </c>
      <c r="C11" s="9" t="s">
        <v>16</v>
      </c>
      <c r="D11" s="10">
        <v>29798</v>
      </c>
      <c r="E11" s="9"/>
      <c r="F11" s="9"/>
      <c r="G11" s="9"/>
      <c r="H11" s="8">
        <f>J11/J74</f>
        <v>0.29541652408653662</v>
      </c>
      <c r="I11" s="9" t="s">
        <v>17</v>
      </c>
      <c r="J11" s="10">
        <v>31079</v>
      </c>
      <c r="K11" s="8"/>
      <c r="L11" s="9"/>
      <c r="M11" s="10"/>
      <c r="N11" s="12"/>
      <c r="O11" s="12"/>
      <c r="P11"/>
      <c r="Q11"/>
      <c r="R11"/>
      <c r="S11"/>
      <c r="T11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</row>
    <row r="12" spans="1:828" s="13" customFormat="1" ht="18" x14ac:dyDescent="0.2">
      <c r="A12" s="34"/>
      <c r="B12" s="16"/>
      <c r="C12" s="16"/>
      <c r="D12" s="11"/>
      <c r="E12" s="16"/>
      <c r="F12" s="16"/>
      <c r="G12" s="16"/>
      <c r="H12" s="15"/>
      <c r="I12" s="16"/>
      <c r="J12" s="11"/>
      <c r="K12" s="15"/>
      <c r="L12" s="16"/>
      <c r="M12" s="11"/>
      <c r="N12" s="12"/>
      <c r="O12" s="12"/>
      <c r="P12"/>
      <c r="Q12"/>
      <c r="R12"/>
      <c r="S12"/>
      <c r="T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</row>
    <row r="13" spans="1:828" s="13" customFormat="1" ht="18" x14ac:dyDescent="0.2">
      <c r="A13" s="34"/>
      <c r="B13" s="16"/>
      <c r="C13" s="16"/>
      <c r="D13" s="11"/>
      <c r="E13" s="16"/>
      <c r="F13" s="16"/>
      <c r="G13" s="16"/>
      <c r="H13" s="15"/>
      <c r="I13" s="35"/>
      <c r="J13" s="36"/>
      <c r="K13" s="15"/>
      <c r="L13" s="35"/>
      <c r="M13" s="36"/>
      <c r="N13" s="12"/>
      <c r="O13" s="12"/>
      <c r="P13"/>
      <c r="Q13"/>
      <c r="R13"/>
      <c r="S13"/>
      <c r="T13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</row>
    <row r="14" spans="1:828" s="13" customFormat="1" ht="18" x14ac:dyDescent="0.2">
      <c r="A14" s="34"/>
      <c r="B14" s="16"/>
      <c r="C14" s="16"/>
      <c r="D14" s="11"/>
      <c r="E14" s="16"/>
      <c r="F14" s="16"/>
      <c r="G14" s="16"/>
      <c r="H14" s="15"/>
      <c r="I14" s="35"/>
      <c r="J14" s="36"/>
      <c r="K14" s="15"/>
      <c r="L14" s="35"/>
      <c r="M14" s="36"/>
      <c r="N14" s="12"/>
      <c r="O14" s="12"/>
      <c r="P14"/>
      <c r="Q14"/>
      <c r="R14"/>
      <c r="S14"/>
      <c r="T14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</row>
    <row r="15" spans="1:828" s="13" customFormat="1" ht="18" x14ac:dyDescent="0.2">
      <c r="A15" s="34"/>
      <c r="B15" s="16"/>
      <c r="C15" s="16"/>
      <c r="D15" s="11"/>
      <c r="E15" s="16"/>
      <c r="F15" s="16"/>
      <c r="G15" s="16"/>
      <c r="H15" s="15"/>
      <c r="I15" s="35"/>
      <c r="J15" s="36"/>
      <c r="K15" s="15"/>
      <c r="L15" s="35"/>
      <c r="M15" s="36"/>
      <c r="N15" s="12"/>
      <c r="O15" s="12"/>
      <c r="P15"/>
      <c r="Q15"/>
      <c r="R15"/>
      <c r="S15"/>
      <c r="T15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12"/>
      <c r="GI15" s="12"/>
      <c r="GJ15" s="12"/>
      <c r="GK15" s="12"/>
      <c r="GL15" s="12"/>
      <c r="GM15" s="12"/>
      <c r="GN15" s="12"/>
      <c r="GO15" s="12"/>
      <c r="GP15" s="12"/>
      <c r="GQ15" s="12"/>
      <c r="GR15" s="12"/>
      <c r="GS15" s="12"/>
      <c r="GT15" s="12"/>
      <c r="GU15" s="12"/>
      <c r="GV15" s="12"/>
      <c r="GW15" s="12"/>
      <c r="GX15" s="12"/>
      <c r="GY15" s="12"/>
      <c r="GZ15" s="12"/>
      <c r="HA15" s="12"/>
      <c r="HB15" s="12"/>
      <c r="HC15" s="12"/>
      <c r="HD15" s="12"/>
      <c r="HE15" s="12"/>
      <c r="HF15" s="12"/>
      <c r="HG15" s="12"/>
      <c r="HH15" s="12"/>
      <c r="HI15" s="12"/>
      <c r="HJ15" s="12"/>
      <c r="HK15" s="12"/>
      <c r="HL15" s="12"/>
      <c r="HM15" s="12"/>
      <c r="HN15" s="12"/>
      <c r="HO15" s="12"/>
      <c r="HP15" s="12"/>
      <c r="HQ15" s="12"/>
      <c r="HR15" s="12"/>
      <c r="HS15" s="12"/>
      <c r="HT15" s="12"/>
      <c r="HU15" s="12"/>
      <c r="HV15" s="12"/>
      <c r="HW15" s="12"/>
      <c r="HX15" s="12"/>
      <c r="HY15" s="12"/>
      <c r="HZ15" s="12"/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  <c r="IL15" s="12"/>
      <c r="IM15" s="12"/>
      <c r="IN15" s="12"/>
      <c r="IO15" s="12"/>
      <c r="IP15" s="12"/>
      <c r="IQ15" s="12"/>
      <c r="IR15" s="12"/>
      <c r="IS15" s="12"/>
      <c r="IT15" s="12"/>
      <c r="IU15" s="12"/>
      <c r="IV15" s="12"/>
      <c r="IW15" s="12"/>
      <c r="IX15" s="12"/>
      <c r="IY15" s="12"/>
      <c r="IZ15" s="12"/>
      <c r="JA15" s="12"/>
      <c r="JB15" s="12"/>
      <c r="JC15" s="12"/>
      <c r="JD15" s="12"/>
      <c r="JE15" s="12"/>
      <c r="JF15" s="12"/>
      <c r="JG15" s="12"/>
      <c r="JH15" s="12"/>
      <c r="JI15" s="12"/>
      <c r="JJ15" s="12"/>
      <c r="JK15" s="12"/>
      <c r="JL15" s="12"/>
      <c r="JM15" s="12"/>
      <c r="JN15" s="12"/>
      <c r="JO15" s="12"/>
      <c r="JP15" s="12"/>
      <c r="JQ15" s="12"/>
      <c r="JR15" s="12"/>
      <c r="JS15" s="12"/>
      <c r="JT15" s="12"/>
      <c r="JU15" s="12"/>
      <c r="JV15" s="12"/>
      <c r="JW15" s="12"/>
      <c r="JX15" s="12"/>
      <c r="JY15" s="12"/>
      <c r="JZ15" s="12"/>
      <c r="KA15" s="12"/>
      <c r="KB15" s="12"/>
      <c r="KC15" s="12"/>
      <c r="KD15" s="12"/>
      <c r="KE15" s="12"/>
      <c r="KF15" s="12"/>
      <c r="KG15" s="12"/>
      <c r="KH15" s="12"/>
      <c r="KI15" s="12"/>
      <c r="KJ15" s="12"/>
      <c r="KK15" s="12"/>
      <c r="KL15" s="12"/>
      <c r="KM15" s="12"/>
      <c r="KN15" s="12"/>
      <c r="KO15" s="12"/>
      <c r="KP15" s="12"/>
      <c r="KQ15" s="12"/>
      <c r="KR15" s="12"/>
      <c r="KS15" s="12"/>
      <c r="KT15" s="12"/>
      <c r="KU15" s="12"/>
      <c r="KV15" s="12"/>
      <c r="KW15" s="12"/>
      <c r="KX15" s="12"/>
      <c r="KY15" s="12"/>
      <c r="KZ15" s="12"/>
      <c r="LA15" s="12"/>
      <c r="LB15" s="12"/>
      <c r="LC15" s="12"/>
      <c r="LD15" s="12"/>
      <c r="LE15" s="12"/>
      <c r="LF15" s="12"/>
      <c r="LG15" s="12"/>
      <c r="LH15" s="12"/>
      <c r="LI15" s="12"/>
      <c r="LJ15" s="12"/>
      <c r="LK15" s="12"/>
      <c r="LL15" s="12"/>
      <c r="LM15" s="12"/>
      <c r="LN15" s="12"/>
      <c r="LO15" s="12"/>
      <c r="LP15" s="12"/>
      <c r="LQ15" s="12"/>
      <c r="LR15" s="12"/>
      <c r="LS15" s="12"/>
      <c r="LT15" s="12"/>
      <c r="LU15" s="12"/>
      <c r="LV15" s="12"/>
      <c r="LW15" s="12"/>
      <c r="LX15" s="12"/>
      <c r="LY15" s="12"/>
      <c r="LZ15" s="12"/>
      <c r="MA15" s="12"/>
      <c r="MB15" s="12"/>
      <c r="MC15" s="12"/>
      <c r="MD15" s="12"/>
      <c r="ME15" s="12"/>
      <c r="MF15" s="12"/>
      <c r="MG15" s="12"/>
      <c r="MH15" s="12"/>
      <c r="MI15" s="12"/>
      <c r="MJ15" s="12"/>
      <c r="MK15" s="12"/>
      <c r="ML15" s="12"/>
      <c r="MM15" s="12"/>
      <c r="MN15" s="12"/>
      <c r="MO15" s="12"/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/>
      <c r="NL15" s="12"/>
      <c r="NM15" s="12"/>
      <c r="NN15" s="12"/>
      <c r="NO15" s="12"/>
      <c r="NP15" s="12"/>
      <c r="NQ15" s="12"/>
      <c r="NR15" s="12"/>
      <c r="NS15" s="12"/>
      <c r="NT15" s="12"/>
      <c r="NU15" s="12"/>
      <c r="NV15" s="12"/>
      <c r="NW15" s="12"/>
      <c r="NX15" s="12"/>
      <c r="NY15" s="12"/>
      <c r="NZ15" s="12"/>
      <c r="OA15" s="12"/>
      <c r="OB15" s="12"/>
      <c r="OC15" s="12"/>
      <c r="OD15" s="12"/>
      <c r="OE15" s="12"/>
      <c r="OF15" s="12"/>
      <c r="OG15" s="12"/>
      <c r="OH15" s="12"/>
      <c r="OI15" s="12"/>
      <c r="OJ15" s="12"/>
      <c r="OK15" s="12"/>
      <c r="OL15" s="12"/>
      <c r="OM15" s="12"/>
      <c r="ON15" s="12"/>
      <c r="OO15" s="12"/>
      <c r="OP15" s="12"/>
      <c r="OQ15" s="12"/>
      <c r="OR15" s="12"/>
      <c r="OS15" s="12"/>
      <c r="OT15" s="12"/>
      <c r="OU15" s="12"/>
      <c r="OV15" s="12"/>
      <c r="OW15" s="12"/>
      <c r="OX15" s="12"/>
      <c r="OY15" s="12"/>
      <c r="OZ15" s="12"/>
      <c r="PA15" s="12"/>
      <c r="PB15" s="12"/>
      <c r="PC15" s="12"/>
      <c r="PD15" s="12"/>
      <c r="PE15" s="12"/>
      <c r="PF15" s="12"/>
      <c r="PG15" s="12"/>
      <c r="PH15" s="12"/>
      <c r="PI15" s="12"/>
      <c r="PJ15" s="12"/>
      <c r="PK15" s="12"/>
      <c r="PL15" s="12"/>
      <c r="PM15" s="12"/>
      <c r="PN15" s="12"/>
      <c r="PO15" s="12"/>
      <c r="PP15" s="12"/>
      <c r="PQ15" s="12"/>
      <c r="PR15" s="12"/>
      <c r="PS15" s="12"/>
      <c r="PT15" s="12"/>
      <c r="PU15" s="12"/>
      <c r="PV15" s="12"/>
      <c r="PW15" s="12"/>
      <c r="PX15" s="12"/>
      <c r="PY15" s="12"/>
      <c r="PZ15" s="12"/>
      <c r="QA15" s="12"/>
      <c r="QB15" s="12"/>
      <c r="QC15" s="12"/>
      <c r="QD15" s="12"/>
      <c r="QE15" s="12"/>
      <c r="QF15" s="12"/>
      <c r="QG15" s="12"/>
      <c r="QH15" s="12"/>
      <c r="QI15" s="12"/>
      <c r="QJ15" s="12"/>
      <c r="QK15" s="12"/>
      <c r="QL15" s="12"/>
      <c r="QM15" s="12"/>
      <c r="QN15" s="12"/>
      <c r="QO15" s="12"/>
      <c r="QP15" s="12"/>
      <c r="QQ15" s="12"/>
      <c r="QR15" s="12"/>
      <c r="QS15" s="12"/>
      <c r="QT15" s="12"/>
      <c r="QU15" s="12"/>
      <c r="QV15" s="12"/>
      <c r="QW15" s="12"/>
      <c r="QX15" s="12"/>
      <c r="QY15" s="12"/>
      <c r="QZ15" s="12"/>
      <c r="RA15" s="12"/>
      <c r="RB15" s="12"/>
      <c r="RC15" s="12"/>
      <c r="RD15" s="12"/>
      <c r="RE15" s="12"/>
      <c r="RF15" s="12"/>
      <c r="RG15" s="12"/>
      <c r="RH15" s="12"/>
      <c r="RI15" s="12"/>
      <c r="RJ15" s="12"/>
      <c r="RK15" s="12"/>
      <c r="RL15" s="12"/>
      <c r="RM15" s="12"/>
      <c r="RN15" s="12"/>
      <c r="RO15" s="12"/>
      <c r="RP15" s="12"/>
      <c r="RQ15" s="12"/>
      <c r="RR15" s="12"/>
      <c r="RS15" s="12"/>
      <c r="RT15" s="12"/>
      <c r="RU15" s="12"/>
      <c r="RV15" s="12"/>
      <c r="RW15" s="12"/>
      <c r="RX15" s="12"/>
      <c r="RY15" s="12"/>
      <c r="RZ15" s="12"/>
      <c r="SA15" s="12"/>
      <c r="SB15" s="12"/>
      <c r="SC15" s="12"/>
      <c r="SD15" s="12"/>
      <c r="SE15" s="12"/>
      <c r="SF15" s="12"/>
      <c r="SG15" s="12"/>
      <c r="SH15" s="12"/>
      <c r="SI15" s="12"/>
      <c r="SJ15" s="12"/>
      <c r="SK15" s="12"/>
      <c r="SL15" s="12"/>
      <c r="SM15" s="12"/>
      <c r="SN15" s="12"/>
      <c r="SO15" s="12"/>
      <c r="SP15" s="12"/>
      <c r="SQ15" s="12"/>
      <c r="SR15" s="12"/>
      <c r="SS15" s="12"/>
      <c r="ST15" s="12"/>
      <c r="SU15" s="12"/>
      <c r="SV15" s="12"/>
      <c r="SW15" s="12"/>
      <c r="SX15" s="12"/>
      <c r="SY15" s="12"/>
      <c r="SZ15" s="12"/>
      <c r="TA15" s="12"/>
      <c r="TB15" s="12"/>
      <c r="TC15" s="12"/>
      <c r="TD15" s="12"/>
      <c r="TE15" s="12"/>
      <c r="TF15" s="12"/>
      <c r="TG15" s="12"/>
      <c r="TH15" s="12"/>
      <c r="TI15" s="12"/>
      <c r="TJ15" s="12"/>
      <c r="TK15" s="12"/>
      <c r="TL15" s="12"/>
      <c r="TM15" s="12"/>
      <c r="TN15" s="12"/>
      <c r="TO15" s="12"/>
      <c r="TP15" s="12"/>
      <c r="TQ15" s="12"/>
      <c r="TR15" s="12"/>
      <c r="TS15" s="12"/>
      <c r="TT15" s="12"/>
      <c r="TU15" s="12"/>
      <c r="TV15" s="12"/>
      <c r="TW15" s="12"/>
      <c r="TX15" s="12"/>
      <c r="TY15" s="12"/>
      <c r="TZ15" s="12"/>
      <c r="UA15" s="12"/>
      <c r="UB15" s="12"/>
      <c r="UC15" s="12"/>
      <c r="UD15" s="12"/>
      <c r="UE15" s="12"/>
      <c r="UF15" s="12"/>
      <c r="UG15" s="12"/>
      <c r="UH15" s="12"/>
      <c r="UI15" s="12"/>
      <c r="UJ15" s="12"/>
      <c r="UK15" s="12"/>
      <c r="UL15" s="12"/>
      <c r="UM15" s="12"/>
      <c r="UN15" s="12"/>
      <c r="UO15" s="12"/>
      <c r="UP15" s="12"/>
      <c r="UQ15" s="12"/>
      <c r="UR15" s="12"/>
      <c r="US15" s="12"/>
      <c r="UT15" s="12"/>
      <c r="UU15" s="12"/>
      <c r="UV15" s="12"/>
      <c r="UW15" s="12"/>
      <c r="UX15" s="12"/>
      <c r="UY15" s="12"/>
      <c r="UZ15" s="12"/>
      <c r="VA15" s="12"/>
      <c r="VB15" s="12"/>
      <c r="VC15" s="12"/>
      <c r="VD15" s="12"/>
      <c r="VE15" s="12"/>
      <c r="VF15" s="12"/>
      <c r="VG15" s="12"/>
      <c r="VH15" s="12"/>
      <c r="VI15" s="12"/>
      <c r="VJ15" s="12"/>
      <c r="VK15" s="12"/>
      <c r="VL15" s="12"/>
      <c r="VM15" s="12"/>
      <c r="VN15" s="12"/>
      <c r="VO15" s="12"/>
      <c r="VP15" s="12"/>
      <c r="VQ15" s="12"/>
      <c r="VR15" s="12"/>
      <c r="VS15" s="12"/>
      <c r="VT15" s="12"/>
      <c r="VU15" s="12"/>
      <c r="VV15" s="12"/>
      <c r="VW15" s="12"/>
      <c r="VX15" s="12"/>
      <c r="VY15" s="12"/>
      <c r="VZ15" s="12"/>
      <c r="WA15" s="12"/>
      <c r="WB15" s="12"/>
      <c r="WC15" s="12"/>
      <c r="WD15" s="12"/>
      <c r="WE15" s="12"/>
      <c r="WF15" s="12"/>
      <c r="WG15" s="12"/>
      <c r="WH15" s="12"/>
      <c r="WI15" s="12"/>
      <c r="WJ15" s="12"/>
      <c r="WK15" s="12"/>
      <c r="WL15" s="12"/>
      <c r="WM15" s="12"/>
      <c r="WN15" s="12"/>
      <c r="WO15" s="12"/>
      <c r="WP15" s="12"/>
      <c r="WQ15" s="12"/>
      <c r="WR15" s="12"/>
      <c r="WS15" s="12"/>
      <c r="WT15" s="12"/>
      <c r="WU15" s="12"/>
      <c r="WV15" s="12"/>
      <c r="WW15" s="12"/>
      <c r="WX15" s="12"/>
      <c r="WY15" s="12"/>
      <c r="WZ15" s="12"/>
      <c r="XA15" s="12"/>
      <c r="XB15" s="12"/>
      <c r="XC15" s="12"/>
      <c r="XD15" s="12"/>
      <c r="XE15" s="12"/>
      <c r="XF15" s="12"/>
      <c r="XG15" s="12"/>
      <c r="XH15" s="12"/>
      <c r="XI15" s="12"/>
      <c r="XJ15" s="12"/>
      <c r="XK15" s="12"/>
      <c r="XL15" s="12"/>
      <c r="XM15" s="12"/>
      <c r="XN15" s="12"/>
      <c r="XO15" s="12"/>
      <c r="XP15" s="12"/>
      <c r="XQ15" s="12"/>
      <c r="XR15" s="12"/>
      <c r="XS15" s="12"/>
      <c r="XT15" s="12"/>
      <c r="XU15" s="12"/>
      <c r="XV15" s="12"/>
      <c r="XW15" s="12"/>
      <c r="XX15" s="12"/>
      <c r="XY15" s="12"/>
      <c r="XZ15" s="12"/>
      <c r="YA15" s="12"/>
      <c r="YB15" s="12"/>
      <c r="YC15" s="12"/>
      <c r="YD15" s="12"/>
      <c r="YE15" s="12"/>
      <c r="YF15" s="12"/>
      <c r="YG15" s="12"/>
      <c r="YH15" s="12"/>
      <c r="YI15" s="12"/>
      <c r="YJ15" s="12"/>
      <c r="YK15" s="12"/>
      <c r="YL15" s="12"/>
      <c r="YM15" s="12"/>
      <c r="YN15" s="12"/>
      <c r="YO15" s="12"/>
      <c r="YP15" s="12"/>
      <c r="YQ15" s="12"/>
      <c r="YR15" s="12"/>
      <c r="YS15" s="12"/>
      <c r="YT15" s="12"/>
      <c r="YU15" s="12"/>
      <c r="YV15" s="12"/>
      <c r="YW15" s="12"/>
      <c r="YX15" s="12"/>
      <c r="YY15" s="12"/>
      <c r="YZ15" s="12"/>
      <c r="ZA15" s="12"/>
      <c r="ZB15" s="12"/>
      <c r="ZC15" s="12"/>
      <c r="ZD15" s="12"/>
      <c r="ZE15" s="12"/>
      <c r="ZF15" s="12"/>
      <c r="ZG15" s="12"/>
      <c r="ZH15" s="12"/>
      <c r="ZI15" s="12"/>
      <c r="ZJ15" s="12"/>
      <c r="ZK15" s="12"/>
      <c r="ZL15" s="12"/>
      <c r="ZM15" s="12"/>
      <c r="ZN15" s="12"/>
      <c r="ZO15" s="12"/>
      <c r="ZP15" s="12"/>
      <c r="ZQ15" s="12"/>
      <c r="ZR15" s="12"/>
      <c r="ZS15" s="12"/>
      <c r="ZT15" s="12"/>
      <c r="ZU15" s="12"/>
      <c r="ZV15" s="12"/>
      <c r="ZW15" s="12"/>
      <c r="ZX15" s="12"/>
      <c r="ZY15" s="12"/>
      <c r="ZZ15" s="12"/>
      <c r="AAA15" s="12"/>
      <c r="AAB15" s="12"/>
      <c r="AAC15" s="12"/>
      <c r="AAD15" s="12"/>
      <c r="AAE15" s="12"/>
      <c r="AAF15" s="12"/>
      <c r="AAG15" s="12"/>
      <c r="AAH15" s="12"/>
      <c r="AAI15" s="12"/>
      <c r="AAJ15" s="12"/>
      <c r="AAK15" s="12"/>
      <c r="AAL15" s="12"/>
      <c r="AAM15" s="12"/>
      <c r="AAN15" s="12"/>
      <c r="AAO15" s="12"/>
      <c r="AAP15" s="12"/>
      <c r="AAQ15" s="12"/>
      <c r="AAR15" s="12"/>
      <c r="AAS15" s="12"/>
      <c r="AAT15" s="12"/>
      <c r="AAU15" s="12"/>
      <c r="AAV15" s="12"/>
      <c r="AAW15" s="12"/>
      <c r="AAX15" s="12"/>
      <c r="AAY15" s="12"/>
      <c r="AAZ15" s="12"/>
      <c r="ABA15" s="12"/>
      <c r="ABB15" s="12"/>
      <c r="ABC15" s="12"/>
      <c r="ABD15" s="12"/>
      <c r="ABE15" s="12"/>
      <c r="ABF15" s="12"/>
      <c r="ABG15" s="12"/>
      <c r="ABH15" s="12"/>
      <c r="ABI15" s="12"/>
      <c r="ABJ15" s="12"/>
      <c r="ABK15" s="12"/>
      <c r="ABL15" s="12"/>
      <c r="ABM15" s="12"/>
      <c r="ABN15" s="12"/>
      <c r="ABO15" s="12"/>
      <c r="ABP15" s="12"/>
      <c r="ABQ15" s="12"/>
      <c r="ABR15" s="12"/>
      <c r="ABS15" s="12"/>
      <c r="ABT15" s="12"/>
      <c r="ABU15" s="12"/>
      <c r="ABV15" s="12"/>
      <c r="ABW15" s="12"/>
      <c r="ABX15" s="12"/>
      <c r="ABY15" s="12"/>
      <c r="ABZ15" s="12"/>
      <c r="ACA15" s="12"/>
      <c r="ACB15" s="12"/>
      <c r="ACC15" s="12"/>
      <c r="ACD15" s="12"/>
      <c r="ACE15" s="12"/>
      <c r="ACF15" s="12"/>
      <c r="ACG15" s="12"/>
      <c r="ACH15" s="12"/>
      <c r="ACI15" s="12"/>
      <c r="ACJ15" s="12"/>
      <c r="ACK15" s="12"/>
      <c r="ACL15" s="12"/>
      <c r="ACM15" s="12"/>
      <c r="ACN15" s="12"/>
      <c r="ACO15" s="12"/>
      <c r="ACP15" s="12"/>
      <c r="ACQ15" s="12"/>
      <c r="ACR15" s="12"/>
      <c r="ACS15" s="12"/>
      <c r="ACT15" s="12"/>
      <c r="ACU15" s="12"/>
      <c r="ACV15" s="12"/>
      <c r="ACW15" s="12"/>
      <c r="ACX15" s="12"/>
      <c r="ACY15" s="12"/>
      <c r="ACZ15" s="12"/>
      <c r="ADA15" s="12"/>
      <c r="ADB15" s="12"/>
      <c r="ADC15" s="12"/>
      <c r="ADD15" s="12"/>
      <c r="ADE15" s="12"/>
      <c r="ADF15" s="12"/>
      <c r="ADG15" s="12"/>
      <c r="ADH15" s="12"/>
      <c r="ADI15" s="12"/>
      <c r="ADJ15" s="12"/>
      <c r="ADK15" s="12"/>
      <c r="ADL15" s="12"/>
      <c r="ADM15" s="12"/>
      <c r="ADN15" s="12"/>
      <c r="ADO15" s="12"/>
      <c r="ADP15" s="12"/>
      <c r="ADQ15" s="12"/>
      <c r="ADR15" s="12"/>
      <c r="ADS15" s="12"/>
      <c r="ADT15" s="12"/>
      <c r="ADU15" s="12"/>
      <c r="ADV15" s="12"/>
      <c r="ADW15" s="12"/>
      <c r="ADX15" s="12"/>
      <c r="ADY15" s="12"/>
      <c r="ADZ15" s="12"/>
      <c r="AEA15" s="12"/>
      <c r="AEB15" s="12"/>
      <c r="AEC15" s="12"/>
      <c r="AED15" s="12"/>
      <c r="AEE15" s="12"/>
      <c r="AEF15" s="12"/>
      <c r="AEG15" s="12"/>
      <c r="AEH15" s="12"/>
      <c r="AEI15" s="12"/>
      <c r="AEJ15" s="12"/>
      <c r="AEK15" s="12"/>
      <c r="AEL15" s="12"/>
      <c r="AEM15" s="12"/>
      <c r="AEN15" s="12"/>
      <c r="AEO15" s="12"/>
      <c r="AEP15" s="12"/>
      <c r="AEQ15" s="12"/>
      <c r="AER15" s="12"/>
      <c r="AES15" s="12"/>
      <c r="AET15" s="12"/>
      <c r="AEU15" s="12"/>
      <c r="AEV15" s="12"/>
    </row>
    <row r="16" spans="1:828" s="13" customFormat="1" ht="18" x14ac:dyDescent="0.2">
      <c r="A16" s="34"/>
      <c r="B16" s="16"/>
      <c r="C16" s="16"/>
      <c r="D16" s="11"/>
      <c r="E16" s="16"/>
      <c r="F16" s="16"/>
      <c r="G16" s="16"/>
      <c r="H16" s="15"/>
      <c r="I16" s="35"/>
      <c r="J16" s="36"/>
      <c r="K16" s="15"/>
      <c r="L16" s="35"/>
      <c r="M16" s="36"/>
      <c r="N16" s="12"/>
      <c r="O16" s="12"/>
      <c r="P16"/>
      <c r="Q16"/>
      <c r="R16"/>
      <c r="S16"/>
      <c r="T16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12"/>
      <c r="GI16" s="12"/>
      <c r="GJ16" s="12"/>
      <c r="GK16" s="12"/>
      <c r="GL16" s="12"/>
      <c r="GM16" s="12"/>
      <c r="GN16" s="12"/>
      <c r="GO16" s="12"/>
      <c r="GP16" s="12"/>
      <c r="GQ16" s="12"/>
      <c r="GR16" s="12"/>
      <c r="GS16" s="12"/>
      <c r="GT16" s="12"/>
      <c r="GU16" s="12"/>
      <c r="GV16" s="12"/>
      <c r="GW16" s="12"/>
      <c r="GX16" s="12"/>
      <c r="GY16" s="12"/>
      <c r="GZ16" s="12"/>
      <c r="HA16" s="12"/>
      <c r="HB16" s="12"/>
      <c r="HC16" s="12"/>
      <c r="HD16" s="12"/>
      <c r="HE16" s="12"/>
      <c r="HF16" s="12"/>
      <c r="HG16" s="12"/>
      <c r="HH16" s="12"/>
      <c r="HI16" s="12"/>
      <c r="HJ16" s="12"/>
      <c r="HK16" s="12"/>
      <c r="HL16" s="12"/>
      <c r="HM16" s="12"/>
      <c r="HN16" s="12"/>
      <c r="HO16" s="12"/>
      <c r="HP16" s="12"/>
      <c r="HQ16" s="12"/>
      <c r="HR16" s="12"/>
      <c r="HS16" s="12"/>
      <c r="HT16" s="12"/>
      <c r="HU16" s="12"/>
      <c r="HV16" s="12"/>
      <c r="HW16" s="12"/>
      <c r="HX16" s="12"/>
      <c r="HY16" s="12"/>
      <c r="HZ16" s="12"/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  <c r="IL16" s="12"/>
      <c r="IM16" s="12"/>
      <c r="IN16" s="12"/>
      <c r="IO16" s="12"/>
      <c r="IP16" s="12"/>
      <c r="IQ16" s="12"/>
      <c r="IR16" s="12"/>
      <c r="IS16" s="12"/>
      <c r="IT16" s="12"/>
      <c r="IU16" s="12"/>
      <c r="IV16" s="12"/>
      <c r="IW16" s="12"/>
      <c r="IX16" s="12"/>
      <c r="IY16" s="12"/>
      <c r="IZ16" s="12"/>
      <c r="JA16" s="12"/>
      <c r="JB16" s="12"/>
      <c r="JC16" s="12"/>
      <c r="JD16" s="12"/>
      <c r="JE16" s="12"/>
      <c r="JF16" s="12"/>
      <c r="JG16" s="12"/>
      <c r="JH16" s="12"/>
      <c r="JI16" s="12"/>
      <c r="JJ16" s="12"/>
      <c r="JK16" s="12"/>
      <c r="JL16" s="12"/>
      <c r="JM16" s="12"/>
      <c r="JN16" s="12"/>
      <c r="JO16" s="12"/>
      <c r="JP16" s="12"/>
      <c r="JQ16" s="12"/>
      <c r="JR16" s="12"/>
      <c r="JS16" s="12"/>
      <c r="JT16" s="12"/>
      <c r="JU16" s="12"/>
      <c r="JV16" s="12"/>
      <c r="JW16" s="12"/>
      <c r="JX16" s="12"/>
      <c r="JY16" s="12"/>
      <c r="JZ16" s="12"/>
      <c r="KA16" s="12"/>
      <c r="KB16" s="12"/>
      <c r="KC16" s="12"/>
      <c r="KD16" s="12"/>
      <c r="KE16" s="12"/>
      <c r="KF16" s="12"/>
      <c r="KG16" s="12"/>
      <c r="KH16" s="12"/>
      <c r="KI16" s="12"/>
      <c r="KJ16" s="12"/>
      <c r="KK16" s="12"/>
      <c r="KL16" s="12"/>
      <c r="KM16" s="12"/>
      <c r="KN16" s="12"/>
      <c r="KO16" s="12"/>
      <c r="KP16" s="12"/>
      <c r="KQ16" s="12"/>
      <c r="KR16" s="12"/>
      <c r="KS16" s="12"/>
      <c r="KT16" s="12"/>
      <c r="KU16" s="12"/>
      <c r="KV16" s="12"/>
      <c r="KW16" s="12"/>
      <c r="KX16" s="12"/>
      <c r="KY16" s="12"/>
      <c r="KZ16" s="12"/>
      <c r="LA16" s="12"/>
      <c r="LB16" s="12"/>
      <c r="LC16" s="12"/>
      <c r="LD16" s="12"/>
      <c r="LE16" s="12"/>
      <c r="LF16" s="12"/>
      <c r="LG16" s="12"/>
      <c r="LH16" s="12"/>
      <c r="LI16" s="12"/>
      <c r="LJ16" s="12"/>
      <c r="LK16" s="12"/>
      <c r="LL16" s="12"/>
      <c r="LM16" s="12"/>
      <c r="LN16" s="12"/>
      <c r="LO16" s="12"/>
      <c r="LP16" s="12"/>
      <c r="LQ16" s="12"/>
      <c r="LR16" s="12"/>
      <c r="LS16" s="12"/>
      <c r="LT16" s="12"/>
      <c r="LU16" s="12"/>
      <c r="LV16" s="12"/>
      <c r="LW16" s="12"/>
      <c r="LX16" s="12"/>
      <c r="LY16" s="12"/>
      <c r="LZ16" s="12"/>
      <c r="MA16" s="12"/>
      <c r="MB16" s="12"/>
      <c r="MC16" s="12"/>
      <c r="MD16" s="12"/>
      <c r="ME16" s="12"/>
      <c r="MF16" s="12"/>
      <c r="MG16" s="12"/>
      <c r="MH16" s="12"/>
      <c r="MI16" s="12"/>
      <c r="MJ16" s="12"/>
      <c r="MK16" s="12"/>
      <c r="ML16" s="12"/>
      <c r="MM16" s="12"/>
      <c r="MN16" s="12"/>
      <c r="MO16" s="12"/>
      <c r="MP16" s="12"/>
      <c r="MQ16" s="12"/>
      <c r="MR16" s="12"/>
      <c r="MS16" s="12"/>
      <c r="MT16" s="12"/>
      <c r="MU16" s="12"/>
      <c r="MV16" s="12"/>
      <c r="MW16" s="12"/>
      <c r="MX16" s="12"/>
      <c r="MY16" s="12"/>
      <c r="MZ16" s="12"/>
      <c r="NA16" s="12"/>
      <c r="NB16" s="12"/>
      <c r="NC16" s="12"/>
      <c r="ND16" s="12"/>
      <c r="NE16" s="12"/>
      <c r="NF16" s="12"/>
      <c r="NG16" s="12"/>
      <c r="NH16" s="12"/>
      <c r="NI16" s="12"/>
      <c r="NJ16" s="12"/>
      <c r="NK16" s="12"/>
      <c r="NL16" s="12"/>
      <c r="NM16" s="12"/>
      <c r="NN16" s="12"/>
      <c r="NO16" s="12"/>
      <c r="NP16" s="12"/>
      <c r="NQ16" s="12"/>
      <c r="NR16" s="12"/>
      <c r="NS16" s="12"/>
      <c r="NT16" s="12"/>
      <c r="NU16" s="12"/>
      <c r="NV16" s="12"/>
      <c r="NW16" s="12"/>
      <c r="NX16" s="12"/>
      <c r="NY16" s="12"/>
      <c r="NZ16" s="12"/>
      <c r="OA16" s="12"/>
      <c r="OB16" s="12"/>
      <c r="OC16" s="12"/>
      <c r="OD16" s="12"/>
      <c r="OE16" s="12"/>
      <c r="OF16" s="12"/>
      <c r="OG16" s="12"/>
      <c r="OH16" s="12"/>
      <c r="OI16" s="12"/>
      <c r="OJ16" s="12"/>
      <c r="OK16" s="12"/>
      <c r="OL16" s="12"/>
      <c r="OM16" s="12"/>
      <c r="ON16" s="12"/>
      <c r="OO16" s="12"/>
      <c r="OP16" s="12"/>
      <c r="OQ16" s="12"/>
      <c r="OR16" s="12"/>
      <c r="OS16" s="12"/>
      <c r="OT16" s="12"/>
      <c r="OU16" s="12"/>
      <c r="OV16" s="12"/>
      <c r="OW16" s="12"/>
      <c r="OX16" s="12"/>
      <c r="OY16" s="12"/>
      <c r="OZ16" s="12"/>
      <c r="PA16" s="12"/>
      <c r="PB16" s="12"/>
      <c r="PC16" s="12"/>
      <c r="PD16" s="12"/>
      <c r="PE16" s="12"/>
      <c r="PF16" s="12"/>
      <c r="PG16" s="12"/>
      <c r="PH16" s="12"/>
      <c r="PI16" s="12"/>
      <c r="PJ16" s="12"/>
      <c r="PK16" s="12"/>
      <c r="PL16" s="12"/>
      <c r="PM16" s="12"/>
      <c r="PN16" s="12"/>
      <c r="PO16" s="12"/>
      <c r="PP16" s="12"/>
      <c r="PQ16" s="12"/>
      <c r="PR16" s="12"/>
      <c r="PS16" s="12"/>
      <c r="PT16" s="12"/>
      <c r="PU16" s="12"/>
      <c r="PV16" s="12"/>
      <c r="PW16" s="12"/>
      <c r="PX16" s="12"/>
      <c r="PY16" s="12"/>
      <c r="PZ16" s="12"/>
      <c r="QA16" s="12"/>
      <c r="QB16" s="12"/>
      <c r="QC16" s="12"/>
      <c r="QD16" s="12"/>
      <c r="QE16" s="12"/>
      <c r="QF16" s="12"/>
      <c r="QG16" s="12"/>
      <c r="QH16" s="12"/>
      <c r="QI16" s="12"/>
      <c r="QJ16" s="12"/>
      <c r="QK16" s="12"/>
      <c r="QL16" s="12"/>
      <c r="QM16" s="12"/>
      <c r="QN16" s="12"/>
      <c r="QO16" s="12"/>
      <c r="QP16" s="12"/>
      <c r="QQ16" s="12"/>
      <c r="QR16" s="12"/>
      <c r="QS16" s="12"/>
      <c r="QT16" s="12"/>
      <c r="QU16" s="12"/>
      <c r="QV16" s="12"/>
      <c r="QW16" s="12"/>
      <c r="QX16" s="12"/>
      <c r="QY16" s="12"/>
      <c r="QZ16" s="12"/>
      <c r="RA16" s="12"/>
      <c r="RB16" s="12"/>
      <c r="RC16" s="12"/>
      <c r="RD16" s="12"/>
      <c r="RE16" s="12"/>
      <c r="RF16" s="12"/>
      <c r="RG16" s="12"/>
      <c r="RH16" s="12"/>
      <c r="RI16" s="12"/>
      <c r="RJ16" s="12"/>
      <c r="RK16" s="12"/>
      <c r="RL16" s="12"/>
      <c r="RM16" s="12"/>
      <c r="RN16" s="12"/>
      <c r="RO16" s="12"/>
      <c r="RP16" s="12"/>
      <c r="RQ16" s="12"/>
      <c r="RR16" s="12"/>
      <c r="RS16" s="12"/>
      <c r="RT16" s="12"/>
      <c r="RU16" s="12"/>
      <c r="RV16" s="12"/>
      <c r="RW16" s="12"/>
      <c r="RX16" s="12"/>
      <c r="RY16" s="12"/>
      <c r="RZ16" s="12"/>
      <c r="SA16" s="12"/>
      <c r="SB16" s="12"/>
      <c r="SC16" s="12"/>
      <c r="SD16" s="12"/>
      <c r="SE16" s="12"/>
      <c r="SF16" s="12"/>
      <c r="SG16" s="12"/>
      <c r="SH16" s="12"/>
      <c r="SI16" s="12"/>
      <c r="SJ16" s="12"/>
      <c r="SK16" s="12"/>
      <c r="SL16" s="12"/>
      <c r="SM16" s="12"/>
      <c r="SN16" s="12"/>
      <c r="SO16" s="12"/>
      <c r="SP16" s="12"/>
      <c r="SQ16" s="12"/>
      <c r="SR16" s="12"/>
      <c r="SS16" s="12"/>
      <c r="ST16" s="12"/>
      <c r="SU16" s="12"/>
      <c r="SV16" s="12"/>
      <c r="SW16" s="12"/>
      <c r="SX16" s="12"/>
      <c r="SY16" s="12"/>
      <c r="SZ16" s="12"/>
      <c r="TA16" s="12"/>
      <c r="TB16" s="12"/>
      <c r="TC16" s="12"/>
      <c r="TD16" s="12"/>
      <c r="TE16" s="12"/>
      <c r="TF16" s="12"/>
      <c r="TG16" s="12"/>
      <c r="TH16" s="12"/>
      <c r="TI16" s="12"/>
      <c r="TJ16" s="12"/>
      <c r="TK16" s="12"/>
      <c r="TL16" s="12"/>
      <c r="TM16" s="12"/>
      <c r="TN16" s="12"/>
      <c r="TO16" s="12"/>
      <c r="TP16" s="12"/>
      <c r="TQ16" s="12"/>
      <c r="TR16" s="12"/>
      <c r="TS16" s="12"/>
      <c r="TT16" s="12"/>
      <c r="TU16" s="12"/>
      <c r="TV16" s="12"/>
      <c r="TW16" s="12"/>
      <c r="TX16" s="12"/>
      <c r="TY16" s="12"/>
      <c r="TZ16" s="12"/>
      <c r="UA16" s="12"/>
      <c r="UB16" s="12"/>
      <c r="UC16" s="12"/>
      <c r="UD16" s="12"/>
      <c r="UE16" s="12"/>
      <c r="UF16" s="12"/>
      <c r="UG16" s="12"/>
      <c r="UH16" s="12"/>
      <c r="UI16" s="12"/>
      <c r="UJ16" s="12"/>
      <c r="UK16" s="12"/>
      <c r="UL16" s="12"/>
      <c r="UM16" s="12"/>
      <c r="UN16" s="12"/>
      <c r="UO16" s="12"/>
      <c r="UP16" s="12"/>
      <c r="UQ16" s="12"/>
      <c r="UR16" s="12"/>
      <c r="US16" s="12"/>
      <c r="UT16" s="12"/>
      <c r="UU16" s="12"/>
      <c r="UV16" s="12"/>
      <c r="UW16" s="12"/>
      <c r="UX16" s="12"/>
      <c r="UY16" s="12"/>
      <c r="UZ16" s="12"/>
      <c r="VA16" s="12"/>
      <c r="VB16" s="12"/>
      <c r="VC16" s="12"/>
      <c r="VD16" s="12"/>
      <c r="VE16" s="12"/>
      <c r="VF16" s="12"/>
      <c r="VG16" s="12"/>
      <c r="VH16" s="12"/>
      <c r="VI16" s="12"/>
      <c r="VJ16" s="12"/>
      <c r="VK16" s="12"/>
      <c r="VL16" s="12"/>
      <c r="VM16" s="12"/>
      <c r="VN16" s="12"/>
      <c r="VO16" s="12"/>
      <c r="VP16" s="12"/>
      <c r="VQ16" s="12"/>
      <c r="VR16" s="12"/>
      <c r="VS16" s="12"/>
      <c r="VT16" s="12"/>
      <c r="VU16" s="12"/>
      <c r="VV16" s="12"/>
      <c r="VW16" s="12"/>
      <c r="VX16" s="12"/>
      <c r="VY16" s="12"/>
      <c r="VZ16" s="12"/>
      <c r="WA16" s="12"/>
      <c r="WB16" s="12"/>
      <c r="WC16" s="12"/>
      <c r="WD16" s="12"/>
      <c r="WE16" s="12"/>
      <c r="WF16" s="12"/>
      <c r="WG16" s="12"/>
      <c r="WH16" s="12"/>
      <c r="WI16" s="12"/>
      <c r="WJ16" s="12"/>
      <c r="WK16" s="12"/>
      <c r="WL16" s="12"/>
      <c r="WM16" s="12"/>
      <c r="WN16" s="12"/>
      <c r="WO16" s="12"/>
      <c r="WP16" s="12"/>
      <c r="WQ16" s="12"/>
      <c r="WR16" s="12"/>
      <c r="WS16" s="12"/>
      <c r="WT16" s="12"/>
      <c r="WU16" s="12"/>
      <c r="WV16" s="12"/>
      <c r="WW16" s="12"/>
      <c r="WX16" s="12"/>
      <c r="WY16" s="12"/>
      <c r="WZ16" s="12"/>
      <c r="XA16" s="12"/>
      <c r="XB16" s="12"/>
      <c r="XC16" s="12"/>
      <c r="XD16" s="12"/>
      <c r="XE16" s="12"/>
      <c r="XF16" s="12"/>
      <c r="XG16" s="12"/>
      <c r="XH16" s="12"/>
      <c r="XI16" s="12"/>
      <c r="XJ16" s="12"/>
      <c r="XK16" s="12"/>
      <c r="XL16" s="12"/>
      <c r="XM16" s="12"/>
      <c r="XN16" s="12"/>
      <c r="XO16" s="12"/>
      <c r="XP16" s="12"/>
      <c r="XQ16" s="12"/>
      <c r="XR16" s="12"/>
      <c r="XS16" s="12"/>
      <c r="XT16" s="12"/>
      <c r="XU16" s="12"/>
      <c r="XV16" s="12"/>
      <c r="XW16" s="12"/>
      <c r="XX16" s="12"/>
      <c r="XY16" s="12"/>
      <c r="XZ16" s="12"/>
      <c r="YA16" s="12"/>
      <c r="YB16" s="12"/>
      <c r="YC16" s="12"/>
      <c r="YD16" s="12"/>
      <c r="YE16" s="12"/>
      <c r="YF16" s="12"/>
      <c r="YG16" s="12"/>
      <c r="YH16" s="12"/>
      <c r="YI16" s="12"/>
      <c r="YJ16" s="12"/>
      <c r="YK16" s="12"/>
      <c r="YL16" s="12"/>
      <c r="YM16" s="12"/>
      <c r="YN16" s="12"/>
      <c r="YO16" s="12"/>
      <c r="YP16" s="12"/>
      <c r="YQ16" s="12"/>
      <c r="YR16" s="12"/>
      <c r="YS16" s="12"/>
      <c r="YT16" s="12"/>
      <c r="YU16" s="12"/>
      <c r="YV16" s="12"/>
      <c r="YW16" s="12"/>
      <c r="YX16" s="12"/>
      <c r="YY16" s="12"/>
      <c r="YZ16" s="12"/>
      <c r="ZA16" s="12"/>
      <c r="ZB16" s="12"/>
      <c r="ZC16" s="12"/>
      <c r="ZD16" s="12"/>
      <c r="ZE16" s="12"/>
      <c r="ZF16" s="12"/>
      <c r="ZG16" s="12"/>
      <c r="ZH16" s="12"/>
      <c r="ZI16" s="12"/>
      <c r="ZJ16" s="12"/>
      <c r="ZK16" s="12"/>
      <c r="ZL16" s="12"/>
      <c r="ZM16" s="12"/>
      <c r="ZN16" s="12"/>
      <c r="ZO16" s="12"/>
      <c r="ZP16" s="12"/>
      <c r="ZQ16" s="12"/>
      <c r="ZR16" s="12"/>
      <c r="ZS16" s="12"/>
      <c r="ZT16" s="12"/>
      <c r="ZU16" s="12"/>
      <c r="ZV16" s="12"/>
      <c r="ZW16" s="12"/>
      <c r="ZX16" s="12"/>
      <c r="ZY16" s="12"/>
      <c r="ZZ16" s="12"/>
      <c r="AAA16" s="12"/>
      <c r="AAB16" s="12"/>
      <c r="AAC16" s="12"/>
      <c r="AAD16" s="12"/>
      <c r="AAE16" s="12"/>
      <c r="AAF16" s="12"/>
      <c r="AAG16" s="12"/>
      <c r="AAH16" s="12"/>
      <c r="AAI16" s="12"/>
      <c r="AAJ16" s="12"/>
      <c r="AAK16" s="12"/>
      <c r="AAL16" s="12"/>
      <c r="AAM16" s="12"/>
      <c r="AAN16" s="12"/>
      <c r="AAO16" s="12"/>
      <c r="AAP16" s="12"/>
      <c r="AAQ16" s="12"/>
      <c r="AAR16" s="12"/>
      <c r="AAS16" s="12"/>
      <c r="AAT16" s="12"/>
      <c r="AAU16" s="12"/>
      <c r="AAV16" s="12"/>
      <c r="AAW16" s="12"/>
      <c r="AAX16" s="12"/>
      <c r="AAY16" s="12"/>
      <c r="AAZ16" s="12"/>
      <c r="ABA16" s="12"/>
      <c r="ABB16" s="12"/>
      <c r="ABC16" s="12"/>
      <c r="ABD16" s="12"/>
      <c r="ABE16" s="12"/>
      <c r="ABF16" s="12"/>
      <c r="ABG16" s="12"/>
      <c r="ABH16" s="12"/>
      <c r="ABI16" s="12"/>
      <c r="ABJ16" s="12"/>
      <c r="ABK16" s="12"/>
      <c r="ABL16" s="12"/>
      <c r="ABM16" s="12"/>
      <c r="ABN16" s="12"/>
      <c r="ABO16" s="12"/>
      <c r="ABP16" s="12"/>
      <c r="ABQ16" s="12"/>
      <c r="ABR16" s="12"/>
      <c r="ABS16" s="12"/>
      <c r="ABT16" s="12"/>
      <c r="ABU16" s="12"/>
      <c r="ABV16" s="12"/>
      <c r="ABW16" s="12"/>
      <c r="ABX16" s="12"/>
      <c r="ABY16" s="12"/>
      <c r="ABZ16" s="12"/>
      <c r="ACA16" s="12"/>
      <c r="ACB16" s="12"/>
      <c r="ACC16" s="12"/>
      <c r="ACD16" s="12"/>
      <c r="ACE16" s="12"/>
      <c r="ACF16" s="12"/>
      <c r="ACG16" s="12"/>
      <c r="ACH16" s="12"/>
      <c r="ACI16" s="12"/>
      <c r="ACJ16" s="12"/>
      <c r="ACK16" s="12"/>
      <c r="ACL16" s="12"/>
      <c r="ACM16" s="12"/>
      <c r="ACN16" s="12"/>
      <c r="ACO16" s="12"/>
      <c r="ACP16" s="12"/>
      <c r="ACQ16" s="12"/>
      <c r="ACR16" s="12"/>
      <c r="ACS16" s="12"/>
      <c r="ACT16" s="12"/>
      <c r="ACU16" s="12"/>
      <c r="ACV16" s="12"/>
      <c r="ACW16" s="12"/>
      <c r="ACX16" s="12"/>
      <c r="ACY16" s="12"/>
      <c r="ACZ16" s="12"/>
      <c r="ADA16" s="12"/>
      <c r="ADB16" s="12"/>
      <c r="ADC16" s="12"/>
      <c r="ADD16" s="12"/>
      <c r="ADE16" s="12"/>
      <c r="ADF16" s="12"/>
      <c r="ADG16" s="12"/>
      <c r="ADH16" s="12"/>
      <c r="ADI16" s="12"/>
      <c r="ADJ16" s="12"/>
      <c r="ADK16" s="12"/>
      <c r="ADL16" s="12"/>
      <c r="ADM16" s="12"/>
      <c r="ADN16" s="12"/>
      <c r="ADO16" s="12"/>
      <c r="ADP16" s="12"/>
      <c r="ADQ16" s="12"/>
      <c r="ADR16" s="12"/>
      <c r="ADS16" s="12"/>
      <c r="ADT16" s="12"/>
      <c r="ADU16" s="12"/>
      <c r="ADV16" s="12"/>
      <c r="ADW16" s="12"/>
      <c r="ADX16" s="12"/>
      <c r="ADY16" s="12"/>
      <c r="ADZ16" s="12"/>
      <c r="AEA16" s="12"/>
      <c r="AEB16" s="12"/>
      <c r="AEC16" s="12"/>
      <c r="AED16" s="12"/>
      <c r="AEE16" s="12"/>
      <c r="AEF16" s="12"/>
      <c r="AEG16" s="12"/>
      <c r="AEH16" s="12"/>
      <c r="AEI16" s="12"/>
      <c r="AEJ16" s="12"/>
      <c r="AEK16" s="12"/>
      <c r="AEL16" s="12"/>
      <c r="AEM16" s="12"/>
      <c r="AEN16" s="12"/>
      <c r="AEO16" s="12"/>
      <c r="AEP16" s="12"/>
      <c r="AEQ16" s="12"/>
      <c r="AER16" s="12"/>
      <c r="AES16" s="12"/>
      <c r="AET16" s="12"/>
      <c r="AEU16" s="12"/>
      <c r="AEV16" s="12"/>
    </row>
    <row r="17" spans="1:828" s="13" customFormat="1" ht="18" x14ac:dyDescent="0.2">
      <c r="A17" s="34"/>
      <c r="B17" s="16"/>
      <c r="C17" s="16"/>
      <c r="D17" s="11"/>
      <c r="E17" s="16"/>
      <c r="F17" s="16"/>
      <c r="G17" s="16"/>
      <c r="H17" s="15"/>
      <c r="I17" s="35"/>
      <c r="J17" s="36"/>
      <c r="K17" s="15"/>
      <c r="L17" s="35"/>
      <c r="M17" s="36"/>
      <c r="N17" s="12"/>
      <c r="O17" s="12"/>
      <c r="P17"/>
      <c r="Q17"/>
      <c r="R17"/>
      <c r="S17"/>
      <c r="T17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  <c r="LT17" s="12"/>
      <c r="LU17" s="12"/>
      <c r="LV17" s="12"/>
      <c r="LW17" s="12"/>
      <c r="LX17" s="12"/>
      <c r="LY17" s="12"/>
      <c r="LZ17" s="12"/>
      <c r="MA17" s="12"/>
      <c r="MB17" s="12"/>
      <c r="MC17" s="12"/>
      <c r="MD17" s="12"/>
      <c r="ME17" s="12"/>
      <c r="MF17" s="12"/>
      <c r="MG17" s="12"/>
      <c r="MH17" s="12"/>
      <c r="MI17" s="12"/>
      <c r="MJ17" s="12"/>
      <c r="MK17" s="12"/>
      <c r="ML17" s="12"/>
      <c r="MM17" s="12"/>
      <c r="MN17" s="12"/>
      <c r="MO17" s="12"/>
      <c r="MP17" s="12"/>
      <c r="MQ17" s="12"/>
      <c r="MR17" s="12"/>
      <c r="MS17" s="12"/>
      <c r="MT17" s="12"/>
      <c r="MU17" s="12"/>
      <c r="MV17" s="12"/>
      <c r="MW17" s="12"/>
      <c r="MX17" s="12"/>
      <c r="MY17" s="12"/>
      <c r="MZ17" s="12"/>
      <c r="NA17" s="12"/>
      <c r="NB17" s="12"/>
      <c r="NC17" s="12"/>
      <c r="ND17" s="12"/>
      <c r="NE17" s="12"/>
      <c r="NF17" s="12"/>
      <c r="NG17" s="12"/>
      <c r="NH17" s="12"/>
      <c r="NI17" s="12"/>
      <c r="NJ17" s="12"/>
      <c r="NK17" s="12"/>
      <c r="NL17" s="12"/>
      <c r="NM17" s="12"/>
      <c r="NN17" s="12"/>
      <c r="NO17" s="12"/>
      <c r="NP17" s="12"/>
      <c r="NQ17" s="12"/>
      <c r="NR17" s="12"/>
      <c r="NS17" s="12"/>
      <c r="NT17" s="12"/>
      <c r="NU17" s="12"/>
      <c r="NV17" s="12"/>
      <c r="NW17" s="12"/>
      <c r="NX17" s="12"/>
      <c r="NY17" s="12"/>
      <c r="NZ17" s="12"/>
      <c r="OA17" s="12"/>
      <c r="OB17" s="12"/>
      <c r="OC17" s="12"/>
      <c r="OD17" s="12"/>
      <c r="OE17" s="12"/>
      <c r="OF17" s="12"/>
      <c r="OG17" s="12"/>
      <c r="OH17" s="12"/>
      <c r="OI17" s="12"/>
      <c r="OJ17" s="12"/>
      <c r="OK17" s="12"/>
      <c r="OL17" s="12"/>
      <c r="OM17" s="12"/>
      <c r="ON17" s="12"/>
      <c r="OO17" s="12"/>
      <c r="OP17" s="12"/>
      <c r="OQ17" s="12"/>
      <c r="OR17" s="12"/>
      <c r="OS17" s="12"/>
      <c r="OT17" s="12"/>
      <c r="OU17" s="12"/>
      <c r="OV17" s="12"/>
      <c r="OW17" s="12"/>
      <c r="OX17" s="12"/>
      <c r="OY17" s="12"/>
      <c r="OZ17" s="12"/>
      <c r="PA17" s="12"/>
      <c r="PB17" s="12"/>
      <c r="PC17" s="12"/>
      <c r="PD17" s="12"/>
      <c r="PE17" s="12"/>
      <c r="PF17" s="12"/>
      <c r="PG17" s="12"/>
      <c r="PH17" s="12"/>
      <c r="PI17" s="12"/>
      <c r="PJ17" s="12"/>
      <c r="PK17" s="12"/>
      <c r="PL17" s="12"/>
      <c r="PM17" s="12"/>
      <c r="PN17" s="12"/>
      <c r="PO17" s="12"/>
      <c r="PP17" s="12"/>
      <c r="PQ17" s="12"/>
      <c r="PR17" s="12"/>
      <c r="PS17" s="12"/>
      <c r="PT17" s="12"/>
      <c r="PU17" s="12"/>
      <c r="PV17" s="12"/>
      <c r="PW17" s="12"/>
      <c r="PX17" s="12"/>
      <c r="PY17" s="12"/>
      <c r="PZ17" s="12"/>
      <c r="QA17" s="12"/>
      <c r="QB17" s="12"/>
      <c r="QC17" s="12"/>
      <c r="QD17" s="12"/>
      <c r="QE17" s="12"/>
      <c r="QF17" s="12"/>
      <c r="QG17" s="12"/>
      <c r="QH17" s="12"/>
      <c r="QI17" s="12"/>
      <c r="QJ17" s="12"/>
      <c r="QK17" s="12"/>
      <c r="QL17" s="12"/>
      <c r="QM17" s="12"/>
      <c r="QN17" s="12"/>
      <c r="QO17" s="12"/>
      <c r="QP17" s="12"/>
      <c r="QQ17" s="12"/>
      <c r="QR17" s="12"/>
      <c r="QS17" s="12"/>
      <c r="QT17" s="12"/>
      <c r="QU17" s="12"/>
      <c r="QV17" s="12"/>
      <c r="QW17" s="12"/>
      <c r="QX17" s="12"/>
      <c r="QY17" s="12"/>
      <c r="QZ17" s="12"/>
      <c r="RA17" s="12"/>
      <c r="RB17" s="12"/>
      <c r="RC17" s="12"/>
      <c r="RD17" s="12"/>
      <c r="RE17" s="12"/>
      <c r="RF17" s="12"/>
      <c r="RG17" s="12"/>
      <c r="RH17" s="12"/>
      <c r="RI17" s="12"/>
      <c r="RJ17" s="12"/>
      <c r="RK17" s="12"/>
      <c r="RL17" s="12"/>
      <c r="RM17" s="12"/>
      <c r="RN17" s="12"/>
      <c r="RO17" s="12"/>
      <c r="RP17" s="12"/>
      <c r="RQ17" s="12"/>
      <c r="RR17" s="12"/>
      <c r="RS17" s="12"/>
      <c r="RT17" s="12"/>
      <c r="RU17" s="12"/>
      <c r="RV17" s="12"/>
      <c r="RW17" s="12"/>
      <c r="RX17" s="12"/>
      <c r="RY17" s="12"/>
      <c r="RZ17" s="12"/>
      <c r="SA17" s="12"/>
      <c r="SB17" s="12"/>
      <c r="SC17" s="12"/>
      <c r="SD17" s="12"/>
      <c r="SE17" s="12"/>
      <c r="SF17" s="12"/>
      <c r="SG17" s="12"/>
      <c r="SH17" s="12"/>
      <c r="SI17" s="12"/>
      <c r="SJ17" s="12"/>
      <c r="SK17" s="12"/>
      <c r="SL17" s="12"/>
      <c r="SM17" s="12"/>
      <c r="SN17" s="12"/>
      <c r="SO17" s="12"/>
      <c r="SP17" s="12"/>
      <c r="SQ17" s="12"/>
      <c r="SR17" s="12"/>
      <c r="SS17" s="12"/>
      <c r="ST17" s="12"/>
      <c r="SU17" s="12"/>
      <c r="SV17" s="12"/>
      <c r="SW17" s="12"/>
      <c r="SX17" s="12"/>
      <c r="SY17" s="12"/>
      <c r="SZ17" s="12"/>
      <c r="TA17" s="12"/>
      <c r="TB17" s="12"/>
      <c r="TC17" s="12"/>
      <c r="TD17" s="12"/>
      <c r="TE17" s="12"/>
      <c r="TF17" s="12"/>
      <c r="TG17" s="12"/>
      <c r="TH17" s="12"/>
      <c r="TI17" s="12"/>
      <c r="TJ17" s="12"/>
      <c r="TK17" s="12"/>
      <c r="TL17" s="12"/>
      <c r="TM17" s="12"/>
      <c r="TN17" s="12"/>
      <c r="TO17" s="12"/>
      <c r="TP17" s="12"/>
      <c r="TQ17" s="12"/>
      <c r="TR17" s="12"/>
      <c r="TS17" s="12"/>
      <c r="TT17" s="12"/>
      <c r="TU17" s="12"/>
      <c r="TV17" s="12"/>
      <c r="TW17" s="12"/>
      <c r="TX17" s="12"/>
      <c r="TY17" s="12"/>
      <c r="TZ17" s="12"/>
      <c r="UA17" s="12"/>
      <c r="UB17" s="12"/>
      <c r="UC17" s="12"/>
      <c r="UD17" s="12"/>
      <c r="UE17" s="12"/>
      <c r="UF17" s="12"/>
      <c r="UG17" s="12"/>
      <c r="UH17" s="12"/>
      <c r="UI17" s="12"/>
      <c r="UJ17" s="12"/>
      <c r="UK17" s="12"/>
      <c r="UL17" s="12"/>
      <c r="UM17" s="12"/>
      <c r="UN17" s="12"/>
      <c r="UO17" s="12"/>
      <c r="UP17" s="12"/>
      <c r="UQ17" s="12"/>
      <c r="UR17" s="12"/>
      <c r="US17" s="12"/>
      <c r="UT17" s="12"/>
      <c r="UU17" s="12"/>
      <c r="UV17" s="12"/>
      <c r="UW17" s="12"/>
      <c r="UX17" s="12"/>
      <c r="UY17" s="12"/>
      <c r="UZ17" s="12"/>
      <c r="VA17" s="12"/>
      <c r="VB17" s="12"/>
      <c r="VC17" s="12"/>
      <c r="VD17" s="12"/>
      <c r="VE17" s="12"/>
      <c r="VF17" s="12"/>
      <c r="VG17" s="12"/>
      <c r="VH17" s="12"/>
      <c r="VI17" s="12"/>
      <c r="VJ17" s="12"/>
      <c r="VK17" s="12"/>
      <c r="VL17" s="12"/>
      <c r="VM17" s="12"/>
      <c r="VN17" s="12"/>
      <c r="VO17" s="12"/>
      <c r="VP17" s="12"/>
      <c r="VQ17" s="12"/>
      <c r="VR17" s="12"/>
      <c r="VS17" s="12"/>
      <c r="VT17" s="12"/>
      <c r="VU17" s="12"/>
      <c r="VV17" s="12"/>
      <c r="VW17" s="12"/>
      <c r="VX17" s="12"/>
      <c r="VY17" s="12"/>
      <c r="VZ17" s="12"/>
      <c r="WA17" s="12"/>
      <c r="WB17" s="12"/>
      <c r="WC17" s="12"/>
      <c r="WD17" s="12"/>
      <c r="WE17" s="12"/>
      <c r="WF17" s="12"/>
      <c r="WG17" s="12"/>
      <c r="WH17" s="12"/>
      <c r="WI17" s="12"/>
      <c r="WJ17" s="12"/>
      <c r="WK17" s="12"/>
      <c r="WL17" s="12"/>
      <c r="WM17" s="12"/>
      <c r="WN17" s="12"/>
      <c r="WO17" s="12"/>
      <c r="WP17" s="12"/>
      <c r="WQ17" s="12"/>
      <c r="WR17" s="12"/>
      <c r="WS17" s="12"/>
      <c r="WT17" s="12"/>
      <c r="WU17" s="12"/>
      <c r="WV17" s="12"/>
      <c r="WW17" s="12"/>
      <c r="WX17" s="12"/>
      <c r="WY17" s="12"/>
      <c r="WZ17" s="12"/>
      <c r="XA17" s="12"/>
      <c r="XB17" s="12"/>
      <c r="XC17" s="12"/>
      <c r="XD17" s="12"/>
      <c r="XE17" s="12"/>
      <c r="XF17" s="12"/>
      <c r="XG17" s="12"/>
      <c r="XH17" s="12"/>
      <c r="XI17" s="12"/>
      <c r="XJ17" s="12"/>
      <c r="XK17" s="12"/>
      <c r="XL17" s="12"/>
      <c r="XM17" s="12"/>
      <c r="XN17" s="12"/>
      <c r="XO17" s="12"/>
      <c r="XP17" s="12"/>
      <c r="XQ17" s="12"/>
      <c r="XR17" s="12"/>
      <c r="XS17" s="12"/>
      <c r="XT17" s="12"/>
      <c r="XU17" s="12"/>
      <c r="XV17" s="12"/>
      <c r="XW17" s="12"/>
      <c r="XX17" s="12"/>
      <c r="XY17" s="12"/>
      <c r="XZ17" s="12"/>
      <c r="YA17" s="12"/>
      <c r="YB17" s="12"/>
      <c r="YC17" s="12"/>
      <c r="YD17" s="12"/>
      <c r="YE17" s="12"/>
      <c r="YF17" s="12"/>
      <c r="YG17" s="12"/>
      <c r="YH17" s="12"/>
      <c r="YI17" s="12"/>
      <c r="YJ17" s="12"/>
      <c r="YK17" s="12"/>
      <c r="YL17" s="12"/>
      <c r="YM17" s="12"/>
      <c r="YN17" s="12"/>
      <c r="YO17" s="12"/>
      <c r="YP17" s="12"/>
      <c r="YQ17" s="12"/>
      <c r="YR17" s="12"/>
      <c r="YS17" s="12"/>
      <c r="YT17" s="12"/>
      <c r="YU17" s="12"/>
      <c r="YV17" s="12"/>
      <c r="YW17" s="12"/>
      <c r="YX17" s="12"/>
      <c r="YY17" s="12"/>
      <c r="YZ17" s="12"/>
      <c r="ZA17" s="12"/>
      <c r="ZB17" s="12"/>
      <c r="ZC17" s="12"/>
      <c r="ZD17" s="12"/>
      <c r="ZE17" s="12"/>
      <c r="ZF17" s="12"/>
      <c r="ZG17" s="12"/>
      <c r="ZH17" s="12"/>
      <c r="ZI17" s="12"/>
      <c r="ZJ17" s="12"/>
      <c r="ZK17" s="12"/>
      <c r="ZL17" s="12"/>
      <c r="ZM17" s="12"/>
      <c r="ZN17" s="12"/>
      <c r="ZO17" s="12"/>
      <c r="ZP17" s="12"/>
      <c r="ZQ17" s="12"/>
      <c r="ZR17" s="12"/>
      <c r="ZS17" s="12"/>
      <c r="ZT17" s="12"/>
      <c r="ZU17" s="12"/>
      <c r="ZV17" s="12"/>
      <c r="ZW17" s="12"/>
      <c r="ZX17" s="12"/>
      <c r="ZY17" s="12"/>
      <c r="ZZ17" s="12"/>
      <c r="AAA17" s="12"/>
      <c r="AAB17" s="12"/>
      <c r="AAC17" s="12"/>
      <c r="AAD17" s="12"/>
      <c r="AAE17" s="12"/>
      <c r="AAF17" s="12"/>
      <c r="AAG17" s="12"/>
      <c r="AAH17" s="12"/>
      <c r="AAI17" s="12"/>
      <c r="AAJ17" s="12"/>
      <c r="AAK17" s="12"/>
      <c r="AAL17" s="12"/>
      <c r="AAM17" s="12"/>
      <c r="AAN17" s="12"/>
      <c r="AAO17" s="12"/>
      <c r="AAP17" s="12"/>
      <c r="AAQ17" s="12"/>
      <c r="AAR17" s="12"/>
      <c r="AAS17" s="12"/>
      <c r="AAT17" s="12"/>
      <c r="AAU17" s="12"/>
      <c r="AAV17" s="12"/>
      <c r="AAW17" s="12"/>
      <c r="AAX17" s="12"/>
      <c r="AAY17" s="12"/>
      <c r="AAZ17" s="12"/>
      <c r="ABA17" s="12"/>
      <c r="ABB17" s="12"/>
      <c r="ABC17" s="12"/>
      <c r="ABD17" s="12"/>
      <c r="ABE17" s="12"/>
      <c r="ABF17" s="12"/>
      <c r="ABG17" s="12"/>
      <c r="ABH17" s="12"/>
      <c r="ABI17" s="12"/>
      <c r="ABJ17" s="12"/>
      <c r="ABK17" s="12"/>
      <c r="ABL17" s="12"/>
      <c r="ABM17" s="12"/>
      <c r="ABN17" s="12"/>
      <c r="ABO17" s="12"/>
      <c r="ABP17" s="12"/>
      <c r="ABQ17" s="12"/>
      <c r="ABR17" s="12"/>
      <c r="ABS17" s="12"/>
      <c r="ABT17" s="12"/>
      <c r="ABU17" s="12"/>
      <c r="ABV17" s="12"/>
      <c r="ABW17" s="12"/>
      <c r="ABX17" s="12"/>
      <c r="ABY17" s="12"/>
      <c r="ABZ17" s="12"/>
      <c r="ACA17" s="12"/>
      <c r="ACB17" s="12"/>
      <c r="ACC17" s="12"/>
      <c r="ACD17" s="12"/>
      <c r="ACE17" s="12"/>
      <c r="ACF17" s="12"/>
      <c r="ACG17" s="12"/>
      <c r="ACH17" s="12"/>
      <c r="ACI17" s="12"/>
      <c r="ACJ17" s="12"/>
      <c r="ACK17" s="12"/>
      <c r="ACL17" s="12"/>
      <c r="ACM17" s="12"/>
      <c r="ACN17" s="12"/>
      <c r="ACO17" s="12"/>
      <c r="ACP17" s="12"/>
      <c r="ACQ17" s="12"/>
      <c r="ACR17" s="12"/>
      <c r="ACS17" s="12"/>
      <c r="ACT17" s="12"/>
      <c r="ACU17" s="12"/>
      <c r="ACV17" s="12"/>
      <c r="ACW17" s="12"/>
      <c r="ACX17" s="12"/>
      <c r="ACY17" s="12"/>
      <c r="ACZ17" s="12"/>
      <c r="ADA17" s="12"/>
      <c r="ADB17" s="12"/>
      <c r="ADC17" s="12"/>
      <c r="ADD17" s="12"/>
      <c r="ADE17" s="12"/>
      <c r="ADF17" s="12"/>
      <c r="ADG17" s="12"/>
      <c r="ADH17" s="12"/>
      <c r="ADI17" s="12"/>
      <c r="ADJ17" s="12"/>
      <c r="ADK17" s="12"/>
      <c r="ADL17" s="12"/>
      <c r="ADM17" s="12"/>
      <c r="ADN17" s="12"/>
      <c r="ADO17" s="12"/>
      <c r="ADP17" s="12"/>
      <c r="ADQ17" s="12"/>
      <c r="ADR17" s="12"/>
      <c r="ADS17" s="12"/>
      <c r="ADT17" s="12"/>
      <c r="ADU17" s="12"/>
      <c r="ADV17" s="12"/>
      <c r="ADW17" s="12"/>
      <c r="ADX17" s="12"/>
      <c r="ADY17" s="12"/>
      <c r="ADZ17" s="12"/>
      <c r="AEA17" s="12"/>
      <c r="AEB17" s="12"/>
      <c r="AEC17" s="12"/>
      <c r="AED17" s="12"/>
      <c r="AEE17" s="12"/>
      <c r="AEF17" s="12"/>
      <c r="AEG17" s="12"/>
      <c r="AEH17" s="12"/>
      <c r="AEI17" s="12"/>
      <c r="AEJ17" s="12"/>
      <c r="AEK17" s="12"/>
      <c r="AEL17" s="12"/>
      <c r="AEM17" s="12"/>
      <c r="AEN17" s="12"/>
      <c r="AEO17" s="12"/>
      <c r="AEP17" s="12"/>
      <c r="AEQ17" s="12"/>
      <c r="AER17" s="12"/>
      <c r="AES17" s="12"/>
      <c r="AET17" s="12"/>
      <c r="AEU17" s="12"/>
      <c r="AEV17" s="12"/>
    </row>
    <row r="18" spans="1:828" s="13" customFormat="1" ht="18" x14ac:dyDescent="0.2">
      <c r="A18" s="34"/>
      <c r="B18" s="16"/>
      <c r="C18" s="16"/>
      <c r="D18" s="11"/>
      <c r="E18" s="16"/>
      <c r="F18" s="16"/>
      <c r="G18" s="16"/>
      <c r="H18" s="15"/>
      <c r="I18" s="35"/>
      <c r="J18" s="36"/>
      <c r="K18" s="15"/>
      <c r="L18" s="35"/>
      <c r="M18" s="36"/>
      <c r="N18" s="12"/>
      <c r="O18" s="12"/>
      <c r="P18"/>
      <c r="Q18"/>
      <c r="R18"/>
      <c r="S18"/>
      <c r="T18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  <c r="LT18" s="12"/>
      <c r="LU18" s="12"/>
      <c r="LV18" s="12"/>
      <c r="LW18" s="12"/>
      <c r="LX18" s="12"/>
      <c r="LY18" s="12"/>
      <c r="LZ18" s="12"/>
      <c r="MA18" s="12"/>
      <c r="MB18" s="12"/>
      <c r="MC18" s="12"/>
      <c r="MD18" s="12"/>
      <c r="ME18" s="12"/>
      <c r="MF18" s="12"/>
      <c r="MG18" s="12"/>
      <c r="MH18" s="12"/>
      <c r="MI18" s="12"/>
      <c r="MJ18" s="12"/>
      <c r="MK18" s="12"/>
      <c r="ML18" s="12"/>
      <c r="MM18" s="12"/>
      <c r="MN18" s="12"/>
      <c r="MO18" s="12"/>
      <c r="MP18" s="12"/>
      <c r="MQ18" s="12"/>
      <c r="MR18" s="12"/>
      <c r="MS18" s="12"/>
      <c r="MT18" s="12"/>
      <c r="MU18" s="12"/>
      <c r="MV18" s="12"/>
      <c r="MW18" s="12"/>
      <c r="MX18" s="12"/>
      <c r="MY18" s="12"/>
      <c r="MZ18" s="12"/>
      <c r="NA18" s="12"/>
      <c r="NB18" s="12"/>
      <c r="NC18" s="12"/>
      <c r="ND18" s="12"/>
      <c r="NE18" s="12"/>
      <c r="NF18" s="12"/>
      <c r="NG18" s="12"/>
      <c r="NH18" s="12"/>
      <c r="NI18" s="12"/>
      <c r="NJ18" s="12"/>
      <c r="NK18" s="12"/>
      <c r="NL18" s="12"/>
      <c r="NM18" s="12"/>
      <c r="NN18" s="12"/>
      <c r="NO18" s="12"/>
      <c r="NP18" s="12"/>
      <c r="NQ18" s="12"/>
      <c r="NR18" s="12"/>
      <c r="NS18" s="12"/>
      <c r="NT18" s="12"/>
      <c r="NU18" s="12"/>
      <c r="NV18" s="12"/>
      <c r="NW18" s="12"/>
      <c r="NX18" s="12"/>
      <c r="NY18" s="12"/>
      <c r="NZ18" s="12"/>
      <c r="OA18" s="12"/>
      <c r="OB18" s="12"/>
      <c r="OC18" s="12"/>
      <c r="OD18" s="12"/>
      <c r="OE18" s="12"/>
      <c r="OF18" s="12"/>
      <c r="OG18" s="12"/>
      <c r="OH18" s="12"/>
      <c r="OI18" s="12"/>
      <c r="OJ18" s="12"/>
      <c r="OK18" s="12"/>
      <c r="OL18" s="12"/>
      <c r="OM18" s="12"/>
      <c r="ON18" s="12"/>
      <c r="OO18" s="12"/>
      <c r="OP18" s="12"/>
      <c r="OQ18" s="12"/>
      <c r="OR18" s="12"/>
      <c r="OS18" s="12"/>
      <c r="OT18" s="12"/>
      <c r="OU18" s="12"/>
      <c r="OV18" s="12"/>
      <c r="OW18" s="12"/>
      <c r="OX18" s="12"/>
      <c r="OY18" s="12"/>
      <c r="OZ18" s="12"/>
      <c r="PA18" s="12"/>
      <c r="PB18" s="12"/>
      <c r="PC18" s="12"/>
      <c r="PD18" s="12"/>
      <c r="PE18" s="12"/>
      <c r="PF18" s="12"/>
      <c r="PG18" s="12"/>
      <c r="PH18" s="12"/>
      <c r="PI18" s="12"/>
      <c r="PJ18" s="12"/>
      <c r="PK18" s="12"/>
      <c r="PL18" s="12"/>
      <c r="PM18" s="12"/>
      <c r="PN18" s="12"/>
      <c r="PO18" s="12"/>
      <c r="PP18" s="12"/>
      <c r="PQ18" s="12"/>
      <c r="PR18" s="12"/>
      <c r="PS18" s="12"/>
      <c r="PT18" s="12"/>
      <c r="PU18" s="12"/>
      <c r="PV18" s="12"/>
      <c r="PW18" s="12"/>
      <c r="PX18" s="12"/>
      <c r="PY18" s="12"/>
      <c r="PZ18" s="12"/>
      <c r="QA18" s="12"/>
      <c r="QB18" s="12"/>
      <c r="QC18" s="12"/>
      <c r="QD18" s="12"/>
      <c r="QE18" s="12"/>
      <c r="QF18" s="12"/>
      <c r="QG18" s="12"/>
      <c r="QH18" s="12"/>
      <c r="QI18" s="12"/>
      <c r="QJ18" s="12"/>
      <c r="QK18" s="12"/>
      <c r="QL18" s="12"/>
      <c r="QM18" s="12"/>
      <c r="QN18" s="12"/>
      <c r="QO18" s="12"/>
      <c r="QP18" s="12"/>
      <c r="QQ18" s="12"/>
      <c r="QR18" s="12"/>
      <c r="QS18" s="12"/>
      <c r="QT18" s="12"/>
      <c r="QU18" s="12"/>
      <c r="QV18" s="12"/>
      <c r="QW18" s="12"/>
      <c r="QX18" s="12"/>
      <c r="QY18" s="12"/>
      <c r="QZ18" s="12"/>
      <c r="RA18" s="12"/>
      <c r="RB18" s="12"/>
      <c r="RC18" s="12"/>
      <c r="RD18" s="12"/>
      <c r="RE18" s="12"/>
      <c r="RF18" s="12"/>
      <c r="RG18" s="12"/>
      <c r="RH18" s="12"/>
      <c r="RI18" s="12"/>
      <c r="RJ18" s="12"/>
      <c r="RK18" s="12"/>
      <c r="RL18" s="12"/>
      <c r="RM18" s="12"/>
      <c r="RN18" s="12"/>
      <c r="RO18" s="12"/>
      <c r="RP18" s="12"/>
      <c r="RQ18" s="12"/>
      <c r="RR18" s="12"/>
      <c r="RS18" s="12"/>
      <c r="RT18" s="12"/>
      <c r="RU18" s="12"/>
      <c r="RV18" s="12"/>
      <c r="RW18" s="12"/>
      <c r="RX18" s="12"/>
      <c r="RY18" s="12"/>
      <c r="RZ18" s="12"/>
      <c r="SA18" s="12"/>
      <c r="SB18" s="12"/>
      <c r="SC18" s="12"/>
      <c r="SD18" s="12"/>
      <c r="SE18" s="12"/>
      <c r="SF18" s="12"/>
      <c r="SG18" s="12"/>
      <c r="SH18" s="12"/>
      <c r="SI18" s="12"/>
      <c r="SJ18" s="12"/>
      <c r="SK18" s="12"/>
      <c r="SL18" s="12"/>
      <c r="SM18" s="12"/>
      <c r="SN18" s="12"/>
      <c r="SO18" s="12"/>
      <c r="SP18" s="12"/>
      <c r="SQ18" s="12"/>
      <c r="SR18" s="12"/>
      <c r="SS18" s="12"/>
      <c r="ST18" s="12"/>
      <c r="SU18" s="12"/>
      <c r="SV18" s="12"/>
      <c r="SW18" s="12"/>
      <c r="SX18" s="12"/>
      <c r="SY18" s="12"/>
      <c r="SZ18" s="12"/>
      <c r="TA18" s="12"/>
      <c r="TB18" s="12"/>
      <c r="TC18" s="12"/>
      <c r="TD18" s="12"/>
      <c r="TE18" s="12"/>
      <c r="TF18" s="12"/>
      <c r="TG18" s="12"/>
      <c r="TH18" s="12"/>
      <c r="TI18" s="12"/>
      <c r="TJ18" s="12"/>
      <c r="TK18" s="12"/>
      <c r="TL18" s="12"/>
      <c r="TM18" s="12"/>
      <c r="TN18" s="12"/>
      <c r="TO18" s="12"/>
      <c r="TP18" s="12"/>
      <c r="TQ18" s="12"/>
      <c r="TR18" s="12"/>
      <c r="TS18" s="12"/>
      <c r="TT18" s="12"/>
      <c r="TU18" s="12"/>
      <c r="TV18" s="12"/>
      <c r="TW18" s="12"/>
      <c r="TX18" s="12"/>
      <c r="TY18" s="12"/>
      <c r="TZ18" s="12"/>
      <c r="UA18" s="12"/>
      <c r="UB18" s="12"/>
      <c r="UC18" s="12"/>
      <c r="UD18" s="12"/>
      <c r="UE18" s="12"/>
      <c r="UF18" s="12"/>
      <c r="UG18" s="12"/>
      <c r="UH18" s="12"/>
      <c r="UI18" s="12"/>
      <c r="UJ18" s="12"/>
      <c r="UK18" s="12"/>
      <c r="UL18" s="12"/>
      <c r="UM18" s="12"/>
      <c r="UN18" s="12"/>
      <c r="UO18" s="12"/>
      <c r="UP18" s="12"/>
      <c r="UQ18" s="12"/>
      <c r="UR18" s="12"/>
      <c r="US18" s="12"/>
      <c r="UT18" s="12"/>
      <c r="UU18" s="12"/>
      <c r="UV18" s="12"/>
      <c r="UW18" s="12"/>
      <c r="UX18" s="12"/>
      <c r="UY18" s="12"/>
      <c r="UZ18" s="12"/>
      <c r="VA18" s="12"/>
      <c r="VB18" s="12"/>
      <c r="VC18" s="12"/>
      <c r="VD18" s="12"/>
      <c r="VE18" s="12"/>
      <c r="VF18" s="12"/>
      <c r="VG18" s="12"/>
      <c r="VH18" s="12"/>
      <c r="VI18" s="12"/>
      <c r="VJ18" s="12"/>
      <c r="VK18" s="12"/>
      <c r="VL18" s="12"/>
      <c r="VM18" s="12"/>
      <c r="VN18" s="12"/>
      <c r="VO18" s="12"/>
      <c r="VP18" s="12"/>
      <c r="VQ18" s="12"/>
      <c r="VR18" s="12"/>
      <c r="VS18" s="12"/>
      <c r="VT18" s="12"/>
      <c r="VU18" s="12"/>
      <c r="VV18" s="12"/>
      <c r="VW18" s="12"/>
      <c r="VX18" s="12"/>
      <c r="VY18" s="12"/>
      <c r="VZ18" s="12"/>
      <c r="WA18" s="12"/>
      <c r="WB18" s="12"/>
      <c r="WC18" s="12"/>
      <c r="WD18" s="12"/>
      <c r="WE18" s="12"/>
      <c r="WF18" s="12"/>
      <c r="WG18" s="12"/>
      <c r="WH18" s="12"/>
      <c r="WI18" s="12"/>
      <c r="WJ18" s="12"/>
      <c r="WK18" s="12"/>
      <c r="WL18" s="12"/>
      <c r="WM18" s="12"/>
      <c r="WN18" s="12"/>
      <c r="WO18" s="12"/>
      <c r="WP18" s="12"/>
      <c r="WQ18" s="12"/>
      <c r="WR18" s="12"/>
      <c r="WS18" s="12"/>
      <c r="WT18" s="12"/>
      <c r="WU18" s="12"/>
      <c r="WV18" s="12"/>
      <c r="WW18" s="12"/>
      <c r="WX18" s="12"/>
      <c r="WY18" s="12"/>
      <c r="WZ18" s="12"/>
      <c r="XA18" s="12"/>
      <c r="XB18" s="12"/>
      <c r="XC18" s="12"/>
      <c r="XD18" s="12"/>
      <c r="XE18" s="12"/>
      <c r="XF18" s="12"/>
      <c r="XG18" s="12"/>
      <c r="XH18" s="12"/>
      <c r="XI18" s="12"/>
      <c r="XJ18" s="12"/>
      <c r="XK18" s="12"/>
      <c r="XL18" s="12"/>
      <c r="XM18" s="12"/>
      <c r="XN18" s="12"/>
      <c r="XO18" s="12"/>
      <c r="XP18" s="12"/>
      <c r="XQ18" s="12"/>
      <c r="XR18" s="12"/>
      <c r="XS18" s="12"/>
      <c r="XT18" s="12"/>
      <c r="XU18" s="12"/>
      <c r="XV18" s="12"/>
      <c r="XW18" s="12"/>
      <c r="XX18" s="12"/>
      <c r="XY18" s="12"/>
      <c r="XZ18" s="12"/>
      <c r="YA18" s="12"/>
      <c r="YB18" s="12"/>
      <c r="YC18" s="12"/>
      <c r="YD18" s="12"/>
      <c r="YE18" s="12"/>
      <c r="YF18" s="12"/>
      <c r="YG18" s="12"/>
      <c r="YH18" s="12"/>
      <c r="YI18" s="12"/>
      <c r="YJ18" s="12"/>
      <c r="YK18" s="12"/>
      <c r="YL18" s="12"/>
      <c r="YM18" s="12"/>
      <c r="YN18" s="12"/>
      <c r="YO18" s="12"/>
      <c r="YP18" s="12"/>
      <c r="YQ18" s="12"/>
      <c r="YR18" s="12"/>
      <c r="YS18" s="12"/>
      <c r="YT18" s="12"/>
      <c r="YU18" s="12"/>
      <c r="YV18" s="12"/>
      <c r="YW18" s="12"/>
      <c r="YX18" s="12"/>
      <c r="YY18" s="12"/>
      <c r="YZ18" s="12"/>
      <c r="ZA18" s="12"/>
      <c r="ZB18" s="12"/>
      <c r="ZC18" s="12"/>
      <c r="ZD18" s="12"/>
      <c r="ZE18" s="12"/>
      <c r="ZF18" s="12"/>
      <c r="ZG18" s="12"/>
      <c r="ZH18" s="12"/>
      <c r="ZI18" s="12"/>
      <c r="ZJ18" s="12"/>
      <c r="ZK18" s="12"/>
      <c r="ZL18" s="12"/>
      <c r="ZM18" s="12"/>
      <c r="ZN18" s="12"/>
      <c r="ZO18" s="12"/>
      <c r="ZP18" s="12"/>
      <c r="ZQ18" s="12"/>
      <c r="ZR18" s="12"/>
      <c r="ZS18" s="12"/>
      <c r="ZT18" s="12"/>
      <c r="ZU18" s="12"/>
      <c r="ZV18" s="12"/>
      <c r="ZW18" s="12"/>
      <c r="ZX18" s="12"/>
      <c r="ZY18" s="12"/>
      <c r="ZZ18" s="12"/>
      <c r="AAA18" s="12"/>
      <c r="AAB18" s="12"/>
      <c r="AAC18" s="12"/>
      <c r="AAD18" s="12"/>
      <c r="AAE18" s="12"/>
      <c r="AAF18" s="12"/>
      <c r="AAG18" s="12"/>
      <c r="AAH18" s="12"/>
      <c r="AAI18" s="12"/>
      <c r="AAJ18" s="12"/>
      <c r="AAK18" s="12"/>
      <c r="AAL18" s="12"/>
      <c r="AAM18" s="12"/>
      <c r="AAN18" s="12"/>
      <c r="AAO18" s="12"/>
      <c r="AAP18" s="12"/>
      <c r="AAQ18" s="12"/>
      <c r="AAR18" s="12"/>
      <c r="AAS18" s="12"/>
      <c r="AAT18" s="12"/>
      <c r="AAU18" s="12"/>
      <c r="AAV18" s="12"/>
      <c r="AAW18" s="12"/>
      <c r="AAX18" s="12"/>
      <c r="AAY18" s="12"/>
      <c r="AAZ18" s="12"/>
      <c r="ABA18" s="12"/>
      <c r="ABB18" s="12"/>
      <c r="ABC18" s="12"/>
      <c r="ABD18" s="12"/>
      <c r="ABE18" s="12"/>
      <c r="ABF18" s="12"/>
      <c r="ABG18" s="12"/>
      <c r="ABH18" s="12"/>
      <c r="ABI18" s="12"/>
      <c r="ABJ18" s="12"/>
      <c r="ABK18" s="12"/>
      <c r="ABL18" s="12"/>
      <c r="ABM18" s="12"/>
      <c r="ABN18" s="12"/>
      <c r="ABO18" s="12"/>
      <c r="ABP18" s="12"/>
      <c r="ABQ18" s="12"/>
      <c r="ABR18" s="12"/>
      <c r="ABS18" s="12"/>
      <c r="ABT18" s="12"/>
      <c r="ABU18" s="12"/>
      <c r="ABV18" s="12"/>
      <c r="ABW18" s="12"/>
      <c r="ABX18" s="12"/>
      <c r="ABY18" s="12"/>
      <c r="ABZ18" s="12"/>
      <c r="ACA18" s="12"/>
      <c r="ACB18" s="12"/>
      <c r="ACC18" s="12"/>
      <c r="ACD18" s="12"/>
      <c r="ACE18" s="12"/>
      <c r="ACF18" s="12"/>
      <c r="ACG18" s="12"/>
      <c r="ACH18" s="12"/>
      <c r="ACI18" s="12"/>
      <c r="ACJ18" s="12"/>
      <c r="ACK18" s="12"/>
      <c r="ACL18" s="12"/>
      <c r="ACM18" s="12"/>
      <c r="ACN18" s="12"/>
      <c r="ACO18" s="12"/>
      <c r="ACP18" s="12"/>
      <c r="ACQ18" s="12"/>
      <c r="ACR18" s="12"/>
      <c r="ACS18" s="12"/>
      <c r="ACT18" s="12"/>
      <c r="ACU18" s="12"/>
      <c r="ACV18" s="12"/>
      <c r="ACW18" s="12"/>
      <c r="ACX18" s="12"/>
      <c r="ACY18" s="12"/>
      <c r="ACZ18" s="12"/>
      <c r="ADA18" s="12"/>
      <c r="ADB18" s="12"/>
      <c r="ADC18" s="12"/>
      <c r="ADD18" s="12"/>
      <c r="ADE18" s="12"/>
      <c r="ADF18" s="12"/>
      <c r="ADG18" s="12"/>
      <c r="ADH18" s="12"/>
      <c r="ADI18" s="12"/>
      <c r="ADJ18" s="12"/>
      <c r="ADK18" s="12"/>
      <c r="ADL18" s="12"/>
      <c r="ADM18" s="12"/>
      <c r="ADN18" s="12"/>
      <c r="ADO18" s="12"/>
      <c r="ADP18" s="12"/>
      <c r="ADQ18" s="12"/>
      <c r="ADR18" s="12"/>
      <c r="ADS18" s="12"/>
      <c r="ADT18" s="12"/>
      <c r="ADU18" s="12"/>
      <c r="ADV18" s="12"/>
      <c r="ADW18" s="12"/>
      <c r="ADX18" s="12"/>
      <c r="ADY18" s="12"/>
      <c r="ADZ18" s="12"/>
      <c r="AEA18" s="12"/>
      <c r="AEB18" s="12"/>
      <c r="AEC18" s="12"/>
      <c r="AED18" s="12"/>
      <c r="AEE18" s="12"/>
      <c r="AEF18" s="12"/>
      <c r="AEG18" s="12"/>
      <c r="AEH18" s="12"/>
      <c r="AEI18" s="12"/>
      <c r="AEJ18" s="12"/>
      <c r="AEK18" s="12"/>
      <c r="AEL18" s="12"/>
      <c r="AEM18" s="12"/>
      <c r="AEN18" s="12"/>
      <c r="AEO18" s="12"/>
      <c r="AEP18" s="12"/>
      <c r="AEQ18" s="12"/>
      <c r="AER18" s="12"/>
      <c r="AES18" s="12"/>
      <c r="AET18" s="12"/>
      <c r="AEU18" s="12"/>
      <c r="AEV18" s="12"/>
    </row>
    <row r="19" spans="1:828" s="13" customFormat="1" ht="19" thickBot="1" x14ac:dyDescent="0.25">
      <c r="A19" s="14"/>
      <c r="B19" s="16"/>
      <c r="C19" s="16"/>
      <c r="D19" s="11"/>
      <c r="E19" s="16"/>
      <c r="F19" s="16"/>
      <c r="G19" s="16"/>
      <c r="H19" s="15"/>
      <c r="I19" s="16"/>
      <c r="J19" s="11"/>
      <c r="K19" s="15"/>
      <c r="L19" s="16"/>
      <c r="M19" s="11"/>
      <c r="N19" s="12"/>
      <c r="O19" s="12"/>
      <c r="P19"/>
      <c r="Q19"/>
      <c r="R19"/>
      <c r="S19"/>
      <c r="T19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</row>
    <row r="20" spans="1:828" s="38" customFormat="1" ht="19" x14ac:dyDescent="0.2">
      <c r="A20" s="21" t="s">
        <v>18</v>
      </c>
      <c r="B20" s="37">
        <f t="shared" si="0"/>
        <v>6.5497975483428617E-2</v>
      </c>
      <c r="C20" s="25" t="s">
        <v>19</v>
      </c>
      <c r="D20" s="24">
        <v>7069</v>
      </c>
      <c r="E20" s="25"/>
      <c r="F20" s="25"/>
      <c r="G20" s="25"/>
      <c r="H20" s="26">
        <f>SUM(J20:J23)/J74</f>
        <v>7.1945933614691454E-2</v>
      </c>
      <c r="I20" s="25" t="s">
        <v>20</v>
      </c>
      <c r="J20" s="24">
        <v>831</v>
      </c>
      <c r="K20" s="26"/>
      <c r="L20" s="25"/>
      <c r="M20" s="24"/>
      <c r="N20" s="12"/>
      <c r="O20" s="12"/>
      <c r="P20"/>
      <c r="Q20"/>
      <c r="R20"/>
      <c r="S20"/>
      <c r="T20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</row>
    <row r="21" spans="1:828" s="27" customFormat="1" ht="18" x14ac:dyDescent="0.2">
      <c r="A21" s="28"/>
      <c r="B21" s="23"/>
      <c r="C21" s="23"/>
      <c r="D21" s="29"/>
      <c r="E21" s="23"/>
      <c r="F21" s="23"/>
      <c r="G21" s="23"/>
      <c r="H21" s="30"/>
      <c r="I21" s="23" t="s">
        <v>21</v>
      </c>
      <c r="J21" s="29">
        <v>6029</v>
      </c>
      <c r="K21" s="30"/>
      <c r="L21" s="23"/>
      <c r="M21" s="29"/>
      <c r="N21" s="12"/>
      <c r="O21" s="12"/>
      <c r="P21"/>
      <c r="Q21"/>
      <c r="R21"/>
      <c r="S21"/>
      <c r="T21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  <c r="LT21" s="12"/>
      <c r="LU21" s="12"/>
      <c r="LV21" s="12"/>
      <c r="LW21" s="12"/>
      <c r="LX21" s="12"/>
      <c r="LY21" s="12"/>
      <c r="LZ21" s="12"/>
      <c r="MA21" s="12"/>
      <c r="MB21" s="12"/>
      <c r="MC21" s="12"/>
      <c r="MD21" s="12"/>
      <c r="ME21" s="12"/>
      <c r="MF21" s="12"/>
      <c r="MG21" s="12"/>
      <c r="MH21" s="12"/>
      <c r="MI21" s="12"/>
      <c r="MJ21" s="12"/>
      <c r="MK21" s="12"/>
      <c r="ML21" s="12"/>
      <c r="MM21" s="12"/>
      <c r="MN21" s="12"/>
      <c r="MO21" s="12"/>
      <c r="MP21" s="12"/>
      <c r="MQ21" s="12"/>
      <c r="MR21" s="12"/>
      <c r="MS21" s="12"/>
      <c r="MT21" s="12"/>
      <c r="MU21" s="12"/>
      <c r="MV21" s="12"/>
      <c r="MW21" s="12"/>
      <c r="MX21" s="12"/>
      <c r="MY21" s="12"/>
      <c r="MZ21" s="12"/>
      <c r="NA21" s="12"/>
      <c r="NB21" s="12"/>
      <c r="NC21" s="12"/>
      <c r="ND21" s="12"/>
      <c r="NE21" s="12"/>
      <c r="NF21" s="12"/>
      <c r="NG21" s="12"/>
      <c r="NH21" s="12"/>
      <c r="NI21" s="12"/>
      <c r="NJ21" s="12"/>
      <c r="NK21" s="12"/>
      <c r="NL21" s="12"/>
      <c r="NM21" s="12"/>
      <c r="NN21" s="12"/>
      <c r="NO21" s="12"/>
      <c r="NP21" s="12"/>
      <c r="NQ21" s="12"/>
      <c r="NR21" s="12"/>
      <c r="NS21" s="12"/>
      <c r="NT21" s="12"/>
      <c r="NU21" s="12"/>
      <c r="NV21" s="12"/>
      <c r="NW21" s="12"/>
      <c r="NX21" s="12"/>
      <c r="NY21" s="12"/>
      <c r="NZ21" s="12"/>
      <c r="OA21" s="12"/>
      <c r="OB21" s="12"/>
      <c r="OC21" s="12"/>
      <c r="OD21" s="12"/>
      <c r="OE21" s="12"/>
      <c r="OF21" s="12"/>
      <c r="OG21" s="12"/>
      <c r="OH21" s="12"/>
      <c r="OI21" s="12"/>
      <c r="OJ21" s="12"/>
      <c r="OK21" s="12"/>
      <c r="OL21" s="12"/>
      <c r="OM21" s="12"/>
      <c r="ON21" s="12"/>
      <c r="OO21" s="12"/>
      <c r="OP21" s="12"/>
      <c r="OQ21" s="12"/>
      <c r="OR21" s="12"/>
      <c r="OS21" s="12"/>
      <c r="OT21" s="12"/>
      <c r="OU21" s="12"/>
      <c r="OV21" s="12"/>
      <c r="OW21" s="12"/>
      <c r="OX21" s="12"/>
      <c r="OY21" s="12"/>
      <c r="OZ21" s="12"/>
      <c r="PA21" s="12"/>
      <c r="PB21" s="12"/>
      <c r="PC21" s="12"/>
      <c r="PD21" s="12"/>
      <c r="PE21" s="12"/>
      <c r="PF21" s="12"/>
      <c r="PG21" s="12"/>
      <c r="PH21" s="12"/>
      <c r="PI21" s="12"/>
      <c r="PJ21" s="12"/>
      <c r="PK21" s="12"/>
      <c r="PL21" s="12"/>
      <c r="PM21" s="12"/>
      <c r="PN21" s="12"/>
      <c r="PO21" s="12"/>
      <c r="PP21" s="12"/>
      <c r="PQ21" s="12"/>
      <c r="PR21" s="12"/>
      <c r="PS21" s="12"/>
      <c r="PT21" s="12"/>
      <c r="PU21" s="12"/>
      <c r="PV21" s="12"/>
      <c r="PW21" s="12"/>
      <c r="PX21" s="12"/>
      <c r="PY21" s="12"/>
      <c r="PZ21" s="12"/>
      <c r="QA21" s="12"/>
      <c r="QB21" s="12"/>
      <c r="QC21" s="12"/>
      <c r="QD21" s="12"/>
      <c r="QE21" s="12"/>
      <c r="QF21" s="12"/>
      <c r="QG21" s="12"/>
      <c r="QH21" s="12"/>
      <c r="QI21" s="12"/>
      <c r="QJ21" s="12"/>
      <c r="QK21" s="12"/>
      <c r="QL21" s="12"/>
      <c r="QM21" s="12"/>
      <c r="QN21" s="12"/>
      <c r="QO21" s="12"/>
      <c r="QP21" s="12"/>
      <c r="QQ21" s="12"/>
      <c r="QR21" s="12"/>
      <c r="QS21" s="12"/>
      <c r="QT21" s="12"/>
      <c r="QU21" s="12"/>
      <c r="QV21" s="12"/>
      <c r="QW21" s="12"/>
      <c r="QX21" s="12"/>
      <c r="QY21" s="12"/>
      <c r="QZ21" s="12"/>
      <c r="RA21" s="12"/>
      <c r="RB21" s="12"/>
      <c r="RC21" s="12"/>
      <c r="RD21" s="12"/>
      <c r="RE21" s="12"/>
      <c r="RF21" s="12"/>
      <c r="RG21" s="12"/>
      <c r="RH21" s="12"/>
      <c r="RI21" s="12"/>
      <c r="RJ21" s="12"/>
      <c r="RK21" s="12"/>
      <c r="RL21" s="12"/>
      <c r="RM21" s="12"/>
      <c r="RN21" s="12"/>
      <c r="RO21" s="12"/>
      <c r="RP21" s="12"/>
      <c r="RQ21" s="12"/>
      <c r="RR21" s="12"/>
      <c r="RS21" s="12"/>
      <c r="RT21" s="12"/>
      <c r="RU21" s="12"/>
      <c r="RV21" s="12"/>
      <c r="RW21" s="12"/>
      <c r="RX21" s="12"/>
      <c r="RY21" s="12"/>
      <c r="RZ21" s="12"/>
      <c r="SA21" s="12"/>
      <c r="SB21" s="12"/>
      <c r="SC21" s="12"/>
      <c r="SD21" s="12"/>
      <c r="SE21" s="12"/>
      <c r="SF21" s="12"/>
      <c r="SG21" s="12"/>
      <c r="SH21" s="12"/>
      <c r="SI21" s="12"/>
      <c r="SJ21" s="12"/>
      <c r="SK21" s="12"/>
      <c r="SL21" s="12"/>
      <c r="SM21" s="12"/>
      <c r="SN21" s="12"/>
      <c r="SO21" s="12"/>
      <c r="SP21" s="12"/>
      <c r="SQ21" s="12"/>
      <c r="SR21" s="12"/>
      <c r="SS21" s="12"/>
      <c r="ST21" s="12"/>
      <c r="SU21" s="12"/>
      <c r="SV21" s="12"/>
      <c r="SW21" s="12"/>
      <c r="SX21" s="12"/>
      <c r="SY21" s="12"/>
      <c r="SZ21" s="12"/>
      <c r="TA21" s="12"/>
      <c r="TB21" s="12"/>
      <c r="TC21" s="12"/>
      <c r="TD21" s="12"/>
      <c r="TE21" s="12"/>
      <c r="TF21" s="12"/>
      <c r="TG21" s="12"/>
      <c r="TH21" s="12"/>
      <c r="TI21" s="12"/>
      <c r="TJ21" s="12"/>
      <c r="TK21" s="12"/>
      <c r="TL21" s="12"/>
      <c r="TM21" s="12"/>
      <c r="TN21" s="12"/>
      <c r="TO21" s="12"/>
      <c r="TP21" s="12"/>
      <c r="TQ21" s="12"/>
      <c r="TR21" s="12"/>
      <c r="TS21" s="12"/>
      <c r="TT21" s="12"/>
      <c r="TU21" s="12"/>
      <c r="TV21" s="12"/>
      <c r="TW21" s="12"/>
      <c r="TX21" s="12"/>
      <c r="TY21" s="12"/>
      <c r="TZ21" s="12"/>
      <c r="UA21" s="12"/>
      <c r="UB21" s="12"/>
      <c r="UC21" s="12"/>
      <c r="UD21" s="12"/>
      <c r="UE21" s="12"/>
      <c r="UF21" s="12"/>
      <c r="UG21" s="12"/>
      <c r="UH21" s="12"/>
      <c r="UI21" s="12"/>
      <c r="UJ21" s="12"/>
      <c r="UK21" s="12"/>
      <c r="UL21" s="12"/>
      <c r="UM21" s="12"/>
      <c r="UN21" s="12"/>
      <c r="UO21" s="12"/>
      <c r="UP21" s="12"/>
      <c r="UQ21" s="12"/>
      <c r="UR21" s="12"/>
      <c r="US21" s="12"/>
      <c r="UT21" s="12"/>
      <c r="UU21" s="12"/>
      <c r="UV21" s="12"/>
      <c r="UW21" s="12"/>
      <c r="UX21" s="12"/>
      <c r="UY21" s="12"/>
      <c r="UZ21" s="12"/>
      <c r="VA21" s="12"/>
      <c r="VB21" s="12"/>
      <c r="VC21" s="12"/>
      <c r="VD21" s="12"/>
      <c r="VE21" s="12"/>
      <c r="VF21" s="12"/>
      <c r="VG21" s="12"/>
      <c r="VH21" s="12"/>
      <c r="VI21" s="12"/>
      <c r="VJ21" s="12"/>
      <c r="VK21" s="12"/>
      <c r="VL21" s="12"/>
      <c r="VM21" s="12"/>
      <c r="VN21" s="12"/>
      <c r="VO21" s="12"/>
      <c r="VP21" s="12"/>
      <c r="VQ21" s="12"/>
      <c r="VR21" s="12"/>
      <c r="VS21" s="12"/>
      <c r="VT21" s="12"/>
      <c r="VU21" s="12"/>
      <c r="VV21" s="12"/>
      <c r="VW21" s="12"/>
      <c r="VX21" s="12"/>
      <c r="VY21" s="12"/>
      <c r="VZ21" s="12"/>
      <c r="WA21" s="12"/>
      <c r="WB21" s="12"/>
      <c r="WC21" s="12"/>
      <c r="WD21" s="12"/>
      <c r="WE21" s="12"/>
      <c r="WF21" s="12"/>
      <c r="WG21" s="12"/>
      <c r="WH21" s="12"/>
      <c r="WI21" s="12"/>
      <c r="WJ21" s="12"/>
      <c r="WK21" s="12"/>
      <c r="WL21" s="12"/>
      <c r="WM21" s="12"/>
      <c r="WN21" s="12"/>
      <c r="WO21" s="12"/>
      <c r="WP21" s="12"/>
      <c r="WQ21" s="12"/>
      <c r="WR21" s="12"/>
      <c r="WS21" s="12"/>
      <c r="WT21" s="12"/>
      <c r="WU21" s="12"/>
      <c r="WV21" s="12"/>
      <c r="WW21" s="12"/>
      <c r="WX21" s="12"/>
      <c r="WY21" s="12"/>
      <c r="WZ21" s="12"/>
      <c r="XA21" s="12"/>
      <c r="XB21" s="12"/>
      <c r="XC21" s="12"/>
      <c r="XD21" s="12"/>
      <c r="XE21" s="12"/>
      <c r="XF21" s="12"/>
      <c r="XG21" s="12"/>
      <c r="XH21" s="12"/>
      <c r="XI21" s="12"/>
      <c r="XJ21" s="12"/>
      <c r="XK21" s="12"/>
      <c r="XL21" s="12"/>
      <c r="XM21" s="12"/>
      <c r="XN21" s="12"/>
      <c r="XO21" s="12"/>
      <c r="XP21" s="12"/>
      <c r="XQ21" s="12"/>
      <c r="XR21" s="12"/>
      <c r="XS21" s="12"/>
      <c r="XT21" s="12"/>
      <c r="XU21" s="12"/>
      <c r="XV21" s="12"/>
      <c r="XW21" s="12"/>
      <c r="XX21" s="12"/>
      <c r="XY21" s="12"/>
      <c r="XZ21" s="12"/>
      <c r="YA21" s="12"/>
      <c r="YB21" s="12"/>
      <c r="YC21" s="12"/>
      <c r="YD21" s="12"/>
      <c r="YE21" s="12"/>
      <c r="YF21" s="12"/>
      <c r="YG21" s="12"/>
      <c r="YH21" s="12"/>
      <c r="YI21" s="12"/>
      <c r="YJ21" s="12"/>
      <c r="YK21" s="12"/>
      <c r="YL21" s="12"/>
      <c r="YM21" s="12"/>
      <c r="YN21" s="12"/>
      <c r="YO21" s="12"/>
      <c r="YP21" s="12"/>
      <c r="YQ21" s="12"/>
      <c r="YR21" s="12"/>
      <c r="YS21" s="12"/>
      <c r="YT21" s="12"/>
      <c r="YU21" s="12"/>
      <c r="YV21" s="12"/>
      <c r="YW21" s="12"/>
      <c r="YX21" s="12"/>
      <c r="YY21" s="12"/>
      <c r="YZ21" s="12"/>
      <c r="ZA21" s="12"/>
      <c r="ZB21" s="12"/>
      <c r="ZC21" s="12"/>
      <c r="ZD21" s="12"/>
      <c r="ZE21" s="12"/>
      <c r="ZF21" s="12"/>
      <c r="ZG21" s="12"/>
      <c r="ZH21" s="12"/>
      <c r="ZI21" s="12"/>
      <c r="ZJ21" s="12"/>
      <c r="ZK21" s="12"/>
      <c r="ZL21" s="12"/>
      <c r="ZM21" s="12"/>
      <c r="ZN21" s="12"/>
      <c r="ZO21" s="12"/>
      <c r="ZP21" s="12"/>
      <c r="ZQ21" s="12"/>
      <c r="ZR21" s="12"/>
      <c r="ZS21" s="12"/>
      <c r="ZT21" s="12"/>
      <c r="ZU21" s="12"/>
      <c r="ZV21" s="12"/>
      <c r="ZW21" s="12"/>
      <c r="ZX21" s="12"/>
      <c r="ZY21" s="12"/>
      <c r="ZZ21" s="12"/>
      <c r="AAA21" s="12"/>
      <c r="AAB21" s="12"/>
      <c r="AAC21" s="12"/>
      <c r="AAD21" s="12"/>
      <c r="AAE21" s="12"/>
      <c r="AAF21" s="12"/>
      <c r="AAG21" s="12"/>
      <c r="AAH21" s="12"/>
      <c r="AAI21" s="12"/>
      <c r="AAJ21" s="12"/>
      <c r="AAK21" s="12"/>
      <c r="AAL21" s="12"/>
      <c r="AAM21" s="12"/>
      <c r="AAN21" s="12"/>
      <c r="AAO21" s="12"/>
      <c r="AAP21" s="12"/>
      <c r="AAQ21" s="12"/>
      <c r="AAR21" s="12"/>
      <c r="AAS21" s="12"/>
      <c r="AAT21" s="12"/>
      <c r="AAU21" s="12"/>
      <c r="AAV21" s="12"/>
      <c r="AAW21" s="12"/>
      <c r="AAX21" s="12"/>
      <c r="AAY21" s="12"/>
      <c r="AAZ21" s="12"/>
      <c r="ABA21" s="12"/>
      <c r="ABB21" s="12"/>
      <c r="ABC21" s="12"/>
      <c r="ABD21" s="12"/>
      <c r="ABE21" s="12"/>
      <c r="ABF21" s="12"/>
      <c r="ABG21" s="12"/>
      <c r="ABH21" s="12"/>
      <c r="ABI21" s="12"/>
      <c r="ABJ21" s="12"/>
      <c r="ABK21" s="12"/>
      <c r="ABL21" s="12"/>
      <c r="ABM21" s="12"/>
      <c r="ABN21" s="12"/>
      <c r="ABO21" s="12"/>
      <c r="ABP21" s="12"/>
      <c r="ABQ21" s="12"/>
      <c r="ABR21" s="12"/>
      <c r="ABS21" s="12"/>
      <c r="ABT21" s="12"/>
      <c r="ABU21" s="12"/>
      <c r="ABV21" s="12"/>
      <c r="ABW21" s="12"/>
      <c r="ABX21" s="12"/>
      <c r="ABY21" s="12"/>
      <c r="ABZ21" s="12"/>
      <c r="ACA21" s="12"/>
      <c r="ACB21" s="12"/>
      <c r="ACC21" s="12"/>
      <c r="ACD21" s="12"/>
      <c r="ACE21" s="12"/>
      <c r="ACF21" s="12"/>
      <c r="ACG21" s="12"/>
      <c r="ACH21" s="12"/>
      <c r="ACI21" s="12"/>
      <c r="ACJ21" s="12"/>
      <c r="ACK21" s="12"/>
      <c r="ACL21" s="12"/>
      <c r="ACM21" s="12"/>
      <c r="ACN21" s="12"/>
      <c r="ACO21" s="12"/>
      <c r="ACP21" s="12"/>
      <c r="ACQ21" s="12"/>
      <c r="ACR21" s="12"/>
      <c r="ACS21" s="12"/>
      <c r="ACT21" s="12"/>
      <c r="ACU21" s="12"/>
      <c r="ACV21" s="12"/>
      <c r="ACW21" s="12"/>
      <c r="ACX21" s="12"/>
      <c r="ACY21" s="12"/>
      <c r="ACZ21" s="12"/>
      <c r="ADA21" s="12"/>
      <c r="ADB21" s="12"/>
      <c r="ADC21" s="12"/>
      <c r="ADD21" s="12"/>
      <c r="ADE21" s="12"/>
      <c r="ADF21" s="12"/>
      <c r="ADG21" s="12"/>
      <c r="ADH21" s="12"/>
      <c r="ADI21" s="12"/>
      <c r="ADJ21" s="12"/>
      <c r="ADK21" s="12"/>
      <c r="ADL21" s="12"/>
      <c r="ADM21" s="12"/>
      <c r="ADN21" s="12"/>
      <c r="ADO21" s="12"/>
      <c r="ADP21" s="12"/>
      <c r="ADQ21" s="12"/>
      <c r="ADR21" s="12"/>
      <c r="ADS21" s="12"/>
      <c r="ADT21" s="12"/>
      <c r="ADU21" s="12"/>
      <c r="ADV21" s="12"/>
      <c r="ADW21" s="12"/>
      <c r="ADX21" s="12"/>
      <c r="ADY21" s="12"/>
      <c r="ADZ21" s="12"/>
      <c r="AEA21" s="12"/>
      <c r="AEB21" s="12"/>
      <c r="AEC21" s="12"/>
      <c r="AED21" s="12"/>
      <c r="AEE21" s="12"/>
      <c r="AEF21" s="12"/>
      <c r="AEG21" s="12"/>
      <c r="AEH21" s="12"/>
      <c r="AEI21" s="12"/>
      <c r="AEJ21" s="12"/>
      <c r="AEK21" s="12"/>
      <c r="AEL21" s="12"/>
      <c r="AEM21" s="12"/>
      <c r="AEN21" s="12"/>
      <c r="AEO21" s="12"/>
      <c r="AEP21" s="12"/>
      <c r="AEQ21" s="12"/>
      <c r="AER21" s="12"/>
      <c r="AES21" s="12"/>
      <c r="AET21" s="12"/>
      <c r="AEU21" s="12"/>
      <c r="AEV21" s="12"/>
    </row>
    <row r="22" spans="1:828" s="27" customFormat="1" ht="18" x14ac:dyDescent="0.2">
      <c r="A22" s="28"/>
      <c r="B22" s="23"/>
      <c r="C22" s="23"/>
      <c r="D22" s="29"/>
      <c r="E22" s="23"/>
      <c r="F22" s="23"/>
      <c r="G22" s="23"/>
      <c r="H22" s="30"/>
      <c r="I22" s="23" t="s">
        <v>22</v>
      </c>
      <c r="J22" s="29">
        <v>167</v>
      </c>
      <c r="K22" s="30"/>
      <c r="L22" s="23"/>
      <c r="M22" s="29"/>
      <c r="N22" s="12"/>
      <c r="O22" s="12"/>
      <c r="P22"/>
      <c r="Q22"/>
      <c r="R22"/>
      <c r="S22"/>
      <c r="T2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  <c r="LT22" s="12"/>
      <c r="LU22" s="12"/>
      <c r="LV22" s="12"/>
      <c r="LW22" s="12"/>
      <c r="LX22" s="12"/>
      <c r="LY22" s="12"/>
      <c r="LZ22" s="12"/>
      <c r="MA22" s="12"/>
      <c r="MB22" s="12"/>
      <c r="MC22" s="12"/>
      <c r="MD22" s="12"/>
      <c r="ME22" s="12"/>
      <c r="MF22" s="12"/>
      <c r="MG22" s="12"/>
      <c r="MH22" s="12"/>
      <c r="MI22" s="12"/>
      <c r="MJ22" s="12"/>
      <c r="MK22" s="12"/>
      <c r="ML22" s="12"/>
      <c r="MM22" s="12"/>
      <c r="MN22" s="12"/>
      <c r="MO22" s="12"/>
      <c r="MP22" s="12"/>
      <c r="MQ22" s="12"/>
      <c r="MR22" s="12"/>
      <c r="MS22" s="12"/>
      <c r="MT22" s="12"/>
      <c r="MU22" s="12"/>
      <c r="MV22" s="12"/>
      <c r="MW22" s="12"/>
      <c r="MX22" s="12"/>
      <c r="MY22" s="12"/>
      <c r="MZ22" s="12"/>
      <c r="NA22" s="12"/>
      <c r="NB22" s="12"/>
      <c r="NC22" s="12"/>
      <c r="ND22" s="12"/>
      <c r="NE22" s="12"/>
      <c r="NF22" s="12"/>
      <c r="NG22" s="12"/>
      <c r="NH22" s="12"/>
      <c r="NI22" s="12"/>
      <c r="NJ22" s="12"/>
      <c r="NK22" s="12"/>
      <c r="NL22" s="12"/>
      <c r="NM22" s="12"/>
      <c r="NN22" s="12"/>
      <c r="NO22" s="12"/>
      <c r="NP22" s="12"/>
      <c r="NQ22" s="12"/>
      <c r="NR22" s="12"/>
      <c r="NS22" s="12"/>
      <c r="NT22" s="12"/>
      <c r="NU22" s="12"/>
      <c r="NV22" s="12"/>
      <c r="NW22" s="12"/>
      <c r="NX22" s="12"/>
      <c r="NY22" s="12"/>
      <c r="NZ22" s="12"/>
      <c r="OA22" s="12"/>
      <c r="OB22" s="12"/>
      <c r="OC22" s="12"/>
      <c r="OD22" s="12"/>
      <c r="OE22" s="12"/>
      <c r="OF22" s="12"/>
      <c r="OG22" s="12"/>
      <c r="OH22" s="12"/>
      <c r="OI22" s="12"/>
      <c r="OJ22" s="12"/>
      <c r="OK22" s="12"/>
      <c r="OL22" s="12"/>
      <c r="OM22" s="12"/>
      <c r="ON22" s="12"/>
      <c r="OO22" s="12"/>
      <c r="OP22" s="12"/>
      <c r="OQ22" s="12"/>
      <c r="OR22" s="12"/>
      <c r="OS22" s="12"/>
      <c r="OT22" s="12"/>
      <c r="OU22" s="12"/>
      <c r="OV22" s="12"/>
      <c r="OW22" s="12"/>
      <c r="OX22" s="12"/>
      <c r="OY22" s="12"/>
      <c r="OZ22" s="12"/>
      <c r="PA22" s="12"/>
      <c r="PB22" s="12"/>
      <c r="PC22" s="12"/>
      <c r="PD22" s="12"/>
      <c r="PE22" s="12"/>
      <c r="PF22" s="12"/>
      <c r="PG22" s="12"/>
      <c r="PH22" s="12"/>
      <c r="PI22" s="12"/>
      <c r="PJ22" s="12"/>
      <c r="PK22" s="12"/>
      <c r="PL22" s="12"/>
      <c r="PM22" s="12"/>
      <c r="PN22" s="12"/>
      <c r="PO22" s="12"/>
      <c r="PP22" s="12"/>
      <c r="PQ22" s="12"/>
      <c r="PR22" s="12"/>
      <c r="PS22" s="12"/>
      <c r="PT22" s="12"/>
      <c r="PU22" s="12"/>
      <c r="PV22" s="12"/>
      <c r="PW22" s="12"/>
      <c r="PX22" s="12"/>
      <c r="PY22" s="12"/>
      <c r="PZ22" s="12"/>
      <c r="QA22" s="12"/>
      <c r="QB22" s="12"/>
      <c r="QC22" s="12"/>
      <c r="QD22" s="12"/>
      <c r="QE22" s="12"/>
      <c r="QF22" s="12"/>
      <c r="QG22" s="12"/>
      <c r="QH22" s="12"/>
      <c r="QI22" s="12"/>
      <c r="QJ22" s="12"/>
      <c r="QK22" s="12"/>
      <c r="QL22" s="12"/>
      <c r="QM22" s="12"/>
      <c r="QN22" s="12"/>
      <c r="QO22" s="12"/>
      <c r="QP22" s="12"/>
      <c r="QQ22" s="12"/>
      <c r="QR22" s="12"/>
      <c r="QS22" s="12"/>
      <c r="QT22" s="12"/>
      <c r="QU22" s="12"/>
      <c r="QV22" s="12"/>
      <c r="QW22" s="12"/>
      <c r="QX22" s="12"/>
      <c r="QY22" s="12"/>
      <c r="QZ22" s="12"/>
      <c r="RA22" s="12"/>
      <c r="RB22" s="12"/>
      <c r="RC22" s="12"/>
      <c r="RD22" s="12"/>
      <c r="RE22" s="12"/>
      <c r="RF22" s="12"/>
      <c r="RG22" s="12"/>
      <c r="RH22" s="12"/>
      <c r="RI22" s="12"/>
      <c r="RJ22" s="12"/>
      <c r="RK22" s="12"/>
      <c r="RL22" s="12"/>
      <c r="RM22" s="12"/>
      <c r="RN22" s="12"/>
      <c r="RO22" s="12"/>
      <c r="RP22" s="12"/>
      <c r="RQ22" s="12"/>
      <c r="RR22" s="12"/>
      <c r="RS22" s="12"/>
      <c r="RT22" s="12"/>
      <c r="RU22" s="12"/>
      <c r="RV22" s="12"/>
      <c r="RW22" s="12"/>
      <c r="RX22" s="12"/>
      <c r="RY22" s="12"/>
      <c r="RZ22" s="12"/>
      <c r="SA22" s="12"/>
      <c r="SB22" s="12"/>
      <c r="SC22" s="12"/>
      <c r="SD22" s="12"/>
      <c r="SE22" s="12"/>
      <c r="SF22" s="12"/>
      <c r="SG22" s="12"/>
      <c r="SH22" s="12"/>
      <c r="SI22" s="12"/>
      <c r="SJ22" s="12"/>
      <c r="SK22" s="12"/>
      <c r="SL22" s="12"/>
      <c r="SM22" s="12"/>
      <c r="SN22" s="12"/>
      <c r="SO22" s="12"/>
      <c r="SP22" s="12"/>
      <c r="SQ22" s="12"/>
      <c r="SR22" s="12"/>
      <c r="SS22" s="12"/>
      <c r="ST22" s="12"/>
      <c r="SU22" s="12"/>
      <c r="SV22" s="12"/>
      <c r="SW22" s="12"/>
      <c r="SX22" s="12"/>
      <c r="SY22" s="12"/>
      <c r="SZ22" s="12"/>
      <c r="TA22" s="12"/>
      <c r="TB22" s="12"/>
      <c r="TC22" s="12"/>
      <c r="TD22" s="12"/>
      <c r="TE22" s="12"/>
      <c r="TF22" s="12"/>
      <c r="TG22" s="12"/>
      <c r="TH22" s="12"/>
      <c r="TI22" s="12"/>
      <c r="TJ22" s="12"/>
      <c r="TK22" s="12"/>
      <c r="TL22" s="12"/>
      <c r="TM22" s="12"/>
      <c r="TN22" s="12"/>
      <c r="TO22" s="12"/>
      <c r="TP22" s="12"/>
      <c r="TQ22" s="12"/>
      <c r="TR22" s="12"/>
      <c r="TS22" s="12"/>
      <c r="TT22" s="12"/>
      <c r="TU22" s="12"/>
      <c r="TV22" s="12"/>
      <c r="TW22" s="12"/>
      <c r="TX22" s="12"/>
      <c r="TY22" s="12"/>
      <c r="TZ22" s="12"/>
      <c r="UA22" s="12"/>
      <c r="UB22" s="12"/>
      <c r="UC22" s="12"/>
      <c r="UD22" s="12"/>
      <c r="UE22" s="12"/>
      <c r="UF22" s="12"/>
      <c r="UG22" s="12"/>
      <c r="UH22" s="12"/>
      <c r="UI22" s="12"/>
      <c r="UJ22" s="12"/>
      <c r="UK22" s="12"/>
      <c r="UL22" s="12"/>
      <c r="UM22" s="12"/>
      <c r="UN22" s="12"/>
      <c r="UO22" s="12"/>
      <c r="UP22" s="12"/>
      <c r="UQ22" s="12"/>
      <c r="UR22" s="12"/>
      <c r="US22" s="12"/>
      <c r="UT22" s="12"/>
      <c r="UU22" s="12"/>
      <c r="UV22" s="12"/>
      <c r="UW22" s="12"/>
      <c r="UX22" s="12"/>
      <c r="UY22" s="12"/>
      <c r="UZ22" s="12"/>
      <c r="VA22" s="12"/>
      <c r="VB22" s="12"/>
      <c r="VC22" s="12"/>
      <c r="VD22" s="12"/>
      <c r="VE22" s="12"/>
      <c r="VF22" s="12"/>
      <c r="VG22" s="12"/>
      <c r="VH22" s="12"/>
      <c r="VI22" s="12"/>
      <c r="VJ22" s="12"/>
      <c r="VK22" s="12"/>
      <c r="VL22" s="12"/>
      <c r="VM22" s="12"/>
      <c r="VN22" s="12"/>
      <c r="VO22" s="12"/>
      <c r="VP22" s="12"/>
      <c r="VQ22" s="12"/>
      <c r="VR22" s="12"/>
      <c r="VS22" s="12"/>
      <c r="VT22" s="12"/>
      <c r="VU22" s="12"/>
      <c r="VV22" s="12"/>
      <c r="VW22" s="12"/>
      <c r="VX22" s="12"/>
      <c r="VY22" s="12"/>
      <c r="VZ22" s="12"/>
      <c r="WA22" s="12"/>
      <c r="WB22" s="12"/>
      <c r="WC22" s="12"/>
      <c r="WD22" s="12"/>
      <c r="WE22" s="12"/>
      <c r="WF22" s="12"/>
      <c r="WG22" s="12"/>
      <c r="WH22" s="12"/>
      <c r="WI22" s="12"/>
      <c r="WJ22" s="12"/>
      <c r="WK22" s="12"/>
      <c r="WL22" s="12"/>
      <c r="WM22" s="12"/>
      <c r="WN22" s="12"/>
      <c r="WO22" s="12"/>
      <c r="WP22" s="12"/>
      <c r="WQ22" s="12"/>
      <c r="WR22" s="12"/>
      <c r="WS22" s="12"/>
      <c r="WT22" s="12"/>
      <c r="WU22" s="12"/>
      <c r="WV22" s="12"/>
      <c r="WW22" s="12"/>
      <c r="WX22" s="12"/>
      <c r="WY22" s="12"/>
      <c r="WZ22" s="12"/>
      <c r="XA22" s="12"/>
      <c r="XB22" s="12"/>
      <c r="XC22" s="12"/>
      <c r="XD22" s="12"/>
      <c r="XE22" s="12"/>
      <c r="XF22" s="12"/>
      <c r="XG22" s="12"/>
      <c r="XH22" s="12"/>
      <c r="XI22" s="12"/>
      <c r="XJ22" s="12"/>
      <c r="XK22" s="12"/>
      <c r="XL22" s="12"/>
      <c r="XM22" s="12"/>
      <c r="XN22" s="12"/>
      <c r="XO22" s="12"/>
      <c r="XP22" s="12"/>
      <c r="XQ22" s="12"/>
      <c r="XR22" s="12"/>
      <c r="XS22" s="12"/>
      <c r="XT22" s="12"/>
      <c r="XU22" s="12"/>
      <c r="XV22" s="12"/>
      <c r="XW22" s="12"/>
      <c r="XX22" s="12"/>
      <c r="XY22" s="12"/>
      <c r="XZ22" s="12"/>
      <c r="YA22" s="12"/>
      <c r="YB22" s="12"/>
      <c r="YC22" s="12"/>
      <c r="YD22" s="12"/>
      <c r="YE22" s="12"/>
      <c r="YF22" s="12"/>
      <c r="YG22" s="12"/>
      <c r="YH22" s="12"/>
      <c r="YI22" s="12"/>
      <c r="YJ22" s="12"/>
      <c r="YK22" s="12"/>
      <c r="YL22" s="12"/>
      <c r="YM22" s="12"/>
      <c r="YN22" s="12"/>
      <c r="YO22" s="12"/>
      <c r="YP22" s="12"/>
      <c r="YQ22" s="12"/>
      <c r="YR22" s="12"/>
      <c r="YS22" s="12"/>
      <c r="YT22" s="12"/>
      <c r="YU22" s="12"/>
      <c r="YV22" s="12"/>
      <c r="YW22" s="12"/>
      <c r="YX22" s="12"/>
      <c r="YY22" s="12"/>
      <c r="YZ22" s="12"/>
      <c r="ZA22" s="12"/>
      <c r="ZB22" s="12"/>
      <c r="ZC22" s="12"/>
      <c r="ZD22" s="12"/>
      <c r="ZE22" s="12"/>
      <c r="ZF22" s="12"/>
      <c r="ZG22" s="12"/>
      <c r="ZH22" s="12"/>
      <c r="ZI22" s="12"/>
      <c r="ZJ22" s="12"/>
      <c r="ZK22" s="12"/>
      <c r="ZL22" s="12"/>
      <c r="ZM22" s="12"/>
      <c r="ZN22" s="12"/>
      <c r="ZO22" s="12"/>
      <c r="ZP22" s="12"/>
      <c r="ZQ22" s="12"/>
      <c r="ZR22" s="12"/>
      <c r="ZS22" s="12"/>
      <c r="ZT22" s="12"/>
      <c r="ZU22" s="12"/>
      <c r="ZV22" s="12"/>
      <c r="ZW22" s="12"/>
      <c r="ZX22" s="12"/>
      <c r="ZY22" s="12"/>
      <c r="ZZ22" s="12"/>
      <c r="AAA22" s="12"/>
      <c r="AAB22" s="12"/>
      <c r="AAC22" s="12"/>
      <c r="AAD22" s="12"/>
      <c r="AAE22" s="12"/>
      <c r="AAF22" s="12"/>
      <c r="AAG22" s="12"/>
      <c r="AAH22" s="12"/>
      <c r="AAI22" s="12"/>
      <c r="AAJ22" s="12"/>
      <c r="AAK22" s="12"/>
      <c r="AAL22" s="12"/>
      <c r="AAM22" s="12"/>
      <c r="AAN22" s="12"/>
      <c r="AAO22" s="12"/>
      <c r="AAP22" s="12"/>
      <c r="AAQ22" s="12"/>
      <c r="AAR22" s="12"/>
      <c r="AAS22" s="12"/>
      <c r="AAT22" s="12"/>
      <c r="AAU22" s="12"/>
      <c r="AAV22" s="12"/>
      <c r="AAW22" s="12"/>
      <c r="AAX22" s="12"/>
      <c r="AAY22" s="12"/>
      <c r="AAZ22" s="12"/>
      <c r="ABA22" s="12"/>
      <c r="ABB22" s="12"/>
      <c r="ABC22" s="12"/>
      <c r="ABD22" s="12"/>
      <c r="ABE22" s="12"/>
      <c r="ABF22" s="12"/>
      <c r="ABG22" s="12"/>
      <c r="ABH22" s="12"/>
      <c r="ABI22" s="12"/>
      <c r="ABJ22" s="12"/>
      <c r="ABK22" s="12"/>
      <c r="ABL22" s="12"/>
      <c r="ABM22" s="12"/>
      <c r="ABN22" s="12"/>
      <c r="ABO22" s="12"/>
      <c r="ABP22" s="12"/>
      <c r="ABQ22" s="12"/>
      <c r="ABR22" s="12"/>
      <c r="ABS22" s="12"/>
      <c r="ABT22" s="12"/>
      <c r="ABU22" s="12"/>
      <c r="ABV22" s="12"/>
      <c r="ABW22" s="12"/>
      <c r="ABX22" s="12"/>
      <c r="ABY22" s="12"/>
      <c r="ABZ22" s="12"/>
      <c r="ACA22" s="12"/>
      <c r="ACB22" s="12"/>
      <c r="ACC22" s="12"/>
      <c r="ACD22" s="12"/>
      <c r="ACE22" s="12"/>
      <c r="ACF22" s="12"/>
      <c r="ACG22" s="12"/>
      <c r="ACH22" s="12"/>
      <c r="ACI22" s="12"/>
      <c r="ACJ22" s="12"/>
      <c r="ACK22" s="12"/>
      <c r="ACL22" s="12"/>
      <c r="ACM22" s="12"/>
      <c r="ACN22" s="12"/>
      <c r="ACO22" s="12"/>
      <c r="ACP22" s="12"/>
      <c r="ACQ22" s="12"/>
      <c r="ACR22" s="12"/>
      <c r="ACS22" s="12"/>
      <c r="ACT22" s="12"/>
      <c r="ACU22" s="12"/>
      <c r="ACV22" s="12"/>
      <c r="ACW22" s="12"/>
      <c r="ACX22" s="12"/>
      <c r="ACY22" s="12"/>
      <c r="ACZ22" s="12"/>
      <c r="ADA22" s="12"/>
      <c r="ADB22" s="12"/>
      <c r="ADC22" s="12"/>
      <c r="ADD22" s="12"/>
      <c r="ADE22" s="12"/>
      <c r="ADF22" s="12"/>
      <c r="ADG22" s="12"/>
      <c r="ADH22" s="12"/>
      <c r="ADI22" s="12"/>
      <c r="ADJ22" s="12"/>
      <c r="ADK22" s="12"/>
      <c r="ADL22" s="12"/>
      <c r="ADM22" s="12"/>
      <c r="ADN22" s="12"/>
      <c r="ADO22" s="12"/>
      <c r="ADP22" s="12"/>
      <c r="ADQ22" s="12"/>
      <c r="ADR22" s="12"/>
      <c r="ADS22" s="12"/>
      <c r="ADT22" s="12"/>
      <c r="ADU22" s="12"/>
      <c r="ADV22" s="12"/>
      <c r="ADW22" s="12"/>
      <c r="ADX22" s="12"/>
      <c r="ADY22" s="12"/>
      <c r="ADZ22" s="12"/>
      <c r="AEA22" s="12"/>
      <c r="AEB22" s="12"/>
      <c r="AEC22" s="12"/>
      <c r="AED22" s="12"/>
      <c r="AEE22" s="12"/>
      <c r="AEF22" s="12"/>
      <c r="AEG22" s="12"/>
      <c r="AEH22" s="12"/>
      <c r="AEI22" s="12"/>
      <c r="AEJ22" s="12"/>
      <c r="AEK22" s="12"/>
      <c r="AEL22" s="12"/>
      <c r="AEM22" s="12"/>
      <c r="AEN22" s="12"/>
      <c r="AEO22" s="12"/>
      <c r="AEP22" s="12"/>
      <c r="AEQ22" s="12"/>
      <c r="AER22" s="12"/>
      <c r="AES22" s="12"/>
      <c r="AET22" s="12"/>
      <c r="AEU22" s="12"/>
      <c r="AEV22" s="12"/>
    </row>
    <row r="23" spans="1:828" s="27" customFormat="1" ht="18" x14ac:dyDescent="0.2">
      <c r="A23" s="28"/>
      <c r="B23" s="23"/>
      <c r="C23" s="23"/>
      <c r="D23" s="29"/>
      <c r="E23" s="23"/>
      <c r="F23" s="23"/>
      <c r="G23" s="23"/>
      <c r="H23" s="30"/>
      <c r="I23" s="23" t="s">
        <v>23</v>
      </c>
      <c r="J23" s="29">
        <v>542</v>
      </c>
      <c r="K23" s="30"/>
      <c r="L23" s="23"/>
      <c r="M23" s="29"/>
      <c r="N23" s="12"/>
      <c r="O23" s="12"/>
      <c r="P23"/>
      <c r="Q23"/>
      <c r="R23"/>
      <c r="S23"/>
      <c r="T23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2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12"/>
      <c r="GI23" s="12"/>
      <c r="GJ23" s="12"/>
      <c r="GK23" s="12"/>
      <c r="GL23" s="12"/>
      <c r="GM23" s="12"/>
      <c r="GN23" s="12"/>
      <c r="GO23" s="12"/>
      <c r="GP23" s="12"/>
      <c r="GQ23" s="12"/>
      <c r="GR23" s="12"/>
      <c r="GS23" s="12"/>
      <c r="GT23" s="12"/>
      <c r="GU23" s="12"/>
      <c r="GV23" s="12"/>
      <c r="GW23" s="12"/>
      <c r="GX23" s="12"/>
      <c r="GY23" s="12"/>
      <c r="GZ23" s="12"/>
      <c r="HA23" s="12"/>
      <c r="HB23" s="12"/>
      <c r="HC23" s="12"/>
      <c r="HD23" s="12"/>
      <c r="HE23" s="12"/>
      <c r="HF23" s="12"/>
      <c r="HG23" s="12"/>
      <c r="HH23" s="12"/>
      <c r="HI23" s="12"/>
      <c r="HJ23" s="12"/>
      <c r="HK23" s="12"/>
      <c r="HL23" s="12"/>
      <c r="HM23" s="12"/>
      <c r="HN23" s="12"/>
      <c r="HO23" s="12"/>
      <c r="HP23" s="12"/>
      <c r="HQ23" s="12"/>
      <c r="HR23" s="12"/>
      <c r="HS23" s="12"/>
      <c r="HT23" s="12"/>
      <c r="HU23" s="12"/>
      <c r="HV23" s="12"/>
      <c r="HW23" s="12"/>
      <c r="HX23" s="12"/>
      <c r="HY23" s="12"/>
      <c r="HZ23" s="12"/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  <c r="IL23" s="12"/>
      <c r="IM23" s="12"/>
      <c r="IN23" s="12"/>
      <c r="IO23" s="12"/>
      <c r="IP23" s="12"/>
      <c r="IQ23" s="12"/>
      <c r="IR23" s="12"/>
      <c r="IS23" s="12"/>
      <c r="IT23" s="12"/>
      <c r="IU23" s="12"/>
      <c r="IV23" s="12"/>
      <c r="IW23" s="12"/>
      <c r="IX23" s="12"/>
      <c r="IY23" s="12"/>
      <c r="IZ23" s="12"/>
      <c r="JA23" s="12"/>
      <c r="JB23" s="12"/>
      <c r="JC23" s="12"/>
      <c r="JD23" s="12"/>
      <c r="JE23" s="12"/>
      <c r="JF23" s="12"/>
      <c r="JG23" s="12"/>
      <c r="JH23" s="12"/>
      <c r="JI23" s="12"/>
      <c r="JJ23" s="12"/>
      <c r="JK23" s="12"/>
      <c r="JL23" s="12"/>
      <c r="JM23" s="12"/>
      <c r="JN23" s="12"/>
      <c r="JO23" s="12"/>
      <c r="JP23" s="12"/>
      <c r="JQ23" s="12"/>
      <c r="JR23" s="12"/>
      <c r="JS23" s="12"/>
      <c r="JT23" s="12"/>
      <c r="JU23" s="12"/>
      <c r="JV23" s="12"/>
      <c r="JW23" s="12"/>
      <c r="JX23" s="12"/>
      <c r="JY23" s="12"/>
      <c r="JZ23" s="12"/>
      <c r="KA23" s="12"/>
      <c r="KB23" s="12"/>
      <c r="KC23" s="12"/>
      <c r="KD23" s="12"/>
      <c r="KE23" s="12"/>
      <c r="KF23" s="12"/>
      <c r="KG23" s="12"/>
      <c r="KH23" s="12"/>
      <c r="KI23" s="12"/>
      <c r="KJ23" s="12"/>
      <c r="KK23" s="12"/>
      <c r="KL23" s="12"/>
      <c r="KM23" s="12"/>
      <c r="KN23" s="12"/>
      <c r="KO23" s="12"/>
      <c r="KP23" s="12"/>
      <c r="KQ23" s="12"/>
      <c r="KR23" s="12"/>
      <c r="KS23" s="12"/>
      <c r="KT23" s="12"/>
      <c r="KU23" s="12"/>
      <c r="KV23" s="12"/>
      <c r="KW23" s="12"/>
      <c r="KX23" s="12"/>
      <c r="KY23" s="12"/>
      <c r="KZ23" s="12"/>
      <c r="LA23" s="12"/>
      <c r="LB23" s="12"/>
      <c r="LC23" s="12"/>
      <c r="LD23" s="12"/>
      <c r="LE23" s="12"/>
      <c r="LF23" s="12"/>
      <c r="LG23" s="12"/>
      <c r="LH23" s="12"/>
      <c r="LI23" s="12"/>
      <c r="LJ23" s="12"/>
      <c r="LK23" s="12"/>
      <c r="LL23" s="12"/>
      <c r="LM23" s="12"/>
      <c r="LN23" s="12"/>
      <c r="LO23" s="12"/>
      <c r="LP23" s="12"/>
      <c r="LQ23" s="12"/>
      <c r="LR23" s="12"/>
      <c r="LS23" s="12"/>
      <c r="LT23" s="12"/>
      <c r="LU23" s="12"/>
      <c r="LV23" s="12"/>
      <c r="LW23" s="12"/>
      <c r="LX23" s="12"/>
      <c r="LY23" s="12"/>
      <c r="LZ23" s="12"/>
      <c r="MA23" s="12"/>
      <c r="MB23" s="12"/>
      <c r="MC23" s="12"/>
      <c r="MD23" s="12"/>
      <c r="ME23" s="12"/>
      <c r="MF23" s="12"/>
      <c r="MG23" s="12"/>
      <c r="MH23" s="12"/>
      <c r="MI23" s="12"/>
      <c r="MJ23" s="12"/>
      <c r="MK23" s="12"/>
      <c r="ML23" s="12"/>
      <c r="MM23" s="12"/>
      <c r="MN23" s="12"/>
      <c r="MO23" s="12"/>
      <c r="MP23" s="12"/>
      <c r="MQ23" s="12"/>
      <c r="MR23" s="12"/>
      <c r="MS23" s="12"/>
      <c r="MT23" s="12"/>
      <c r="MU23" s="12"/>
      <c r="MV23" s="12"/>
      <c r="MW23" s="12"/>
      <c r="MX23" s="12"/>
      <c r="MY23" s="12"/>
      <c r="MZ23" s="12"/>
      <c r="NA23" s="12"/>
      <c r="NB23" s="12"/>
      <c r="NC23" s="12"/>
      <c r="ND23" s="12"/>
      <c r="NE23" s="12"/>
      <c r="NF23" s="12"/>
      <c r="NG23" s="12"/>
      <c r="NH23" s="12"/>
      <c r="NI23" s="12"/>
      <c r="NJ23" s="12"/>
      <c r="NK23" s="12"/>
      <c r="NL23" s="12"/>
      <c r="NM23" s="12"/>
      <c r="NN23" s="12"/>
      <c r="NO23" s="12"/>
      <c r="NP23" s="12"/>
      <c r="NQ23" s="12"/>
      <c r="NR23" s="12"/>
      <c r="NS23" s="12"/>
      <c r="NT23" s="12"/>
      <c r="NU23" s="12"/>
      <c r="NV23" s="12"/>
      <c r="NW23" s="12"/>
      <c r="NX23" s="12"/>
      <c r="NY23" s="12"/>
      <c r="NZ23" s="12"/>
      <c r="OA23" s="12"/>
      <c r="OB23" s="12"/>
      <c r="OC23" s="12"/>
      <c r="OD23" s="12"/>
      <c r="OE23" s="12"/>
      <c r="OF23" s="12"/>
      <c r="OG23" s="12"/>
      <c r="OH23" s="12"/>
      <c r="OI23" s="12"/>
      <c r="OJ23" s="12"/>
      <c r="OK23" s="12"/>
      <c r="OL23" s="12"/>
      <c r="OM23" s="12"/>
      <c r="ON23" s="12"/>
      <c r="OO23" s="12"/>
      <c r="OP23" s="12"/>
      <c r="OQ23" s="12"/>
      <c r="OR23" s="12"/>
      <c r="OS23" s="12"/>
      <c r="OT23" s="12"/>
      <c r="OU23" s="12"/>
      <c r="OV23" s="12"/>
      <c r="OW23" s="12"/>
      <c r="OX23" s="12"/>
      <c r="OY23" s="12"/>
      <c r="OZ23" s="12"/>
      <c r="PA23" s="12"/>
      <c r="PB23" s="12"/>
      <c r="PC23" s="12"/>
      <c r="PD23" s="12"/>
      <c r="PE23" s="12"/>
      <c r="PF23" s="12"/>
      <c r="PG23" s="12"/>
      <c r="PH23" s="12"/>
      <c r="PI23" s="12"/>
      <c r="PJ23" s="12"/>
      <c r="PK23" s="12"/>
      <c r="PL23" s="12"/>
      <c r="PM23" s="12"/>
      <c r="PN23" s="12"/>
      <c r="PO23" s="12"/>
      <c r="PP23" s="12"/>
      <c r="PQ23" s="12"/>
      <c r="PR23" s="12"/>
      <c r="PS23" s="12"/>
      <c r="PT23" s="12"/>
      <c r="PU23" s="12"/>
      <c r="PV23" s="12"/>
      <c r="PW23" s="12"/>
      <c r="PX23" s="12"/>
      <c r="PY23" s="12"/>
      <c r="PZ23" s="12"/>
      <c r="QA23" s="12"/>
      <c r="QB23" s="12"/>
      <c r="QC23" s="12"/>
      <c r="QD23" s="12"/>
      <c r="QE23" s="12"/>
      <c r="QF23" s="12"/>
      <c r="QG23" s="12"/>
      <c r="QH23" s="12"/>
      <c r="QI23" s="12"/>
      <c r="QJ23" s="12"/>
      <c r="QK23" s="12"/>
      <c r="QL23" s="12"/>
      <c r="QM23" s="12"/>
      <c r="QN23" s="12"/>
      <c r="QO23" s="12"/>
      <c r="QP23" s="12"/>
      <c r="QQ23" s="12"/>
      <c r="QR23" s="12"/>
      <c r="QS23" s="12"/>
      <c r="QT23" s="12"/>
      <c r="QU23" s="12"/>
      <c r="QV23" s="12"/>
      <c r="QW23" s="12"/>
      <c r="QX23" s="12"/>
      <c r="QY23" s="12"/>
      <c r="QZ23" s="12"/>
      <c r="RA23" s="12"/>
      <c r="RB23" s="12"/>
      <c r="RC23" s="12"/>
      <c r="RD23" s="12"/>
      <c r="RE23" s="12"/>
      <c r="RF23" s="12"/>
      <c r="RG23" s="12"/>
      <c r="RH23" s="12"/>
      <c r="RI23" s="12"/>
      <c r="RJ23" s="12"/>
      <c r="RK23" s="12"/>
      <c r="RL23" s="12"/>
      <c r="RM23" s="12"/>
      <c r="RN23" s="12"/>
      <c r="RO23" s="12"/>
      <c r="RP23" s="12"/>
      <c r="RQ23" s="12"/>
      <c r="RR23" s="12"/>
      <c r="RS23" s="12"/>
      <c r="RT23" s="12"/>
      <c r="RU23" s="12"/>
      <c r="RV23" s="12"/>
      <c r="RW23" s="12"/>
      <c r="RX23" s="12"/>
      <c r="RY23" s="12"/>
      <c r="RZ23" s="12"/>
      <c r="SA23" s="12"/>
      <c r="SB23" s="12"/>
      <c r="SC23" s="12"/>
      <c r="SD23" s="12"/>
      <c r="SE23" s="12"/>
      <c r="SF23" s="12"/>
      <c r="SG23" s="12"/>
      <c r="SH23" s="12"/>
      <c r="SI23" s="12"/>
      <c r="SJ23" s="12"/>
      <c r="SK23" s="12"/>
      <c r="SL23" s="12"/>
      <c r="SM23" s="12"/>
      <c r="SN23" s="12"/>
      <c r="SO23" s="12"/>
      <c r="SP23" s="12"/>
      <c r="SQ23" s="12"/>
      <c r="SR23" s="12"/>
      <c r="SS23" s="12"/>
      <c r="ST23" s="12"/>
      <c r="SU23" s="12"/>
      <c r="SV23" s="12"/>
      <c r="SW23" s="12"/>
      <c r="SX23" s="12"/>
      <c r="SY23" s="12"/>
      <c r="SZ23" s="12"/>
      <c r="TA23" s="12"/>
      <c r="TB23" s="12"/>
      <c r="TC23" s="12"/>
      <c r="TD23" s="12"/>
      <c r="TE23" s="12"/>
      <c r="TF23" s="12"/>
      <c r="TG23" s="12"/>
      <c r="TH23" s="12"/>
      <c r="TI23" s="12"/>
      <c r="TJ23" s="12"/>
      <c r="TK23" s="12"/>
      <c r="TL23" s="12"/>
      <c r="TM23" s="12"/>
      <c r="TN23" s="12"/>
      <c r="TO23" s="12"/>
      <c r="TP23" s="12"/>
      <c r="TQ23" s="12"/>
      <c r="TR23" s="12"/>
      <c r="TS23" s="12"/>
      <c r="TT23" s="12"/>
      <c r="TU23" s="12"/>
      <c r="TV23" s="12"/>
      <c r="TW23" s="12"/>
      <c r="TX23" s="12"/>
      <c r="TY23" s="12"/>
      <c r="TZ23" s="12"/>
      <c r="UA23" s="12"/>
      <c r="UB23" s="12"/>
      <c r="UC23" s="12"/>
      <c r="UD23" s="12"/>
      <c r="UE23" s="12"/>
      <c r="UF23" s="12"/>
      <c r="UG23" s="12"/>
      <c r="UH23" s="12"/>
      <c r="UI23" s="12"/>
      <c r="UJ23" s="12"/>
      <c r="UK23" s="12"/>
      <c r="UL23" s="12"/>
      <c r="UM23" s="12"/>
      <c r="UN23" s="12"/>
      <c r="UO23" s="12"/>
      <c r="UP23" s="12"/>
      <c r="UQ23" s="12"/>
      <c r="UR23" s="12"/>
      <c r="US23" s="12"/>
      <c r="UT23" s="12"/>
      <c r="UU23" s="12"/>
      <c r="UV23" s="12"/>
      <c r="UW23" s="12"/>
      <c r="UX23" s="12"/>
      <c r="UY23" s="12"/>
      <c r="UZ23" s="12"/>
      <c r="VA23" s="12"/>
      <c r="VB23" s="12"/>
      <c r="VC23" s="12"/>
      <c r="VD23" s="12"/>
      <c r="VE23" s="12"/>
      <c r="VF23" s="12"/>
      <c r="VG23" s="12"/>
      <c r="VH23" s="12"/>
      <c r="VI23" s="12"/>
      <c r="VJ23" s="12"/>
      <c r="VK23" s="12"/>
      <c r="VL23" s="12"/>
      <c r="VM23" s="12"/>
      <c r="VN23" s="12"/>
      <c r="VO23" s="12"/>
      <c r="VP23" s="12"/>
      <c r="VQ23" s="12"/>
      <c r="VR23" s="12"/>
      <c r="VS23" s="12"/>
      <c r="VT23" s="12"/>
      <c r="VU23" s="12"/>
      <c r="VV23" s="12"/>
      <c r="VW23" s="12"/>
      <c r="VX23" s="12"/>
      <c r="VY23" s="12"/>
      <c r="VZ23" s="12"/>
      <c r="WA23" s="12"/>
      <c r="WB23" s="12"/>
      <c r="WC23" s="12"/>
      <c r="WD23" s="12"/>
      <c r="WE23" s="12"/>
      <c r="WF23" s="12"/>
      <c r="WG23" s="12"/>
      <c r="WH23" s="12"/>
      <c r="WI23" s="12"/>
      <c r="WJ23" s="12"/>
      <c r="WK23" s="12"/>
      <c r="WL23" s="12"/>
      <c r="WM23" s="12"/>
      <c r="WN23" s="12"/>
      <c r="WO23" s="12"/>
      <c r="WP23" s="12"/>
      <c r="WQ23" s="12"/>
      <c r="WR23" s="12"/>
      <c r="WS23" s="12"/>
      <c r="WT23" s="12"/>
      <c r="WU23" s="12"/>
      <c r="WV23" s="12"/>
      <c r="WW23" s="12"/>
      <c r="WX23" s="12"/>
      <c r="WY23" s="12"/>
      <c r="WZ23" s="12"/>
      <c r="XA23" s="12"/>
      <c r="XB23" s="12"/>
      <c r="XC23" s="12"/>
      <c r="XD23" s="12"/>
      <c r="XE23" s="12"/>
      <c r="XF23" s="12"/>
      <c r="XG23" s="12"/>
      <c r="XH23" s="12"/>
      <c r="XI23" s="12"/>
      <c r="XJ23" s="12"/>
      <c r="XK23" s="12"/>
      <c r="XL23" s="12"/>
      <c r="XM23" s="12"/>
      <c r="XN23" s="12"/>
      <c r="XO23" s="12"/>
      <c r="XP23" s="12"/>
      <c r="XQ23" s="12"/>
      <c r="XR23" s="12"/>
      <c r="XS23" s="12"/>
      <c r="XT23" s="12"/>
      <c r="XU23" s="12"/>
      <c r="XV23" s="12"/>
      <c r="XW23" s="12"/>
      <c r="XX23" s="12"/>
      <c r="XY23" s="12"/>
      <c r="XZ23" s="12"/>
      <c r="YA23" s="12"/>
      <c r="YB23" s="12"/>
      <c r="YC23" s="12"/>
      <c r="YD23" s="12"/>
      <c r="YE23" s="12"/>
      <c r="YF23" s="12"/>
      <c r="YG23" s="12"/>
      <c r="YH23" s="12"/>
      <c r="YI23" s="12"/>
      <c r="YJ23" s="12"/>
      <c r="YK23" s="12"/>
      <c r="YL23" s="12"/>
      <c r="YM23" s="12"/>
      <c r="YN23" s="12"/>
      <c r="YO23" s="12"/>
      <c r="YP23" s="12"/>
      <c r="YQ23" s="12"/>
      <c r="YR23" s="12"/>
      <c r="YS23" s="12"/>
      <c r="YT23" s="12"/>
      <c r="YU23" s="12"/>
      <c r="YV23" s="12"/>
      <c r="YW23" s="12"/>
      <c r="YX23" s="12"/>
      <c r="YY23" s="12"/>
      <c r="YZ23" s="12"/>
      <c r="ZA23" s="12"/>
      <c r="ZB23" s="12"/>
      <c r="ZC23" s="12"/>
      <c r="ZD23" s="12"/>
      <c r="ZE23" s="12"/>
      <c r="ZF23" s="12"/>
      <c r="ZG23" s="12"/>
      <c r="ZH23" s="12"/>
      <c r="ZI23" s="12"/>
      <c r="ZJ23" s="12"/>
      <c r="ZK23" s="12"/>
      <c r="ZL23" s="12"/>
      <c r="ZM23" s="12"/>
      <c r="ZN23" s="12"/>
      <c r="ZO23" s="12"/>
      <c r="ZP23" s="12"/>
      <c r="ZQ23" s="12"/>
      <c r="ZR23" s="12"/>
      <c r="ZS23" s="12"/>
      <c r="ZT23" s="12"/>
      <c r="ZU23" s="12"/>
      <c r="ZV23" s="12"/>
      <c r="ZW23" s="12"/>
      <c r="ZX23" s="12"/>
      <c r="ZY23" s="12"/>
      <c r="ZZ23" s="12"/>
      <c r="AAA23" s="12"/>
      <c r="AAB23" s="12"/>
      <c r="AAC23" s="12"/>
      <c r="AAD23" s="12"/>
      <c r="AAE23" s="12"/>
      <c r="AAF23" s="12"/>
      <c r="AAG23" s="12"/>
      <c r="AAH23" s="12"/>
      <c r="AAI23" s="12"/>
      <c r="AAJ23" s="12"/>
      <c r="AAK23" s="12"/>
      <c r="AAL23" s="12"/>
      <c r="AAM23" s="12"/>
      <c r="AAN23" s="12"/>
      <c r="AAO23" s="12"/>
      <c r="AAP23" s="12"/>
      <c r="AAQ23" s="12"/>
      <c r="AAR23" s="12"/>
      <c r="AAS23" s="12"/>
      <c r="AAT23" s="12"/>
      <c r="AAU23" s="12"/>
      <c r="AAV23" s="12"/>
      <c r="AAW23" s="12"/>
      <c r="AAX23" s="12"/>
      <c r="AAY23" s="12"/>
      <c r="AAZ23" s="12"/>
      <c r="ABA23" s="12"/>
      <c r="ABB23" s="12"/>
      <c r="ABC23" s="12"/>
      <c r="ABD23" s="12"/>
      <c r="ABE23" s="12"/>
      <c r="ABF23" s="12"/>
      <c r="ABG23" s="12"/>
      <c r="ABH23" s="12"/>
      <c r="ABI23" s="12"/>
      <c r="ABJ23" s="12"/>
      <c r="ABK23" s="12"/>
      <c r="ABL23" s="12"/>
      <c r="ABM23" s="12"/>
      <c r="ABN23" s="12"/>
      <c r="ABO23" s="12"/>
      <c r="ABP23" s="12"/>
      <c r="ABQ23" s="12"/>
      <c r="ABR23" s="12"/>
      <c r="ABS23" s="12"/>
      <c r="ABT23" s="12"/>
      <c r="ABU23" s="12"/>
      <c r="ABV23" s="12"/>
      <c r="ABW23" s="12"/>
      <c r="ABX23" s="12"/>
      <c r="ABY23" s="12"/>
      <c r="ABZ23" s="12"/>
      <c r="ACA23" s="12"/>
      <c r="ACB23" s="12"/>
      <c r="ACC23" s="12"/>
      <c r="ACD23" s="12"/>
      <c r="ACE23" s="12"/>
      <c r="ACF23" s="12"/>
      <c r="ACG23" s="12"/>
      <c r="ACH23" s="12"/>
      <c r="ACI23" s="12"/>
      <c r="ACJ23" s="12"/>
      <c r="ACK23" s="12"/>
      <c r="ACL23" s="12"/>
      <c r="ACM23" s="12"/>
      <c r="ACN23" s="12"/>
      <c r="ACO23" s="12"/>
      <c r="ACP23" s="12"/>
      <c r="ACQ23" s="12"/>
      <c r="ACR23" s="12"/>
      <c r="ACS23" s="12"/>
      <c r="ACT23" s="12"/>
      <c r="ACU23" s="12"/>
      <c r="ACV23" s="12"/>
      <c r="ACW23" s="12"/>
      <c r="ACX23" s="12"/>
      <c r="ACY23" s="12"/>
      <c r="ACZ23" s="12"/>
      <c r="ADA23" s="12"/>
      <c r="ADB23" s="12"/>
      <c r="ADC23" s="12"/>
      <c r="ADD23" s="12"/>
      <c r="ADE23" s="12"/>
      <c r="ADF23" s="12"/>
      <c r="ADG23" s="12"/>
      <c r="ADH23" s="12"/>
      <c r="ADI23" s="12"/>
      <c r="ADJ23" s="12"/>
      <c r="ADK23" s="12"/>
      <c r="ADL23" s="12"/>
      <c r="ADM23" s="12"/>
      <c r="ADN23" s="12"/>
      <c r="ADO23" s="12"/>
      <c r="ADP23" s="12"/>
      <c r="ADQ23" s="12"/>
      <c r="ADR23" s="12"/>
      <c r="ADS23" s="12"/>
      <c r="ADT23" s="12"/>
      <c r="ADU23" s="12"/>
      <c r="ADV23" s="12"/>
      <c r="ADW23" s="12"/>
      <c r="ADX23" s="12"/>
      <c r="ADY23" s="12"/>
      <c r="ADZ23" s="12"/>
      <c r="AEA23" s="12"/>
      <c r="AEB23" s="12"/>
      <c r="AEC23" s="12"/>
      <c r="AED23" s="12"/>
      <c r="AEE23" s="12"/>
      <c r="AEF23" s="12"/>
      <c r="AEG23" s="12"/>
      <c r="AEH23" s="12"/>
      <c r="AEI23" s="12"/>
      <c r="AEJ23" s="12"/>
      <c r="AEK23" s="12"/>
      <c r="AEL23" s="12"/>
      <c r="AEM23" s="12"/>
      <c r="AEN23" s="12"/>
      <c r="AEO23" s="12"/>
      <c r="AEP23" s="12"/>
      <c r="AEQ23" s="12"/>
      <c r="AER23" s="12"/>
      <c r="AES23" s="12"/>
      <c r="AET23" s="12"/>
      <c r="AEU23" s="12"/>
      <c r="AEV23" s="12"/>
    </row>
    <row r="24" spans="1:828" s="27" customFormat="1" ht="18" x14ac:dyDescent="0.2">
      <c r="A24" s="28"/>
      <c r="B24" s="23"/>
      <c r="C24" s="23"/>
      <c r="D24" s="29"/>
      <c r="E24" s="23"/>
      <c r="F24" s="23"/>
      <c r="G24" s="23"/>
      <c r="H24" s="30"/>
      <c r="I24" s="23"/>
      <c r="J24" s="29"/>
      <c r="K24" s="30"/>
      <c r="L24" s="23"/>
      <c r="M24" s="29"/>
      <c r="N24" s="12"/>
      <c r="O24" s="12"/>
      <c r="P24"/>
      <c r="Q24"/>
      <c r="R24"/>
      <c r="S24"/>
      <c r="T24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  <c r="LT24" s="12"/>
      <c r="LU24" s="12"/>
      <c r="LV24" s="12"/>
      <c r="LW24" s="12"/>
      <c r="LX24" s="12"/>
      <c r="LY24" s="12"/>
      <c r="LZ24" s="12"/>
      <c r="MA24" s="12"/>
      <c r="MB24" s="12"/>
      <c r="MC24" s="12"/>
      <c r="MD24" s="12"/>
      <c r="ME24" s="12"/>
      <c r="MF24" s="12"/>
      <c r="MG24" s="12"/>
      <c r="MH24" s="12"/>
      <c r="MI24" s="12"/>
      <c r="MJ24" s="12"/>
      <c r="MK24" s="12"/>
      <c r="ML24" s="12"/>
      <c r="MM24" s="12"/>
      <c r="MN24" s="12"/>
      <c r="MO24" s="12"/>
      <c r="MP24" s="12"/>
      <c r="MQ24" s="12"/>
      <c r="MR24" s="12"/>
      <c r="MS24" s="12"/>
      <c r="MT24" s="12"/>
      <c r="MU24" s="12"/>
      <c r="MV24" s="12"/>
      <c r="MW24" s="12"/>
      <c r="MX24" s="12"/>
      <c r="MY24" s="12"/>
      <c r="MZ24" s="12"/>
      <c r="NA24" s="12"/>
      <c r="NB24" s="12"/>
      <c r="NC24" s="12"/>
      <c r="ND24" s="12"/>
      <c r="NE24" s="12"/>
      <c r="NF24" s="12"/>
      <c r="NG24" s="12"/>
      <c r="NH24" s="12"/>
      <c r="NI24" s="12"/>
      <c r="NJ24" s="12"/>
      <c r="NK24" s="12"/>
      <c r="NL24" s="12"/>
      <c r="NM24" s="12"/>
      <c r="NN24" s="12"/>
      <c r="NO24" s="12"/>
      <c r="NP24" s="12"/>
      <c r="NQ24" s="12"/>
      <c r="NR24" s="12"/>
      <c r="NS24" s="12"/>
      <c r="NT24" s="12"/>
      <c r="NU24" s="12"/>
      <c r="NV24" s="12"/>
      <c r="NW24" s="12"/>
      <c r="NX24" s="12"/>
      <c r="NY24" s="12"/>
      <c r="NZ24" s="12"/>
      <c r="OA24" s="12"/>
      <c r="OB24" s="12"/>
      <c r="OC24" s="12"/>
      <c r="OD24" s="12"/>
      <c r="OE24" s="12"/>
      <c r="OF24" s="12"/>
      <c r="OG24" s="12"/>
      <c r="OH24" s="12"/>
      <c r="OI24" s="12"/>
      <c r="OJ24" s="12"/>
      <c r="OK24" s="12"/>
      <c r="OL24" s="12"/>
      <c r="OM24" s="12"/>
      <c r="ON24" s="12"/>
      <c r="OO24" s="12"/>
      <c r="OP24" s="12"/>
      <c r="OQ24" s="12"/>
      <c r="OR24" s="12"/>
      <c r="OS24" s="12"/>
      <c r="OT24" s="12"/>
      <c r="OU24" s="12"/>
      <c r="OV24" s="12"/>
      <c r="OW24" s="12"/>
      <c r="OX24" s="12"/>
      <c r="OY24" s="12"/>
      <c r="OZ24" s="12"/>
      <c r="PA24" s="12"/>
      <c r="PB24" s="12"/>
      <c r="PC24" s="12"/>
      <c r="PD24" s="12"/>
      <c r="PE24" s="12"/>
      <c r="PF24" s="12"/>
      <c r="PG24" s="12"/>
      <c r="PH24" s="12"/>
      <c r="PI24" s="12"/>
      <c r="PJ24" s="12"/>
      <c r="PK24" s="12"/>
      <c r="PL24" s="12"/>
      <c r="PM24" s="12"/>
      <c r="PN24" s="12"/>
      <c r="PO24" s="12"/>
      <c r="PP24" s="12"/>
      <c r="PQ24" s="12"/>
      <c r="PR24" s="12"/>
      <c r="PS24" s="12"/>
      <c r="PT24" s="12"/>
      <c r="PU24" s="12"/>
      <c r="PV24" s="12"/>
      <c r="PW24" s="12"/>
      <c r="PX24" s="12"/>
      <c r="PY24" s="12"/>
      <c r="PZ24" s="12"/>
      <c r="QA24" s="12"/>
      <c r="QB24" s="12"/>
      <c r="QC24" s="12"/>
      <c r="QD24" s="12"/>
      <c r="QE24" s="12"/>
      <c r="QF24" s="12"/>
      <c r="QG24" s="12"/>
      <c r="QH24" s="12"/>
      <c r="QI24" s="12"/>
      <c r="QJ24" s="12"/>
      <c r="QK24" s="12"/>
      <c r="QL24" s="12"/>
      <c r="QM24" s="12"/>
      <c r="QN24" s="12"/>
      <c r="QO24" s="12"/>
      <c r="QP24" s="12"/>
      <c r="QQ24" s="12"/>
      <c r="QR24" s="12"/>
      <c r="QS24" s="12"/>
      <c r="QT24" s="12"/>
      <c r="QU24" s="12"/>
      <c r="QV24" s="12"/>
      <c r="QW24" s="12"/>
      <c r="QX24" s="12"/>
      <c r="QY24" s="12"/>
      <c r="QZ24" s="12"/>
      <c r="RA24" s="12"/>
      <c r="RB24" s="12"/>
      <c r="RC24" s="12"/>
      <c r="RD24" s="12"/>
      <c r="RE24" s="12"/>
      <c r="RF24" s="12"/>
      <c r="RG24" s="12"/>
      <c r="RH24" s="12"/>
      <c r="RI24" s="12"/>
      <c r="RJ24" s="12"/>
      <c r="RK24" s="12"/>
      <c r="RL24" s="12"/>
      <c r="RM24" s="12"/>
      <c r="RN24" s="12"/>
      <c r="RO24" s="12"/>
      <c r="RP24" s="12"/>
      <c r="RQ24" s="12"/>
      <c r="RR24" s="12"/>
      <c r="RS24" s="12"/>
      <c r="RT24" s="12"/>
      <c r="RU24" s="12"/>
      <c r="RV24" s="12"/>
      <c r="RW24" s="12"/>
      <c r="RX24" s="12"/>
      <c r="RY24" s="12"/>
      <c r="RZ24" s="12"/>
      <c r="SA24" s="12"/>
      <c r="SB24" s="12"/>
      <c r="SC24" s="12"/>
      <c r="SD24" s="12"/>
      <c r="SE24" s="12"/>
      <c r="SF24" s="12"/>
      <c r="SG24" s="12"/>
      <c r="SH24" s="12"/>
      <c r="SI24" s="12"/>
      <c r="SJ24" s="12"/>
      <c r="SK24" s="12"/>
      <c r="SL24" s="12"/>
      <c r="SM24" s="12"/>
      <c r="SN24" s="12"/>
      <c r="SO24" s="12"/>
      <c r="SP24" s="12"/>
      <c r="SQ24" s="12"/>
      <c r="SR24" s="12"/>
      <c r="SS24" s="12"/>
      <c r="ST24" s="12"/>
      <c r="SU24" s="12"/>
      <c r="SV24" s="12"/>
      <c r="SW24" s="12"/>
      <c r="SX24" s="12"/>
      <c r="SY24" s="12"/>
      <c r="SZ24" s="12"/>
      <c r="TA24" s="12"/>
      <c r="TB24" s="12"/>
      <c r="TC24" s="12"/>
      <c r="TD24" s="12"/>
      <c r="TE24" s="12"/>
      <c r="TF24" s="12"/>
      <c r="TG24" s="12"/>
      <c r="TH24" s="12"/>
      <c r="TI24" s="12"/>
      <c r="TJ24" s="12"/>
      <c r="TK24" s="12"/>
      <c r="TL24" s="12"/>
      <c r="TM24" s="12"/>
      <c r="TN24" s="12"/>
      <c r="TO24" s="12"/>
      <c r="TP24" s="12"/>
      <c r="TQ24" s="12"/>
      <c r="TR24" s="12"/>
      <c r="TS24" s="12"/>
      <c r="TT24" s="12"/>
      <c r="TU24" s="12"/>
      <c r="TV24" s="12"/>
      <c r="TW24" s="12"/>
      <c r="TX24" s="12"/>
      <c r="TY24" s="12"/>
      <c r="TZ24" s="12"/>
      <c r="UA24" s="12"/>
      <c r="UB24" s="12"/>
      <c r="UC24" s="12"/>
      <c r="UD24" s="12"/>
      <c r="UE24" s="12"/>
      <c r="UF24" s="12"/>
      <c r="UG24" s="12"/>
      <c r="UH24" s="12"/>
      <c r="UI24" s="12"/>
      <c r="UJ24" s="12"/>
      <c r="UK24" s="12"/>
      <c r="UL24" s="12"/>
      <c r="UM24" s="12"/>
      <c r="UN24" s="12"/>
      <c r="UO24" s="12"/>
      <c r="UP24" s="12"/>
      <c r="UQ24" s="12"/>
      <c r="UR24" s="12"/>
      <c r="US24" s="12"/>
      <c r="UT24" s="12"/>
      <c r="UU24" s="12"/>
      <c r="UV24" s="12"/>
      <c r="UW24" s="12"/>
      <c r="UX24" s="12"/>
      <c r="UY24" s="12"/>
      <c r="UZ24" s="12"/>
      <c r="VA24" s="12"/>
      <c r="VB24" s="12"/>
      <c r="VC24" s="12"/>
      <c r="VD24" s="12"/>
      <c r="VE24" s="12"/>
      <c r="VF24" s="12"/>
      <c r="VG24" s="12"/>
      <c r="VH24" s="12"/>
      <c r="VI24" s="12"/>
      <c r="VJ24" s="12"/>
      <c r="VK24" s="12"/>
      <c r="VL24" s="12"/>
      <c r="VM24" s="12"/>
      <c r="VN24" s="12"/>
      <c r="VO24" s="12"/>
      <c r="VP24" s="12"/>
      <c r="VQ24" s="12"/>
      <c r="VR24" s="12"/>
      <c r="VS24" s="12"/>
      <c r="VT24" s="12"/>
      <c r="VU24" s="12"/>
      <c r="VV24" s="12"/>
      <c r="VW24" s="12"/>
      <c r="VX24" s="12"/>
      <c r="VY24" s="12"/>
      <c r="VZ24" s="12"/>
      <c r="WA24" s="12"/>
      <c r="WB24" s="12"/>
      <c r="WC24" s="12"/>
      <c r="WD24" s="12"/>
      <c r="WE24" s="12"/>
      <c r="WF24" s="12"/>
      <c r="WG24" s="12"/>
      <c r="WH24" s="12"/>
      <c r="WI24" s="12"/>
      <c r="WJ24" s="12"/>
      <c r="WK24" s="12"/>
      <c r="WL24" s="12"/>
      <c r="WM24" s="12"/>
      <c r="WN24" s="12"/>
      <c r="WO24" s="12"/>
      <c r="WP24" s="12"/>
      <c r="WQ24" s="12"/>
      <c r="WR24" s="12"/>
      <c r="WS24" s="12"/>
      <c r="WT24" s="12"/>
      <c r="WU24" s="12"/>
      <c r="WV24" s="12"/>
      <c r="WW24" s="12"/>
      <c r="WX24" s="12"/>
      <c r="WY24" s="12"/>
      <c r="WZ24" s="12"/>
      <c r="XA24" s="12"/>
      <c r="XB24" s="12"/>
      <c r="XC24" s="12"/>
      <c r="XD24" s="12"/>
      <c r="XE24" s="12"/>
      <c r="XF24" s="12"/>
      <c r="XG24" s="12"/>
      <c r="XH24" s="12"/>
      <c r="XI24" s="12"/>
      <c r="XJ24" s="12"/>
      <c r="XK24" s="12"/>
      <c r="XL24" s="12"/>
      <c r="XM24" s="12"/>
      <c r="XN24" s="12"/>
      <c r="XO24" s="12"/>
      <c r="XP24" s="12"/>
      <c r="XQ24" s="12"/>
      <c r="XR24" s="12"/>
      <c r="XS24" s="12"/>
      <c r="XT24" s="12"/>
      <c r="XU24" s="12"/>
      <c r="XV24" s="12"/>
      <c r="XW24" s="12"/>
      <c r="XX24" s="12"/>
      <c r="XY24" s="12"/>
      <c r="XZ24" s="12"/>
      <c r="YA24" s="12"/>
      <c r="YB24" s="12"/>
      <c r="YC24" s="12"/>
      <c r="YD24" s="12"/>
      <c r="YE24" s="12"/>
      <c r="YF24" s="12"/>
      <c r="YG24" s="12"/>
      <c r="YH24" s="12"/>
      <c r="YI24" s="12"/>
      <c r="YJ24" s="12"/>
      <c r="YK24" s="12"/>
      <c r="YL24" s="12"/>
      <c r="YM24" s="12"/>
      <c r="YN24" s="12"/>
      <c r="YO24" s="12"/>
      <c r="YP24" s="12"/>
      <c r="YQ24" s="12"/>
      <c r="YR24" s="12"/>
      <c r="YS24" s="12"/>
      <c r="YT24" s="12"/>
      <c r="YU24" s="12"/>
      <c r="YV24" s="12"/>
      <c r="YW24" s="12"/>
      <c r="YX24" s="12"/>
      <c r="YY24" s="12"/>
      <c r="YZ24" s="12"/>
      <c r="ZA24" s="12"/>
      <c r="ZB24" s="12"/>
      <c r="ZC24" s="12"/>
      <c r="ZD24" s="12"/>
      <c r="ZE24" s="12"/>
      <c r="ZF24" s="12"/>
      <c r="ZG24" s="12"/>
      <c r="ZH24" s="12"/>
      <c r="ZI24" s="12"/>
      <c r="ZJ24" s="12"/>
      <c r="ZK24" s="12"/>
      <c r="ZL24" s="12"/>
      <c r="ZM24" s="12"/>
      <c r="ZN24" s="12"/>
      <c r="ZO24" s="12"/>
      <c r="ZP24" s="12"/>
      <c r="ZQ24" s="12"/>
      <c r="ZR24" s="12"/>
      <c r="ZS24" s="12"/>
      <c r="ZT24" s="12"/>
      <c r="ZU24" s="12"/>
      <c r="ZV24" s="12"/>
      <c r="ZW24" s="12"/>
      <c r="ZX24" s="12"/>
      <c r="ZY24" s="12"/>
      <c r="ZZ24" s="12"/>
      <c r="AAA24" s="12"/>
      <c r="AAB24" s="12"/>
      <c r="AAC24" s="12"/>
      <c r="AAD24" s="12"/>
      <c r="AAE24" s="12"/>
      <c r="AAF24" s="12"/>
      <c r="AAG24" s="12"/>
      <c r="AAH24" s="12"/>
      <c r="AAI24" s="12"/>
      <c r="AAJ24" s="12"/>
      <c r="AAK24" s="12"/>
      <c r="AAL24" s="12"/>
      <c r="AAM24" s="12"/>
      <c r="AAN24" s="12"/>
      <c r="AAO24" s="12"/>
      <c r="AAP24" s="12"/>
      <c r="AAQ24" s="12"/>
      <c r="AAR24" s="12"/>
      <c r="AAS24" s="12"/>
      <c r="AAT24" s="12"/>
      <c r="AAU24" s="12"/>
      <c r="AAV24" s="12"/>
      <c r="AAW24" s="12"/>
      <c r="AAX24" s="12"/>
      <c r="AAY24" s="12"/>
      <c r="AAZ24" s="12"/>
      <c r="ABA24" s="12"/>
      <c r="ABB24" s="12"/>
      <c r="ABC24" s="12"/>
      <c r="ABD24" s="12"/>
      <c r="ABE24" s="12"/>
      <c r="ABF24" s="12"/>
      <c r="ABG24" s="12"/>
      <c r="ABH24" s="12"/>
      <c r="ABI24" s="12"/>
      <c r="ABJ24" s="12"/>
      <c r="ABK24" s="12"/>
      <c r="ABL24" s="12"/>
      <c r="ABM24" s="12"/>
      <c r="ABN24" s="12"/>
      <c r="ABO24" s="12"/>
      <c r="ABP24" s="12"/>
      <c r="ABQ24" s="12"/>
      <c r="ABR24" s="12"/>
      <c r="ABS24" s="12"/>
      <c r="ABT24" s="12"/>
      <c r="ABU24" s="12"/>
      <c r="ABV24" s="12"/>
      <c r="ABW24" s="12"/>
      <c r="ABX24" s="12"/>
      <c r="ABY24" s="12"/>
      <c r="ABZ24" s="12"/>
      <c r="ACA24" s="12"/>
      <c r="ACB24" s="12"/>
      <c r="ACC24" s="12"/>
      <c r="ACD24" s="12"/>
      <c r="ACE24" s="12"/>
      <c r="ACF24" s="12"/>
      <c r="ACG24" s="12"/>
      <c r="ACH24" s="12"/>
      <c r="ACI24" s="12"/>
      <c r="ACJ24" s="12"/>
      <c r="ACK24" s="12"/>
      <c r="ACL24" s="12"/>
      <c r="ACM24" s="12"/>
      <c r="ACN24" s="12"/>
      <c r="ACO24" s="12"/>
      <c r="ACP24" s="12"/>
      <c r="ACQ24" s="12"/>
      <c r="ACR24" s="12"/>
      <c r="ACS24" s="12"/>
      <c r="ACT24" s="12"/>
      <c r="ACU24" s="12"/>
      <c r="ACV24" s="12"/>
      <c r="ACW24" s="12"/>
      <c r="ACX24" s="12"/>
      <c r="ACY24" s="12"/>
      <c r="ACZ24" s="12"/>
      <c r="ADA24" s="12"/>
      <c r="ADB24" s="12"/>
      <c r="ADC24" s="12"/>
      <c r="ADD24" s="12"/>
      <c r="ADE24" s="12"/>
      <c r="ADF24" s="12"/>
      <c r="ADG24" s="12"/>
      <c r="ADH24" s="12"/>
      <c r="ADI24" s="12"/>
      <c r="ADJ24" s="12"/>
      <c r="ADK24" s="12"/>
      <c r="ADL24" s="12"/>
      <c r="ADM24" s="12"/>
      <c r="ADN24" s="12"/>
      <c r="ADO24" s="12"/>
      <c r="ADP24" s="12"/>
      <c r="ADQ24" s="12"/>
      <c r="ADR24" s="12"/>
      <c r="ADS24" s="12"/>
      <c r="ADT24" s="12"/>
      <c r="ADU24" s="12"/>
      <c r="ADV24" s="12"/>
      <c r="ADW24" s="12"/>
      <c r="ADX24" s="12"/>
      <c r="ADY24" s="12"/>
      <c r="ADZ24" s="12"/>
      <c r="AEA24" s="12"/>
      <c r="AEB24" s="12"/>
      <c r="AEC24" s="12"/>
      <c r="AED24" s="12"/>
      <c r="AEE24" s="12"/>
      <c r="AEF24" s="12"/>
      <c r="AEG24" s="12"/>
      <c r="AEH24" s="12"/>
      <c r="AEI24" s="12"/>
      <c r="AEJ24" s="12"/>
      <c r="AEK24" s="12"/>
      <c r="AEL24" s="12"/>
      <c r="AEM24" s="12"/>
      <c r="AEN24" s="12"/>
      <c r="AEO24" s="12"/>
      <c r="AEP24" s="12"/>
      <c r="AEQ24" s="12"/>
      <c r="AER24" s="12"/>
      <c r="AES24" s="12"/>
      <c r="AET24" s="12"/>
      <c r="AEU24" s="12"/>
      <c r="AEV24" s="12"/>
    </row>
    <row r="25" spans="1:828" s="27" customFormat="1" ht="18" x14ac:dyDescent="0.2">
      <c r="A25" s="28"/>
      <c r="B25" s="23"/>
      <c r="C25" s="23"/>
      <c r="D25" s="29"/>
      <c r="E25" s="23"/>
      <c r="F25" s="23"/>
      <c r="G25" s="23"/>
      <c r="H25" s="30"/>
      <c r="I25" s="23"/>
      <c r="J25" s="29"/>
      <c r="K25" s="30"/>
      <c r="L25" s="23"/>
      <c r="M25" s="29"/>
      <c r="N25" s="12"/>
      <c r="O25" s="12"/>
      <c r="P25"/>
      <c r="Q25"/>
      <c r="R25"/>
      <c r="S25"/>
      <c r="T25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2"/>
      <c r="FJ25" s="12"/>
      <c r="FK25" s="12"/>
      <c r="FL25" s="12"/>
      <c r="FM25" s="12"/>
      <c r="FN25" s="12"/>
      <c r="FO25" s="12"/>
      <c r="FP25" s="12"/>
      <c r="FQ25" s="12"/>
      <c r="FR25" s="12"/>
      <c r="FS25" s="12"/>
      <c r="FT25" s="12"/>
      <c r="FU25" s="12"/>
      <c r="FV25" s="12"/>
      <c r="FW25" s="12"/>
      <c r="FX25" s="12"/>
      <c r="FY25" s="12"/>
      <c r="FZ25" s="12"/>
      <c r="GA25" s="12"/>
      <c r="GB25" s="12"/>
      <c r="GC25" s="12"/>
      <c r="GD25" s="12"/>
      <c r="GE25" s="12"/>
      <c r="GF25" s="12"/>
      <c r="GG25" s="12"/>
      <c r="GH25" s="12"/>
      <c r="GI25" s="12"/>
      <c r="GJ25" s="12"/>
      <c r="GK25" s="12"/>
      <c r="GL25" s="12"/>
      <c r="GM25" s="12"/>
      <c r="GN25" s="12"/>
      <c r="GO25" s="12"/>
      <c r="GP25" s="12"/>
      <c r="GQ25" s="12"/>
      <c r="GR25" s="12"/>
      <c r="GS25" s="12"/>
      <c r="GT25" s="12"/>
      <c r="GU25" s="12"/>
      <c r="GV25" s="12"/>
      <c r="GW25" s="12"/>
      <c r="GX25" s="12"/>
      <c r="GY25" s="12"/>
      <c r="GZ25" s="12"/>
      <c r="HA25" s="12"/>
      <c r="HB25" s="12"/>
      <c r="HC25" s="12"/>
      <c r="HD25" s="12"/>
      <c r="HE25" s="12"/>
      <c r="HF25" s="12"/>
      <c r="HG25" s="12"/>
      <c r="HH25" s="12"/>
      <c r="HI25" s="12"/>
      <c r="HJ25" s="12"/>
      <c r="HK25" s="12"/>
      <c r="HL25" s="12"/>
      <c r="HM25" s="12"/>
      <c r="HN25" s="12"/>
      <c r="HO25" s="12"/>
      <c r="HP25" s="12"/>
      <c r="HQ25" s="12"/>
      <c r="HR25" s="12"/>
      <c r="HS25" s="12"/>
      <c r="HT25" s="12"/>
      <c r="HU25" s="12"/>
      <c r="HV25" s="12"/>
      <c r="HW25" s="12"/>
      <c r="HX25" s="12"/>
      <c r="HY25" s="12"/>
      <c r="HZ25" s="12"/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  <c r="IL25" s="12"/>
      <c r="IM25" s="12"/>
      <c r="IN25" s="12"/>
      <c r="IO25" s="12"/>
      <c r="IP25" s="12"/>
      <c r="IQ25" s="12"/>
      <c r="IR25" s="12"/>
      <c r="IS25" s="12"/>
      <c r="IT25" s="12"/>
      <c r="IU25" s="12"/>
      <c r="IV25" s="12"/>
      <c r="IW25" s="12"/>
      <c r="IX25" s="12"/>
      <c r="IY25" s="12"/>
      <c r="IZ25" s="12"/>
      <c r="JA25" s="12"/>
      <c r="JB25" s="12"/>
      <c r="JC25" s="12"/>
      <c r="JD25" s="12"/>
      <c r="JE25" s="12"/>
      <c r="JF25" s="12"/>
      <c r="JG25" s="12"/>
      <c r="JH25" s="12"/>
      <c r="JI25" s="12"/>
      <c r="JJ25" s="12"/>
      <c r="JK25" s="12"/>
      <c r="JL25" s="12"/>
      <c r="JM25" s="12"/>
      <c r="JN25" s="12"/>
      <c r="JO25" s="12"/>
      <c r="JP25" s="12"/>
      <c r="JQ25" s="12"/>
      <c r="JR25" s="12"/>
      <c r="JS25" s="12"/>
      <c r="JT25" s="12"/>
      <c r="JU25" s="12"/>
      <c r="JV25" s="12"/>
      <c r="JW25" s="12"/>
      <c r="JX25" s="12"/>
      <c r="JY25" s="12"/>
      <c r="JZ25" s="12"/>
      <c r="KA25" s="12"/>
      <c r="KB25" s="12"/>
      <c r="KC25" s="12"/>
      <c r="KD25" s="12"/>
      <c r="KE25" s="12"/>
      <c r="KF25" s="12"/>
      <c r="KG25" s="12"/>
      <c r="KH25" s="12"/>
      <c r="KI25" s="12"/>
      <c r="KJ25" s="12"/>
      <c r="KK25" s="12"/>
      <c r="KL25" s="12"/>
      <c r="KM25" s="12"/>
      <c r="KN25" s="12"/>
      <c r="KO25" s="12"/>
      <c r="KP25" s="12"/>
      <c r="KQ25" s="12"/>
      <c r="KR25" s="12"/>
      <c r="KS25" s="12"/>
      <c r="KT25" s="12"/>
      <c r="KU25" s="12"/>
      <c r="KV25" s="12"/>
      <c r="KW25" s="12"/>
      <c r="KX25" s="12"/>
      <c r="KY25" s="12"/>
      <c r="KZ25" s="12"/>
      <c r="LA25" s="12"/>
      <c r="LB25" s="12"/>
      <c r="LC25" s="12"/>
      <c r="LD25" s="12"/>
      <c r="LE25" s="12"/>
      <c r="LF25" s="12"/>
      <c r="LG25" s="12"/>
      <c r="LH25" s="12"/>
      <c r="LI25" s="12"/>
      <c r="LJ25" s="12"/>
      <c r="LK25" s="12"/>
      <c r="LL25" s="12"/>
      <c r="LM25" s="12"/>
      <c r="LN25" s="12"/>
      <c r="LO25" s="12"/>
      <c r="LP25" s="12"/>
      <c r="LQ25" s="12"/>
      <c r="LR25" s="12"/>
      <c r="LS25" s="12"/>
      <c r="LT25" s="12"/>
      <c r="LU25" s="12"/>
      <c r="LV25" s="12"/>
      <c r="LW25" s="12"/>
      <c r="LX25" s="12"/>
      <c r="LY25" s="12"/>
      <c r="LZ25" s="12"/>
      <c r="MA25" s="12"/>
      <c r="MB25" s="12"/>
      <c r="MC25" s="12"/>
      <c r="MD25" s="12"/>
      <c r="ME25" s="12"/>
      <c r="MF25" s="12"/>
      <c r="MG25" s="12"/>
      <c r="MH25" s="12"/>
      <c r="MI25" s="12"/>
      <c r="MJ25" s="12"/>
      <c r="MK25" s="12"/>
      <c r="ML25" s="12"/>
      <c r="MM25" s="12"/>
      <c r="MN25" s="12"/>
      <c r="MO25" s="12"/>
      <c r="MP25" s="12"/>
      <c r="MQ25" s="12"/>
      <c r="MR25" s="12"/>
      <c r="MS25" s="12"/>
      <c r="MT25" s="12"/>
      <c r="MU25" s="12"/>
      <c r="MV25" s="12"/>
      <c r="MW25" s="12"/>
      <c r="MX25" s="12"/>
      <c r="MY25" s="12"/>
      <c r="MZ25" s="12"/>
      <c r="NA25" s="12"/>
      <c r="NB25" s="12"/>
      <c r="NC25" s="12"/>
      <c r="ND25" s="12"/>
      <c r="NE25" s="12"/>
      <c r="NF25" s="12"/>
      <c r="NG25" s="12"/>
      <c r="NH25" s="12"/>
      <c r="NI25" s="12"/>
      <c r="NJ25" s="12"/>
      <c r="NK25" s="12"/>
      <c r="NL25" s="12"/>
      <c r="NM25" s="12"/>
      <c r="NN25" s="12"/>
      <c r="NO25" s="12"/>
      <c r="NP25" s="12"/>
      <c r="NQ25" s="12"/>
      <c r="NR25" s="12"/>
      <c r="NS25" s="12"/>
      <c r="NT25" s="12"/>
      <c r="NU25" s="12"/>
      <c r="NV25" s="12"/>
      <c r="NW25" s="12"/>
      <c r="NX25" s="12"/>
      <c r="NY25" s="12"/>
      <c r="NZ25" s="12"/>
      <c r="OA25" s="12"/>
      <c r="OB25" s="12"/>
      <c r="OC25" s="12"/>
      <c r="OD25" s="12"/>
      <c r="OE25" s="12"/>
      <c r="OF25" s="12"/>
      <c r="OG25" s="12"/>
      <c r="OH25" s="12"/>
      <c r="OI25" s="12"/>
      <c r="OJ25" s="12"/>
      <c r="OK25" s="12"/>
      <c r="OL25" s="12"/>
      <c r="OM25" s="12"/>
      <c r="ON25" s="12"/>
      <c r="OO25" s="12"/>
      <c r="OP25" s="12"/>
      <c r="OQ25" s="12"/>
      <c r="OR25" s="12"/>
      <c r="OS25" s="12"/>
      <c r="OT25" s="12"/>
      <c r="OU25" s="12"/>
      <c r="OV25" s="12"/>
      <c r="OW25" s="12"/>
      <c r="OX25" s="12"/>
      <c r="OY25" s="12"/>
      <c r="OZ25" s="12"/>
      <c r="PA25" s="12"/>
      <c r="PB25" s="12"/>
      <c r="PC25" s="12"/>
      <c r="PD25" s="12"/>
      <c r="PE25" s="12"/>
      <c r="PF25" s="12"/>
      <c r="PG25" s="12"/>
      <c r="PH25" s="12"/>
      <c r="PI25" s="12"/>
      <c r="PJ25" s="12"/>
      <c r="PK25" s="12"/>
      <c r="PL25" s="12"/>
      <c r="PM25" s="12"/>
      <c r="PN25" s="12"/>
      <c r="PO25" s="12"/>
      <c r="PP25" s="12"/>
      <c r="PQ25" s="12"/>
      <c r="PR25" s="12"/>
      <c r="PS25" s="12"/>
      <c r="PT25" s="12"/>
      <c r="PU25" s="12"/>
      <c r="PV25" s="12"/>
      <c r="PW25" s="12"/>
      <c r="PX25" s="12"/>
      <c r="PY25" s="12"/>
      <c r="PZ25" s="12"/>
      <c r="QA25" s="12"/>
      <c r="QB25" s="12"/>
      <c r="QC25" s="12"/>
      <c r="QD25" s="12"/>
      <c r="QE25" s="12"/>
      <c r="QF25" s="12"/>
      <c r="QG25" s="12"/>
      <c r="QH25" s="12"/>
      <c r="QI25" s="12"/>
      <c r="QJ25" s="12"/>
      <c r="QK25" s="12"/>
      <c r="QL25" s="12"/>
      <c r="QM25" s="12"/>
      <c r="QN25" s="12"/>
      <c r="QO25" s="12"/>
      <c r="QP25" s="12"/>
      <c r="QQ25" s="12"/>
      <c r="QR25" s="12"/>
      <c r="QS25" s="12"/>
      <c r="QT25" s="12"/>
      <c r="QU25" s="12"/>
      <c r="QV25" s="12"/>
      <c r="QW25" s="12"/>
      <c r="QX25" s="12"/>
      <c r="QY25" s="12"/>
      <c r="QZ25" s="12"/>
      <c r="RA25" s="12"/>
      <c r="RB25" s="12"/>
      <c r="RC25" s="12"/>
      <c r="RD25" s="12"/>
      <c r="RE25" s="12"/>
      <c r="RF25" s="12"/>
      <c r="RG25" s="12"/>
      <c r="RH25" s="12"/>
      <c r="RI25" s="12"/>
      <c r="RJ25" s="12"/>
      <c r="RK25" s="12"/>
      <c r="RL25" s="12"/>
      <c r="RM25" s="12"/>
      <c r="RN25" s="12"/>
      <c r="RO25" s="12"/>
      <c r="RP25" s="12"/>
      <c r="RQ25" s="12"/>
      <c r="RR25" s="12"/>
      <c r="RS25" s="12"/>
      <c r="RT25" s="12"/>
      <c r="RU25" s="12"/>
      <c r="RV25" s="12"/>
      <c r="RW25" s="12"/>
      <c r="RX25" s="12"/>
      <c r="RY25" s="12"/>
      <c r="RZ25" s="12"/>
      <c r="SA25" s="12"/>
      <c r="SB25" s="12"/>
      <c r="SC25" s="12"/>
      <c r="SD25" s="12"/>
      <c r="SE25" s="12"/>
      <c r="SF25" s="12"/>
      <c r="SG25" s="12"/>
      <c r="SH25" s="12"/>
      <c r="SI25" s="12"/>
      <c r="SJ25" s="12"/>
      <c r="SK25" s="12"/>
      <c r="SL25" s="12"/>
      <c r="SM25" s="12"/>
      <c r="SN25" s="12"/>
      <c r="SO25" s="12"/>
      <c r="SP25" s="12"/>
      <c r="SQ25" s="12"/>
      <c r="SR25" s="12"/>
      <c r="SS25" s="12"/>
      <c r="ST25" s="12"/>
      <c r="SU25" s="12"/>
      <c r="SV25" s="12"/>
      <c r="SW25" s="12"/>
      <c r="SX25" s="12"/>
      <c r="SY25" s="12"/>
      <c r="SZ25" s="12"/>
      <c r="TA25" s="12"/>
      <c r="TB25" s="12"/>
      <c r="TC25" s="12"/>
      <c r="TD25" s="12"/>
      <c r="TE25" s="12"/>
      <c r="TF25" s="12"/>
      <c r="TG25" s="12"/>
      <c r="TH25" s="12"/>
      <c r="TI25" s="12"/>
      <c r="TJ25" s="12"/>
      <c r="TK25" s="12"/>
      <c r="TL25" s="12"/>
      <c r="TM25" s="12"/>
      <c r="TN25" s="12"/>
      <c r="TO25" s="12"/>
      <c r="TP25" s="12"/>
      <c r="TQ25" s="12"/>
      <c r="TR25" s="12"/>
      <c r="TS25" s="12"/>
      <c r="TT25" s="12"/>
      <c r="TU25" s="12"/>
      <c r="TV25" s="12"/>
      <c r="TW25" s="12"/>
      <c r="TX25" s="12"/>
      <c r="TY25" s="12"/>
      <c r="TZ25" s="12"/>
      <c r="UA25" s="12"/>
      <c r="UB25" s="12"/>
      <c r="UC25" s="12"/>
      <c r="UD25" s="12"/>
      <c r="UE25" s="12"/>
      <c r="UF25" s="12"/>
      <c r="UG25" s="12"/>
      <c r="UH25" s="12"/>
      <c r="UI25" s="12"/>
      <c r="UJ25" s="12"/>
      <c r="UK25" s="12"/>
      <c r="UL25" s="12"/>
      <c r="UM25" s="12"/>
      <c r="UN25" s="12"/>
      <c r="UO25" s="12"/>
      <c r="UP25" s="12"/>
      <c r="UQ25" s="12"/>
      <c r="UR25" s="12"/>
      <c r="US25" s="12"/>
      <c r="UT25" s="12"/>
      <c r="UU25" s="12"/>
      <c r="UV25" s="12"/>
      <c r="UW25" s="12"/>
      <c r="UX25" s="12"/>
      <c r="UY25" s="12"/>
      <c r="UZ25" s="12"/>
      <c r="VA25" s="12"/>
      <c r="VB25" s="12"/>
      <c r="VC25" s="12"/>
      <c r="VD25" s="12"/>
      <c r="VE25" s="12"/>
      <c r="VF25" s="12"/>
      <c r="VG25" s="12"/>
      <c r="VH25" s="12"/>
      <c r="VI25" s="12"/>
      <c r="VJ25" s="12"/>
      <c r="VK25" s="12"/>
      <c r="VL25" s="12"/>
      <c r="VM25" s="12"/>
      <c r="VN25" s="12"/>
      <c r="VO25" s="12"/>
      <c r="VP25" s="12"/>
      <c r="VQ25" s="12"/>
      <c r="VR25" s="12"/>
      <c r="VS25" s="12"/>
      <c r="VT25" s="12"/>
      <c r="VU25" s="12"/>
      <c r="VV25" s="12"/>
      <c r="VW25" s="12"/>
      <c r="VX25" s="12"/>
      <c r="VY25" s="12"/>
      <c r="VZ25" s="12"/>
      <c r="WA25" s="12"/>
      <c r="WB25" s="12"/>
      <c r="WC25" s="12"/>
      <c r="WD25" s="12"/>
      <c r="WE25" s="12"/>
      <c r="WF25" s="12"/>
      <c r="WG25" s="12"/>
      <c r="WH25" s="12"/>
      <c r="WI25" s="12"/>
      <c r="WJ25" s="12"/>
      <c r="WK25" s="12"/>
      <c r="WL25" s="12"/>
      <c r="WM25" s="12"/>
      <c r="WN25" s="12"/>
      <c r="WO25" s="12"/>
      <c r="WP25" s="12"/>
      <c r="WQ25" s="12"/>
      <c r="WR25" s="12"/>
      <c r="WS25" s="12"/>
      <c r="WT25" s="12"/>
      <c r="WU25" s="12"/>
      <c r="WV25" s="12"/>
      <c r="WW25" s="12"/>
      <c r="WX25" s="12"/>
      <c r="WY25" s="12"/>
      <c r="WZ25" s="12"/>
      <c r="XA25" s="12"/>
      <c r="XB25" s="12"/>
      <c r="XC25" s="12"/>
      <c r="XD25" s="12"/>
      <c r="XE25" s="12"/>
      <c r="XF25" s="12"/>
      <c r="XG25" s="12"/>
      <c r="XH25" s="12"/>
      <c r="XI25" s="12"/>
      <c r="XJ25" s="12"/>
      <c r="XK25" s="12"/>
      <c r="XL25" s="12"/>
      <c r="XM25" s="12"/>
      <c r="XN25" s="12"/>
      <c r="XO25" s="12"/>
      <c r="XP25" s="12"/>
      <c r="XQ25" s="12"/>
      <c r="XR25" s="12"/>
      <c r="XS25" s="12"/>
      <c r="XT25" s="12"/>
      <c r="XU25" s="12"/>
      <c r="XV25" s="12"/>
      <c r="XW25" s="12"/>
      <c r="XX25" s="12"/>
      <c r="XY25" s="12"/>
      <c r="XZ25" s="12"/>
      <c r="YA25" s="12"/>
      <c r="YB25" s="12"/>
      <c r="YC25" s="12"/>
      <c r="YD25" s="12"/>
      <c r="YE25" s="12"/>
      <c r="YF25" s="12"/>
      <c r="YG25" s="12"/>
      <c r="YH25" s="12"/>
      <c r="YI25" s="12"/>
      <c r="YJ25" s="12"/>
      <c r="YK25" s="12"/>
      <c r="YL25" s="12"/>
      <c r="YM25" s="12"/>
      <c r="YN25" s="12"/>
      <c r="YO25" s="12"/>
      <c r="YP25" s="12"/>
      <c r="YQ25" s="12"/>
      <c r="YR25" s="12"/>
      <c r="YS25" s="12"/>
      <c r="YT25" s="12"/>
      <c r="YU25" s="12"/>
      <c r="YV25" s="12"/>
      <c r="YW25" s="12"/>
      <c r="YX25" s="12"/>
      <c r="YY25" s="12"/>
      <c r="YZ25" s="12"/>
      <c r="ZA25" s="12"/>
      <c r="ZB25" s="12"/>
      <c r="ZC25" s="12"/>
      <c r="ZD25" s="12"/>
      <c r="ZE25" s="12"/>
      <c r="ZF25" s="12"/>
      <c r="ZG25" s="12"/>
      <c r="ZH25" s="12"/>
      <c r="ZI25" s="12"/>
      <c r="ZJ25" s="12"/>
      <c r="ZK25" s="12"/>
      <c r="ZL25" s="12"/>
      <c r="ZM25" s="12"/>
      <c r="ZN25" s="12"/>
      <c r="ZO25" s="12"/>
      <c r="ZP25" s="12"/>
      <c r="ZQ25" s="12"/>
      <c r="ZR25" s="12"/>
      <c r="ZS25" s="12"/>
      <c r="ZT25" s="12"/>
      <c r="ZU25" s="12"/>
      <c r="ZV25" s="12"/>
      <c r="ZW25" s="12"/>
      <c r="ZX25" s="12"/>
      <c r="ZY25" s="12"/>
      <c r="ZZ25" s="12"/>
      <c r="AAA25" s="12"/>
      <c r="AAB25" s="12"/>
      <c r="AAC25" s="12"/>
      <c r="AAD25" s="12"/>
      <c r="AAE25" s="12"/>
      <c r="AAF25" s="12"/>
      <c r="AAG25" s="12"/>
      <c r="AAH25" s="12"/>
      <c r="AAI25" s="12"/>
      <c r="AAJ25" s="12"/>
      <c r="AAK25" s="12"/>
      <c r="AAL25" s="12"/>
      <c r="AAM25" s="12"/>
      <c r="AAN25" s="12"/>
      <c r="AAO25" s="12"/>
      <c r="AAP25" s="12"/>
      <c r="AAQ25" s="12"/>
      <c r="AAR25" s="12"/>
      <c r="AAS25" s="12"/>
      <c r="AAT25" s="12"/>
      <c r="AAU25" s="12"/>
      <c r="AAV25" s="12"/>
      <c r="AAW25" s="12"/>
      <c r="AAX25" s="12"/>
      <c r="AAY25" s="12"/>
      <c r="AAZ25" s="12"/>
      <c r="ABA25" s="12"/>
      <c r="ABB25" s="12"/>
      <c r="ABC25" s="12"/>
      <c r="ABD25" s="12"/>
      <c r="ABE25" s="12"/>
      <c r="ABF25" s="12"/>
      <c r="ABG25" s="12"/>
      <c r="ABH25" s="12"/>
      <c r="ABI25" s="12"/>
      <c r="ABJ25" s="12"/>
      <c r="ABK25" s="12"/>
      <c r="ABL25" s="12"/>
      <c r="ABM25" s="12"/>
      <c r="ABN25" s="12"/>
      <c r="ABO25" s="12"/>
      <c r="ABP25" s="12"/>
      <c r="ABQ25" s="12"/>
      <c r="ABR25" s="12"/>
      <c r="ABS25" s="12"/>
      <c r="ABT25" s="12"/>
      <c r="ABU25" s="12"/>
      <c r="ABV25" s="12"/>
      <c r="ABW25" s="12"/>
      <c r="ABX25" s="12"/>
      <c r="ABY25" s="12"/>
      <c r="ABZ25" s="12"/>
      <c r="ACA25" s="12"/>
      <c r="ACB25" s="12"/>
      <c r="ACC25" s="12"/>
      <c r="ACD25" s="12"/>
      <c r="ACE25" s="12"/>
      <c r="ACF25" s="12"/>
      <c r="ACG25" s="12"/>
      <c r="ACH25" s="12"/>
      <c r="ACI25" s="12"/>
      <c r="ACJ25" s="12"/>
      <c r="ACK25" s="12"/>
      <c r="ACL25" s="12"/>
      <c r="ACM25" s="12"/>
      <c r="ACN25" s="12"/>
      <c r="ACO25" s="12"/>
      <c r="ACP25" s="12"/>
      <c r="ACQ25" s="12"/>
      <c r="ACR25" s="12"/>
      <c r="ACS25" s="12"/>
      <c r="ACT25" s="12"/>
      <c r="ACU25" s="12"/>
      <c r="ACV25" s="12"/>
      <c r="ACW25" s="12"/>
      <c r="ACX25" s="12"/>
      <c r="ACY25" s="12"/>
      <c r="ACZ25" s="12"/>
      <c r="ADA25" s="12"/>
      <c r="ADB25" s="12"/>
      <c r="ADC25" s="12"/>
      <c r="ADD25" s="12"/>
      <c r="ADE25" s="12"/>
      <c r="ADF25" s="12"/>
      <c r="ADG25" s="12"/>
      <c r="ADH25" s="12"/>
      <c r="ADI25" s="12"/>
      <c r="ADJ25" s="12"/>
      <c r="ADK25" s="12"/>
      <c r="ADL25" s="12"/>
      <c r="ADM25" s="12"/>
      <c r="ADN25" s="12"/>
      <c r="ADO25" s="12"/>
      <c r="ADP25" s="12"/>
      <c r="ADQ25" s="12"/>
      <c r="ADR25" s="12"/>
      <c r="ADS25" s="12"/>
      <c r="ADT25" s="12"/>
      <c r="ADU25" s="12"/>
      <c r="ADV25" s="12"/>
      <c r="ADW25" s="12"/>
      <c r="ADX25" s="12"/>
      <c r="ADY25" s="12"/>
      <c r="ADZ25" s="12"/>
      <c r="AEA25" s="12"/>
      <c r="AEB25" s="12"/>
      <c r="AEC25" s="12"/>
      <c r="AED25" s="12"/>
      <c r="AEE25" s="12"/>
      <c r="AEF25" s="12"/>
      <c r="AEG25" s="12"/>
      <c r="AEH25" s="12"/>
      <c r="AEI25" s="12"/>
      <c r="AEJ25" s="12"/>
      <c r="AEK25" s="12"/>
      <c r="AEL25" s="12"/>
      <c r="AEM25" s="12"/>
      <c r="AEN25" s="12"/>
      <c r="AEO25" s="12"/>
      <c r="AEP25" s="12"/>
      <c r="AEQ25" s="12"/>
      <c r="AER25" s="12"/>
      <c r="AES25" s="12"/>
      <c r="AET25" s="12"/>
      <c r="AEU25" s="12"/>
      <c r="AEV25" s="12"/>
    </row>
    <row r="26" spans="1:828" s="27" customFormat="1" ht="18" x14ac:dyDescent="0.2">
      <c r="A26" s="28"/>
      <c r="B26" s="23"/>
      <c r="C26" s="23"/>
      <c r="D26" s="29"/>
      <c r="E26" s="23"/>
      <c r="F26" s="23"/>
      <c r="G26" s="23"/>
      <c r="H26" s="30"/>
      <c r="I26" s="23"/>
      <c r="J26" s="29"/>
      <c r="K26" s="30"/>
      <c r="L26" s="23"/>
      <c r="M26" s="29"/>
      <c r="N26" s="12"/>
      <c r="O26" s="12"/>
      <c r="P26"/>
      <c r="Q26"/>
      <c r="R26"/>
      <c r="S26"/>
      <c r="T26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/>
      <c r="FL26" s="12"/>
      <c r="FM26" s="12"/>
      <c r="FN26" s="12"/>
      <c r="FO26" s="12"/>
      <c r="FP26" s="12"/>
      <c r="FQ26" s="12"/>
      <c r="FR26" s="12"/>
      <c r="FS26" s="12"/>
      <c r="FT26" s="12"/>
      <c r="FU26" s="12"/>
      <c r="FV26" s="12"/>
      <c r="FW26" s="12"/>
      <c r="FX26" s="12"/>
      <c r="FY26" s="12"/>
      <c r="FZ26" s="12"/>
      <c r="GA26" s="12"/>
      <c r="GB26" s="12"/>
      <c r="GC26" s="12"/>
      <c r="GD26" s="12"/>
      <c r="GE26" s="12"/>
      <c r="GF26" s="12"/>
      <c r="GG26" s="12"/>
      <c r="GH26" s="12"/>
      <c r="GI26" s="12"/>
      <c r="GJ26" s="12"/>
      <c r="GK26" s="12"/>
      <c r="GL26" s="12"/>
      <c r="GM26" s="12"/>
      <c r="GN26" s="12"/>
      <c r="GO26" s="12"/>
      <c r="GP26" s="12"/>
      <c r="GQ26" s="12"/>
      <c r="GR26" s="12"/>
      <c r="GS26" s="12"/>
      <c r="GT26" s="12"/>
      <c r="GU26" s="12"/>
      <c r="GV26" s="12"/>
      <c r="GW26" s="12"/>
      <c r="GX26" s="12"/>
      <c r="GY26" s="12"/>
      <c r="GZ26" s="12"/>
      <c r="HA26" s="12"/>
      <c r="HB26" s="12"/>
      <c r="HC26" s="12"/>
      <c r="HD26" s="12"/>
      <c r="HE26" s="12"/>
      <c r="HF26" s="12"/>
      <c r="HG26" s="12"/>
      <c r="HH26" s="12"/>
      <c r="HI26" s="12"/>
      <c r="HJ26" s="12"/>
      <c r="HK26" s="12"/>
      <c r="HL26" s="12"/>
      <c r="HM26" s="12"/>
      <c r="HN26" s="12"/>
      <c r="HO26" s="12"/>
      <c r="HP26" s="12"/>
      <c r="HQ26" s="12"/>
      <c r="HR26" s="12"/>
      <c r="HS26" s="12"/>
      <c r="HT26" s="12"/>
      <c r="HU26" s="12"/>
      <c r="HV26" s="12"/>
      <c r="HW26" s="12"/>
      <c r="HX26" s="12"/>
      <c r="HY26" s="12"/>
      <c r="HZ26" s="12"/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  <c r="IL26" s="12"/>
      <c r="IM26" s="12"/>
      <c r="IN26" s="12"/>
      <c r="IO26" s="12"/>
      <c r="IP26" s="12"/>
      <c r="IQ26" s="12"/>
      <c r="IR26" s="12"/>
      <c r="IS26" s="12"/>
      <c r="IT26" s="12"/>
      <c r="IU26" s="12"/>
      <c r="IV26" s="12"/>
      <c r="IW26" s="12"/>
      <c r="IX26" s="12"/>
      <c r="IY26" s="12"/>
      <c r="IZ26" s="12"/>
      <c r="JA26" s="12"/>
      <c r="JB26" s="12"/>
      <c r="JC26" s="12"/>
      <c r="JD26" s="12"/>
      <c r="JE26" s="12"/>
      <c r="JF26" s="12"/>
      <c r="JG26" s="12"/>
      <c r="JH26" s="12"/>
      <c r="JI26" s="12"/>
      <c r="JJ26" s="12"/>
      <c r="JK26" s="12"/>
      <c r="JL26" s="12"/>
      <c r="JM26" s="12"/>
      <c r="JN26" s="12"/>
      <c r="JO26" s="12"/>
      <c r="JP26" s="12"/>
      <c r="JQ26" s="12"/>
      <c r="JR26" s="12"/>
      <c r="JS26" s="12"/>
      <c r="JT26" s="12"/>
      <c r="JU26" s="12"/>
      <c r="JV26" s="12"/>
      <c r="JW26" s="12"/>
      <c r="JX26" s="12"/>
      <c r="JY26" s="12"/>
      <c r="JZ26" s="12"/>
      <c r="KA26" s="12"/>
      <c r="KB26" s="12"/>
      <c r="KC26" s="12"/>
      <c r="KD26" s="12"/>
      <c r="KE26" s="12"/>
      <c r="KF26" s="12"/>
      <c r="KG26" s="12"/>
      <c r="KH26" s="12"/>
      <c r="KI26" s="12"/>
      <c r="KJ26" s="12"/>
      <c r="KK26" s="12"/>
      <c r="KL26" s="12"/>
      <c r="KM26" s="12"/>
      <c r="KN26" s="12"/>
      <c r="KO26" s="12"/>
      <c r="KP26" s="12"/>
      <c r="KQ26" s="12"/>
      <c r="KR26" s="12"/>
      <c r="KS26" s="12"/>
      <c r="KT26" s="12"/>
      <c r="KU26" s="12"/>
      <c r="KV26" s="12"/>
      <c r="KW26" s="12"/>
      <c r="KX26" s="12"/>
      <c r="KY26" s="12"/>
      <c r="KZ26" s="12"/>
      <c r="LA26" s="12"/>
      <c r="LB26" s="12"/>
      <c r="LC26" s="12"/>
      <c r="LD26" s="12"/>
      <c r="LE26" s="12"/>
      <c r="LF26" s="12"/>
      <c r="LG26" s="12"/>
      <c r="LH26" s="12"/>
      <c r="LI26" s="12"/>
      <c r="LJ26" s="12"/>
      <c r="LK26" s="12"/>
      <c r="LL26" s="12"/>
      <c r="LM26" s="12"/>
      <c r="LN26" s="12"/>
      <c r="LO26" s="12"/>
      <c r="LP26" s="12"/>
      <c r="LQ26" s="12"/>
      <c r="LR26" s="12"/>
      <c r="LS26" s="12"/>
      <c r="LT26" s="12"/>
      <c r="LU26" s="12"/>
      <c r="LV26" s="12"/>
      <c r="LW26" s="12"/>
      <c r="LX26" s="12"/>
      <c r="LY26" s="12"/>
      <c r="LZ26" s="12"/>
      <c r="MA26" s="12"/>
      <c r="MB26" s="12"/>
      <c r="MC26" s="12"/>
      <c r="MD26" s="12"/>
      <c r="ME26" s="12"/>
      <c r="MF26" s="12"/>
      <c r="MG26" s="12"/>
      <c r="MH26" s="12"/>
      <c r="MI26" s="12"/>
      <c r="MJ26" s="12"/>
      <c r="MK26" s="12"/>
      <c r="ML26" s="12"/>
      <c r="MM26" s="12"/>
      <c r="MN26" s="12"/>
      <c r="MO26" s="12"/>
      <c r="MP26" s="12"/>
      <c r="MQ26" s="12"/>
      <c r="MR26" s="12"/>
      <c r="MS26" s="12"/>
      <c r="MT26" s="12"/>
      <c r="MU26" s="12"/>
      <c r="MV26" s="12"/>
      <c r="MW26" s="12"/>
      <c r="MX26" s="12"/>
      <c r="MY26" s="12"/>
      <c r="MZ26" s="12"/>
      <c r="NA26" s="12"/>
      <c r="NB26" s="12"/>
      <c r="NC26" s="12"/>
      <c r="ND26" s="12"/>
      <c r="NE26" s="12"/>
      <c r="NF26" s="12"/>
      <c r="NG26" s="12"/>
      <c r="NH26" s="12"/>
      <c r="NI26" s="12"/>
      <c r="NJ26" s="12"/>
      <c r="NK26" s="12"/>
      <c r="NL26" s="12"/>
      <c r="NM26" s="12"/>
      <c r="NN26" s="12"/>
      <c r="NO26" s="12"/>
      <c r="NP26" s="12"/>
      <c r="NQ26" s="12"/>
      <c r="NR26" s="12"/>
      <c r="NS26" s="12"/>
      <c r="NT26" s="12"/>
      <c r="NU26" s="12"/>
      <c r="NV26" s="12"/>
      <c r="NW26" s="12"/>
      <c r="NX26" s="12"/>
      <c r="NY26" s="12"/>
      <c r="NZ26" s="12"/>
      <c r="OA26" s="12"/>
      <c r="OB26" s="12"/>
      <c r="OC26" s="12"/>
      <c r="OD26" s="12"/>
      <c r="OE26" s="12"/>
      <c r="OF26" s="12"/>
      <c r="OG26" s="12"/>
      <c r="OH26" s="12"/>
      <c r="OI26" s="12"/>
      <c r="OJ26" s="12"/>
      <c r="OK26" s="12"/>
      <c r="OL26" s="12"/>
      <c r="OM26" s="12"/>
      <c r="ON26" s="12"/>
      <c r="OO26" s="12"/>
      <c r="OP26" s="12"/>
      <c r="OQ26" s="12"/>
      <c r="OR26" s="12"/>
      <c r="OS26" s="12"/>
      <c r="OT26" s="12"/>
      <c r="OU26" s="12"/>
      <c r="OV26" s="12"/>
      <c r="OW26" s="12"/>
      <c r="OX26" s="12"/>
      <c r="OY26" s="12"/>
      <c r="OZ26" s="12"/>
      <c r="PA26" s="12"/>
      <c r="PB26" s="12"/>
      <c r="PC26" s="12"/>
      <c r="PD26" s="12"/>
      <c r="PE26" s="12"/>
      <c r="PF26" s="12"/>
      <c r="PG26" s="12"/>
      <c r="PH26" s="12"/>
      <c r="PI26" s="12"/>
      <c r="PJ26" s="12"/>
      <c r="PK26" s="12"/>
      <c r="PL26" s="12"/>
      <c r="PM26" s="12"/>
      <c r="PN26" s="12"/>
      <c r="PO26" s="12"/>
      <c r="PP26" s="12"/>
      <c r="PQ26" s="12"/>
      <c r="PR26" s="12"/>
      <c r="PS26" s="12"/>
      <c r="PT26" s="12"/>
      <c r="PU26" s="12"/>
      <c r="PV26" s="12"/>
      <c r="PW26" s="12"/>
      <c r="PX26" s="12"/>
      <c r="PY26" s="12"/>
      <c r="PZ26" s="12"/>
      <c r="QA26" s="12"/>
      <c r="QB26" s="12"/>
      <c r="QC26" s="12"/>
      <c r="QD26" s="12"/>
      <c r="QE26" s="12"/>
      <c r="QF26" s="12"/>
      <c r="QG26" s="12"/>
      <c r="QH26" s="12"/>
      <c r="QI26" s="12"/>
      <c r="QJ26" s="12"/>
      <c r="QK26" s="12"/>
      <c r="QL26" s="12"/>
      <c r="QM26" s="12"/>
      <c r="QN26" s="12"/>
      <c r="QO26" s="12"/>
      <c r="QP26" s="12"/>
      <c r="QQ26" s="12"/>
      <c r="QR26" s="12"/>
      <c r="QS26" s="12"/>
      <c r="QT26" s="12"/>
      <c r="QU26" s="12"/>
      <c r="QV26" s="12"/>
      <c r="QW26" s="12"/>
      <c r="QX26" s="12"/>
      <c r="QY26" s="12"/>
      <c r="QZ26" s="12"/>
      <c r="RA26" s="12"/>
      <c r="RB26" s="12"/>
      <c r="RC26" s="12"/>
      <c r="RD26" s="12"/>
      <c r="RE26" s="12"/>
      <c r="RF26" s="12"/>
      <c r="RG26" s="12"/>
      <c r="RH26" s="12"/>
      <c r="RI26" s="12"/>
      <c r="RJ26" s="12"/>
      <c r="RK26" s="12"/>
      <c r="RL26" s="12"/>
      <c r="RM26" s="12"/>
      <c r="RN26" s="12"/>
      <c r="RO26" s="12"/>
      <c r="RP26" s="12"/>
      <c r="RQ26" s="12"/>
      <c r="RR26" s="12"/>
      <c r="RS26" s="12"/>
      <c r="RT26" s="12"/>
      <c r="RU26" s="12"/>
      <c r="RV26" s="12"/>
      <c r="RW26" s="12"/>
      <c r="RX26" s="12"/>
      <c r="RY26" s="12"/>
      <c r="RZ26" s="12"/>
      <c r="SA26" s="12"/>
      <c r="SB26" s="12"/>
      <c r="SC26" s="12"/>
      <c r="SD26" s="12"/>
      <c r="SE26" s="12"/>
      <c r="SF26" s="12"/>
      <c r="SG26" s="12"/>
      <c r="SH26" s="12"/>
      <c r="SI26" s="12"/>
      <c r="SJ26" s="12"/>
      <c r="SK26" s="12"/>
      <c r="SL26" s="12"/>
      <c r="SM26" s="12"/>
      <c r="SN26" s="12"/>
      <c r="SO26" s="12"/>
      <c r="SP26" s="12"/>
      <c r="SQ26" s="12"/>
      <c r="SR26" s="12"/>
      <c r="SS26" s="12"/>
      <c r="ST26" s="12"/>
      <c r="SU26" s="12"/>
      <c r="SV26" s="12"/>
      <c r="SW26" s="12"/>
      <c r="SX26" s="12"/>
      <c r="SY26" s="12"/>
      <c r="SZ26" s="12"/>
      <c r="TA26" s="12"/>
      <c r="TB26" s="12"/>
      <c r="TC26" s="12"/>
      <c r="TD26" s="12"/>
      <c r="TE26" s="12"/>
      <c r="TF26" s="12"/>
      <c r="TG26" s="12"/>
      <c r="TH26" s="12"/>
      <c r="TI26" s="12"/>
      <c r="TJ26" s="12"/>
      <c r="TK26" s="12"/>
      <c r="TL26" s="12"/>
      <c r="TM26" s="12"/>
      <c r="TN26" s="12"/>
      <c r="TO26" s="12"/>
      <c r="TP26" s="12"/>
      <c r="TQ26" s="12"/>
      <c r="TR26" s="12"/>
      <c r="TS26" s="12"/>
      <c r="TT26" s="12"/>
      <c r="TU26" s="12"/>
      <c r="TV26" s="12"/>
      <c r="TW26" s="12"/>
      <c r="TX26" s="12"/>
      <c r="TY26" s="12"/>
      <c r="TZ26" s="12"/>
      <c r="UA26" s="12"/>
      <c r="UB26" s="12"/>
      <c r="UC26" s="12"/>
      <c r="UD26" s="12"/>
      <c r="UE26" s="12"/>
      <c r="UF26" s="12"/>
      <c r="UG26" s="12"/>
      <c r="UH26" s="12"/>
      <c r="UI26" s="12"/>
      <c r="UJ26" s="12"/>
      <c r="UK26" s="12"/>
      <c r="UL26" s="12"/>
      <c r="UM26" s="12"/>
      <c r="UN26" s="12"/>
      <c r="UO26" s="12"/>
      <c r="UP26" s="12"/>
      <c r="UQ26" s="12"/>
      <c r="UR26" s="12"/>
      <c r="US26" s="12"/>
      <c r="UT26" s="12"/>
      <c r="UU26" s="12"/>
      <c r="UV26" s="12"/>
      <c r="UW26" s="12"/>
      <c r="UX26" s="12"/>
      <c r="UY26" s="12"/>
      <c r="UZ26" s="12"/>
      <c r="VA26" s="12"/>
      <c r="VB26" s="12"/>
      <c r="VC26" s="12"/>
      <c r="VD26" s="12"/>
      <c r="VE26" s="12"/>
      <c r="VF26" s="12"/>
      <c r="VG26" s="12"/>
      <c r="VH26" s="12"/>
      <c r="VI26" s="12"/>
      <c r="VJ26" s="12"/>
      <c r="VK26" s="12"/>
      <c r="VL26" s="12"/>
      <c r="VM26" s="12"/>
      <c r="VN26" s="12"/>
      <c r="VO26" s="12"/>
      <c r="VP26" s="12"/>
      <c r="VQ26" s="12"/>
      <c r="VR26" s="12"/>
      <c r="VS26" s="12"/>
      <c r="VT26" s="12"/>
      <c r="VU26" s="12"/>
      <c r="VV26" s="12"/>
      <c r="VW26" s="12"/>
      <c r="VX26" s="12"/>
      <c r="VY26" s="12"/>
      <c r="VZ26" s="12"/>
      <c r="WA26" s="12"/>
      <c r="WB26" s="12"/>
      <c r="WC26" s="12"/>
      <c r="WD26" s="12"/>
      <c r="WE26" s="12"/>
      <c r="WF26" s="12"/>
      <c r="WG26" s="12"/>
      <c r="WH26" s="12"/>
      <c r="WI26" s="12"/>
      <c r="WJ26" s="12"/>
      <c r="WK26" s="12"/>
      <c r="WL26" s="12"/>
      <c r="WM26" s="12"/>
      <c r="WN26" s="12"/>
      <c r="WO26" s="12"/>
      <c r="WP26" s="12"/>
      <c r="WQ26" s="12"/>
      <c r="WR26" s="12"/>
      <c r="WS26" s="12"/>
      <c r="WT26" s="12"/>
      <c r="WU26" s="12"/>
      <c r="WV26" s="12"/>
      <c r="WW26" s="12"/>
      <c r="WX26" s="12"/>
      <c r="WY26" s="12"/>
      <c r="WZ26" s="12"/>
      <c r="XA26" s="12"/>
      <c r="XB26" s="12"/>
      <c r="XC26" s="12"/>
      <c r="XD26" s="12"/>
      <c r="XE26" s="12"/>
      <c r="XF26" s="12"/>
      <c r="XG26" s="12"/>
      <c r="XH26" s="12"/>
      <c r="XI26" s="12"/>
      <c r="XJ26" s="12"/>
      <c r="XK26" s="12"/>
      <c r="XL26" s="12"/>
      <c r="XM26" s="12"/>
      <c r="XN26" s="12"/>
      <c r="XO26" s="12"/>
      <c r="XP26" s="12"/>
      <c r="XQ26" s="12"/>
      <c r="XR26" s="12"/>
      <c r="XS26" s="12"/>
      <c r="XT26" s="12"/>
      <c r="XU26" s="12"/>
      <c r="XV26" s="12"/>
      <c r="XW26" s="12"/>
      <c r="XX26" s="12"/>
      <c r="XY26" s="12"/>
      <c r="XZ26" s="12"/>
      <c r="YA26" s="12"/>
      <c r="YB26" s="12"/>
      <c r="YC26" s="12"/>
      <c r="YD26" s="12"/>
      <c r="YE26" s="12"/>
      <c r="YF26" s="12"/>
      <c r="YG26" s="12"/>
      <c r="YH26" s="12"/>
      <c r="YI26" s="12"/>
      <c r="YJ26" s="12"/>
      <c r="YK26" s="12"/>
      <c r="YL26" s="12"/>
      <c r="YM26" s="12"/>
      <c r="YN26" s="12"/>
      <c r="YO26" s="12"/>
      <c r="YP26" s="12"/>
      <c r="YQ26" s="12"/>
      <c r="YR26" s="12"/>
      <c r="YS26" s="12"/>
      <c r="YT26" s="12"/>
      <c r="YU26" s="12"/>
      <c r="YV26" s="12"/>
      <c r="YW26" s="12"/>
      <c r="YX26" s="12"/>
      <c r="YY26" s="12"/>
      <c r="YZ26" s="12"/>
      <c r="ZA26" s="12"/>
      <c r="ZB26" s="12"/>
      <c r="ZC26" s="12"/>
      <c r="ZD26" s="12"/>
      <c r="ZE26" s="12"/>
      <c r="ZF26" s="12"/>
      <c r="ZG26" s="12"/>
      <c r="ZH26" s="12"/>
      <c r="ZI26" s="12"/>
      <c r="ZJ26" s="12"/>
      <c r="ZK26" s="12"/>
      <c r="ZL26" s="12"/>
      <c r="ZM26" s="12"/>
      <c r="ZN26" s="12"/>
      <c r="ZO26" s="12"/>
      <c r="ZP26" s="12"/>
      <c r="ZQ26" s="12"/>
      <c r="ZR26" s="12"/>
      <c r="ZS26" s="12"/>
      <c r="ZT26" s="12"/>
      <c r="ZU26" s="12"/>
      <c r="ZV26" s="12"/>
      <c r="ZW26" s="12"/>
      <c r="ZX26" s="12"/>
      <c r="ZY26" s="12"/>
      <c r="ZZ26" s="12"/>
      <c r="AAA26" s="12"/>
      <c r="AAB26" s="12"/>
      <c r="AAC26" s="12"/>
      <c r="AAD26" s="12"/>
      <c r="AAE26" s="12"/>
      <c r="AAF26" s="12"/>
      <c r="AAG26" s="12"/>
      <c r="AAH26" s="12"/>
      <c r="AAI26" s="12"/>
      <c r="AAJ26" s="12"/>
      <c r="AAK26" s="12"/>
      <c r="AAL26" s="12"/>
      <c r="AAM26" s="12"/>
      <c r="AAN26" s="12"/>
      <c r="AAO26" s="12"/>
      <c r="AAP26" s="12"/>
      <c r="AAQ26" s="12"/>
      <c r="AAR26" s="12"/>
      <c r="AAS26" s="12"/>
      <c r="AAT26" s="12"/>
      <c r="AAU26" s="12"/>
      <c r="AAV26" s="12"/>
      <c r="AAW26" s="12"/>
      <c r="AAX26" s="12"/>
      <c r="AAY26" s="12"/>
      <c r="AAZ26" s="12"/>
      <c r="ABA26" s="12"/>
      <c r="ABB26" s="12"/>
      <c r="ABC26" s="12"/>
      <c r="ABD26" s="12"/>
      <c r="ABE26" s="12"/>
      <c r="ABF26" s="12"/>
      <c r="ABG26" s="12"/>
      <c r="ABH26" s="12"/>
      <c r="ABI26" s="12"/>
      <c r="ABJ26" s="12"/>
      <c r="ABK26" s="12"/>
      <c r="ABL26" s="12"/>
      <c r="ABM26" s="12"/>
      <c r="ABN26" s="12"/>
      <c r="ABO26" s="12"/>
      <c r="ABP26" s="12"/>
      <c r="ABQ26" s="12"/>
      <c r="ABR26" s="12"/>
      <c r="ABS26" s="12"/>
      <c r="ABT26" s="12"/>
      <c r="ABU26" s="12"/>
      <c r="ABV26" s="12"/>
      <c r="ABW26" s="12"/>
      <c r="ABX26" s="12"/>
      <c r="ABY26" s="12"/>
      <c r="ABZ26" s="12"/>
      <c r="ACA26" s="12"/>
      <c r="ACB26" s="12"/>
      <c r="ACC26" s="12"/>
      <c r="ACD26" s="12"/>
      <c r="ACE26" s="12"/>
      <c r="ACF26" s="12"/>
      <c r="ACG26" s="12"/>
      <c r="ACH26" s="12"/>
      <c r="ACI26" s="12"/>
      <c r="ACJ26" s="12"/>
      <c r="ACK26" s="12"/>
      <c r="ACL26" s="12"/>
      <c r="ACM26" s="12"/>
      <c r="ACN26" s="12"/>
      <c r="ACO26" s="12"/>
      <c r="ACP26" s="12"/>
      <c r="ACQ26" s="12"/>
      <c r="ACR26" s="12"/>
      <c r="ACS26" s="12"/>
      <c r="ACT26" s="12"/>
      <c r="ACU26" s="12"/>
      <c r="ACV26" s="12"/>
      <c r="ACW26" s="12"/>
      <c r="ACX26" s="12"/>
      <c r="ACY26" s="12"/>
      <c r="ACZ26" s="12"/>
      <c r="ADA26" s="12"/>
      <c r="ADB26" s="12"/>
      <c r="ADC26" s="12"/>
      <c r="ADD26" s="12"/>
      <c r="ADE26" s="12"/>
      <c r="ADF26" s="12"/>
      <c r="ADG26" s="12"/>
      <c r="ADH26" s="12"/>
      <c r="ADI26" s="12"/>
      <c r="ADJ26" s="12"/>
      <c r="ADK26" s="12"/>
      <c r="ADL26" s="12"/>
      <c r="ADM26" s="12"/>
      <c r="ADN26" s="12"/>
      <c r="ADO26" s="12"/>
      <c r="ADP26" s="12"/>
      <c r="ADQ26" s="12"/>
      <c r="ADR26" s="12"/>
      <c r="ADS26" s="12"/>
      <c r="ADT26" s="12"/>
      <c r="ADU26" s="12"/>
      <c r="ADV26" s="12"/>
      <c r="ADW26" s="12"/>
      <c r="ADX26" s="12"/>
      <c r="ADY26" s="12"/>
      <c r="ADZ26" s="12"/>
      <c r="AEA26" s="12"/>
      <c r="AEB26" s="12"/>
      <c r="AEC26" s="12"/>
      <c r="AED26" s="12"/>
      <c r="AEE26" s="12"/>
      <c r="AEF26" s="12"/>
      <c r="AEG26" s="12"/>
      <c r="AEH26" s="12"/>
      <c r="AEI26" s="12"/>
      <c r="AEJ26" s="12"/>
      <c r="AEK26" s="12"/>
      <c r="AEL26" s="12"/>
      <c r="AEM26" s="12"/>
      <c r="AEN26" s="12"/>
      <c r="AEO26" s="12"/>
      <c r="AEP26" s="12"/>
      <c r="AEQ26" s="12"/>
      <c r="AER26" s="12"/>
      <c r="AES26" s="12"/>
      <c r="AET26" s="12"/>
      <c r="AEU26" s="12"/>
      <c r="AEV26" s="12"/>
    </row>
    <row r="27" spans="1:828" s="43" customFormat="1" ht="19" thickBot="1" x14ac:dyDescent="0.25">
      <c r="A27" s="39"/>
      <c r="B27" s="23"/>
      <c r="C27" s="40"/>
      <c r="D27" s="41"/>
      <c r="E27" s="40"/>
      <c r="F27" s="40"/>
      <c r="H27" s="42"/>
      <c r="I27" s="40"/>
      <c r="J27" s="41"/>
      <c r="K27" s="42"/>
      <c r="L27" s="40"/>
      <c r="M27" s="41"/>
      <c r="N27" s="12"/>
      <c r="O27" s="12"/>
      <c r="P27"/>
      <c r="Q27"/>
      <c r="R27"/>
      <c r="S27"/>
      <c r="T27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2"/>
      <c r="FJ27" s="12"/>
      <c r="FK27" s="12"/>
      <c r="FL27" s="12"/>
      <c r="FM27" s="12"/>
      <c r="FN27" s="12"/>
      <c r="FO27" s="12"/>
      <c r="FP27" s="12"/>
      <c r="FQ27" s="12"/>
      <c r="FR27" s="12"/>
      <c r="FS27" s="12"/>
      <c r="FT27" s="12"/>
      <c r="FU27" s="12"/>
      <c r="FV27" s="12"/>
      <c r="FW27" s="12"/>
      <c r="FX27" s="12"/>
      <c r="FY27" s="12"/>
      <c r="FZ27" s="12"/>
      <c r="GA27" s="12"/>
      <c r="GB27" s="12"/>
      <c r="GC27" s="12"/>
      <c r="GD27" s="12"/>
      <c r="GE27" s="12"/>
      <c r="GF27" s="12"/>
      <c r="GG27" s="12"/>
      <c r="GH27" s="12"/>
      <c r="GI27" s="12"/>
      <c r="GJ27" s="12"/>
      <c r="GK27" s="12"/>
      <c r="GL27" s="12"/>
      <c r="GM27" s="12"/>
      <c r="GN27" s="12"/>
      <c r="GO27" s="12"/>
      <c r="GP27" s="12"/>
      <c r="GQ27" s="12"/>
      <c r="GR27" s="12"/>
      <c r="GS27" s="12"/>
      <c r="GT27" s="12"/>
      <c r="GU27" s="12"/>
      <c r="GV27" s="12"/>
      <c r="GW27" s="12"/>
      <c r="GX27" s="12"/>
      <c r="GY27" s="12"/>
      <c r="GZ27" s="12"/>
      <c r="HA27" s="12"/>
      <c r="HB27" s="12"/>
      <c r="HC27" s="12"/>
      <c r="HD27" s="12"/>
      <c r="HE27" s="12"/>
      <c r="HF27" s="12"/>
      <c r="HG27" s="12"/>
      <c r="HH27" s="12"/>
      <c r="HI27" s="12"/>
      <c r="HJ27" s="12"/>
      <c r="HK27" s="12"/>
      <c r="HL27" s="12"/>
      <c r="HM27" s="12"/>
      <c r="HN27" s="12"/>
      <c r="HO27" s="12"/>
      <c r="HP27" s="12"/>
      <c r="HQ27" s="12"/>
      <c r="HR27" s="12"/>
      <c r="HS27" s="12"/>
      <c r="HT27" s="12"/>
      <c r="HU27" s="12"/>
      <c r="HV27" s="12"/>
      <c r="HW27" s="12"/>
      <c r="HX27" s="12"/>
      <c r="HY27" s="12"/>
      <c r="HZ27" s="12"/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  <c r="IL27" s="12"/>
      <c r="IM27" s="12"/>
      <c r="IN27" s="12"/>
      <c r="IO27" s="12"/>
      <c r="IP27" s="12"/>
      <c r="IQ27" s="12"/>
      <c r="IR27" s="12"/>
      <c r="IS27" s="12"/>
      <c r="IT27" s="12"/>
      <c r="IU27" s="12"/>
      <c r="IV27" s="12"/>
      <c r="IW27" s="12"/>
      <c r="IX27" s="12"/>
      <c r="IY27" s="12"/>
      <c r="IZ27" s="12"/>
      <c r="JA27" s="12"/>
      <c r="JB27" s="12"/>
      <c r="JC27" s="12"/>
      <c r="JD27" s="12"/>
      <c r="JE27" s="12"/>
      <c r="JF27" s="12"/>
      <c r="JG27" s="12"/>
      <c r="JH27" s="12"/>
      <c r="JI27" s="12"/>
      <c r="JJ27" s="12"/>
      <c r="JK27" s="12"/>
      <c r="JL27" s="12"/>
      <c r="JM27" s="12"/>
      <c r="JN27" s="12"/>
      <c r="JO27" s="12"/>
      <c r="JP27" s="12"/>
      <c r="JQ27" s="12"/>
      <c r="JR27" s="12"/>
      <c r="JS27" s="12"/>
      <c r="JT27" s="12"/>
      <c r="JU27" s="12"/>
      <c r="JV27" s="12"/>
      <c r="JW27" s="12"/>
      <c r="JX27" s="12"/>
      <c r="JY27" s="12"/>
      <c r="JZ27" s="12"/>
      <c r="KA27" s="12"/>
      <c r="KB27" s="12"/>
      <c r="KC27" s="12"/>
      <c r="KD27" s="12"/>
      <c r="KE27" s="12"/>
      <c r="KF27" s="12"/>
      <c r="KG27" s="12"/>
      <c r="KH27" s="12"/>
      <c r="KI27" s="12"/>
      <c r="KJ27" s="12"/>
      <c r="KK27" s="12"/>
      <c r="KL27" s="12"/>
      <c r="KM27" s="12"/>
      <c r="KN27" s="12"/>
      <c r="KO27" s="12"/>
      <c r="KP27" s="12"/>
      <c r="KQ27" s="12"/>
      <c r="KR27" s="12"/>
      <c r="KS27" s="12"/>
      <c r="KT27" s="12"/>
      <c r="KU27" s="12"/>
      <c r="KV27" s="12"/>
      <c r="KW27" s="12"/>
      <c r="KX27" s="12"/>
      <c r="KY27" s="12"/>
      <c r="KZ27" s="12"/>
      <c r="LA27" s="12"/>
      <c r="LB27" s="12"/>
      <c r="LC27" s="12"/>
      <c r="LD27" s="12"/>
      <c r="LE27" s="12"/>
      <c r="LF27" s="12"/>
      <c r="LG27" s="12"/>
      <c r="LH27" s="12"/>
      <c r="LI27" s="12"/>
      <c r="LJ27" s="12"/>
      <c r="LK27" s="12"/>
      <c r="LL27" s="12"/>
      <c r="LM27" s="12"/>
      <c r="LN27" s="12"/>
      <c r="LO27" s="12"/>
      <c r="LP27" s="12"/>
      <c r="LQ27" s="12"/>
      <c r="LR27" s="12"/>
      <c r="LS27" s="12"/>
      <c r="LT27" s="12"/>
      <c r="LU27" s="12"/>
      <c r="LV27" s="12"/>
      <c r="LW27" s="12"/>
      <c r="LX27" s="12"/>
      <c r="LY27" s="12"/>
      <c r="LZ27" s="12"/>
      <c r="MA27" s="12"/>
      <c r="MB27" s="12"/>
      <c r="MC27" s="12"/>
      <c r="MD27" s="12"/>
      <c r="ME27" s="12"/>
      <c r="MF27" s="12"/>
      <c r="MG27" s="12"/>
      <c r="MH27" s="12"/>
      <c r="MI27" s="12"/>
      <c r="MJ27" s="12"/>
      <c r="MK27" s="12"/>
      <c r="ML27" s="12"/>
      <c r="MM27" s="12"/>
      <c r="MN27" s="12"/>
      <c r="MO27" s="12"/>
      <c r="MP27" s="12"/>
      <c r="MQ27" s="12"/>
      <c r="MR27" s="12"/>
      <c r="MS27" s="12"/>
      <c r="MT27" s="12"/>
      <c r="MU27" s="12"/>
      <c r="MV27" s="12"/>
      <c r="MW27" s="12"/>
      <c r="MX27" s="12"/>
      <c r="MY27" s="12"/>
      <c r="MZ27" s="12"/>
      <c r="NA27" s="12"/>
      <c r="NB27" s="12"/>
      <c r="NC27" s="12"/>
      <c r="ND27" s="12"/>
      <c r="NE27" s="12"/>
      <c r="NF27" s="12"/>
      <c r="NG27" s="12"/>
      <c r="NH27" s="12"/>
      <c r="NI27" s="12"/>
      <c r="NJ27" s="12"/>
      <c r="NK27" s="12"/>
      <c r="NL27" s="12"/>
      <c r="NM27" s="12"/>
      <c r="NN27" s="12"/>
      <c r="NO27" s="12"/>
      <c r="NP27" s="12"/>
      <c r="NQ27" s="12"/>
      <c r="NR27" s="12"/>
      <c r="NS27" s="12"/>
      <c r="NT27" s="12"/>
      <c r="NU27" s="12"/>
      <c r="NV27" s="12"/>
      <c r="NW27" s="12"/>
      <c r="NX27" s="12"/>
      <c r="NY27" s="12"/>
      <c r="NZ27" s="12"/>
      <c r="OA27" s="12"/>
      <c r="OB27" s="12"/>
      <c r="OC27" s="12"/>
      <c r="OD27" s="12"/>
      <c r="OE27" s="12"/>
      <c r="OF27" s="12"/>
      <c r="OG27" s="12"/>
      <c r="OH27" s="12"/>
      <c r="OI27" s="12"/>
      <c r="OJ27" s="12"/>
      <c r="OK27" s="12"/>
      <c r="OL27" s="12"/>
      <c r="OM27" s="12"/>
      <c r="ON27" s="12"/>
      <c r="OO27" s="12"/>
      <c r="OP27" s="12"/>
      <c r="OQ27" s="12"/>
      <c r="OR27" s="12"/>
      <c r="OS27" s="12"/>
      <c r="OT27" s="12"/>
      <c r="OU27" s="12"/>
      <c r="OV27" s="12"/>
      <c r="OW27" s="12"/>
      <c r="OX27" s="12"/>
      <c r="OY27" s="12"/>
      <c r="OZ27" s="12"/>
      <c r="PA27" s="12"/>
      <c r="PB27" s="12"/>
      <c r="PC27" s="12"/>
      <c r="PD27" s="12"/>
      <c r="PE27" s="12"/>
      <c r="PF27" s="12"/>
      <c r="PG27" s="12"/>
      <c r="PH27" s="12"/>
      <c r="PI27" s="12"/>
      <c r="PJ27" s="12"/>
      <c r="PK27" s="12"/>
      <c r="PL27" s="12"/>
      <c r="PM27" s="12"/>
      <c r="PN27" s="12"/>
      <c r="PO27" s="12"/>
      <c r="PP27" s="12"/>
      <c r="PQ27" s="12"/>
      <c r="PR27" s="12"/>
      <c r="PS27" s="12"/>
      <c r="PT27" s="12"/>
      <c r="PU27" s="12"/>
      <c r="PV27" s="12"/>
      <c r="PW27" s="12"/>
      <c r="PX27" s="12"/>
      <c r="PY27" s="12"/>
      <c r="PZ27" s="12"/>
      <c r="QA27" s="12"/>
      <c r="QB27" s="12"/>
      <c r="QC27" s="12"/>
      <c r="QD27" s="12"/>
      <c r="QE27" s="12"/>
      <c r="QF27" s="12"/>
      <c r="QG27" s="12"/>
      <c r="QH27" s="12"/>
      <c r="QI27" s="12"/>
      <c r="QJ27" s="12"/>
      <c r="QK27" s="12"/>
      <c r="QL27" s="12"/>
      <c r="QM27" s="12"/>
      <c r="QN27" s="12"/>
      <c r="QO27" s="12"/>
      <c r="QP27" s="12"/>
      <c r="QQ27" s="12"/>
      <c r="QR27" s="12"/>
      <c r="QS27" s="12"/>
      <c r="QT27" s="12"/>
      <c r="QU27" s="12"/>
      <c r="QV27" s="12"/>
      <c r="QW27" s="12"/>
      <c r="QX27" s="12"/>
      <c r="QY27" s="12"/>
      <c r="QZ27" s="12"/>
      <c r="RA27" s="12"/>
      <c r="RB27" s="12"/>
      <c r="RC27" s="12"/>
      <c r="RD27" s="12"/>
      <c r="RE27" s="12"/>
      <c r="RF27" s="12"/>
      <c r="RG27" s="12"/>
      <c r="RH27" s="12"/>
      <c r="RI27" s="12"/>
      <c r="RJ27" s="12"/>
      <c r="RK27" s="12"/>
      <c r="RL27" s="12"/>
      <c r="RM27" s="12"/>
      <c r="RN27" s="12"/>
      <c r="RO27" s="12"/>
      <c r="RP27" s="12"/>
      <c r="RQ27" s="12"/>
      <c r="RR27" s="12"/>
      <c r="RS27" s="12"/>
      <c r="RT27" s="12"/>
      <c r="RU27" s="12"/>
      <c r="RV27" s="12"/>
      <c r="RW27" s="12"/>
      <c r="RX27" s="12"/>
      <c r="RY27" s="12"/>
      <c r="RZ27" s="12"/>
      <c r="SA27" s="12"/>
      <c r="SB27" s="12"/>
      <c r="SC27" s="12"/>
      <c r="SD27" s="12"/>
      <c r="SE27" s="12"/>
      <c r="SF27" s="12"/>
      <c r="SG27" s="12"/>
      <c r="SH27" s="12"/>
      <c r="SI27" s="12"/>
      <c r="SJ27" s="12"/>
      <c r="SK27" s="12"/>
      <c r="SL27" s="12"/>
      <c r="SM27" s="12"/>
      <c r="SN27" s="12"/>
      <c r="SO27" s="12"/>
      <c r="SP27" s="12"/>
      <c r="SQ27" s="12"/>
      <c r="SR27" s="12"/>
      <c r="SS27" s="12"/>
      <c r="ST27" s="12"/>
      <c r="SU27" s="12"/>
      <c r="SV27" s="12"/>
      <c r="SW27" s="12"/>
      <c r="SX27" s="12"/>
      <c r="SY27" s="12"/>
      <c r="SZ27" s="12"/>
      <c r="TA27" s="12"/>
      <c r="TB27" s="12"/>
      <c r="TC27" s="12"/>
      <c r="TD27" s="12"/>
      <c r="TE27" s="12"/>
      <c r="TF27" s="12"/>
      <c r="TG27" s="12"/>
      <c r="TH27" s="12"/>
      <c r="TI27" s="12"/>
      <c r="TJ27" s="12"/>
      <c r="TK27" s="12"/>
      <c r="TL27" s="12"/>
      <c r="TM27" s="12"/>
      <c r="TN27" s="12"/>
      <c r="TO27" s="12"/>
      <c r="TP27" s="12"/>
      <c r="TQ27" s="12"/>
      <c r="TR27" s="12"/>
      <c r="TS27" s="12"/>
      <c r="TT27" s="12"/>
      <c r="TU27" s="12"/>
      <c r="TV27" s="12"/>
      <c r="TW27" s="12"/>
      <c r="TX27" s="12"/>
      <c r="TY27" s="12"/>
      <c r="TZ27" s="12"/>
      <c r="UA27" s="12"/>
      <c r="UB27" s="12"/>
      <c r="UC27" s="12"/>
      <c r="UD27" s="12"/>
      <c r="UE27" s="12"/>
      <c r="UF27" s="12"/>
      <c r="UG27" s="12"/>
      <c r="UH27" s="12"/>
      <c r="UI27" s="12"/>
      <c r="UJ27" s="12"/>
      <c r="UK27" s="12"/>
      <c r="UL27" s="12"/>
      <c r="UM27" s="12"/>
      <c r="UN27" s="12"/>
      <c r="UO27" s="12"/>
      <c r="UP27" s="12"/>
      <c r="UQ27" s="12"/>
      <c r="UR27" s="12"/>
      <c r="US27" s="12"/>
      <c r="UT27" s="12"/>
      <c r="UU27" s="12"/>
      <c r="UV27" s="12"/>
      <c r="UW27" s="12"/>
      <c r="UX27" s="12"/>
      <c r="UY27" s="12"/>
      <c r="UZ27" s="12"/>
      <c r="VA27" s="12"/>
      <c r="VB27" s="12"/>
      <c r="VC27" s="12"/>
      <c r="VD27" s="12"/>
      <c r="VE27" s="12"/>
      <c r="VF27" s="12"/>
      <c r="VG27" s="12"/>
      <c r="VH27" s="12"/>
      <c r="VI27" s="12"/>
      <c r="VJ27" s="12"/>
      <c r="VK27" s="12"/>
      <c r="VL27" s="12"/>
      <c r="VM27" s="12"/>
      <c r="VN27" s="12"/>
      <c r="VO27" s="12"/>
      <c r="VP27" s="12"/>
      <c r="VQ27" s="12"/>
      <c r="VR27" s="12"/>
      <c r="VS27" s="12"/>
      <c r="VT27" s="12"/>
      <c r="VU27" s="12"/>
      <c r="VV27" s="12"/>
      <c r="VW27" s="12"/>
      <c r="VX27" s="12"/>
      <c r="VY27" s="12"/>
      <c r="VZ27" s="12"/>
      <c r="WA27" s="12"/>
      <c r="WB27" s="12"/>
      <c r="WC27" s="12"/>
      <c r="WD27" s="12"/>
      <c r="WE27" s="12"/>
      <c r="WF27" s="12"/>
      <c r="WG27" s="12"/>
      <c r="WH27" s="12"/>
      <c r="WI27" s="12"/>
      <c r="WJ27" s="12"/>
      <c r="WK27" s="12"/>
      <c r="WL27" s="12"/>
      <c r="WM27" s="12"/>
      <c r="WN27" s="12"/>
      <c r="WO27" s="12"/>
      <c r="WP27" s="12"/>
      <c r="WQ27" s="12"/>
      <c r="WR27" s="12"/>
      <c r="WS27" s="12"/>
      <c r="WT27" s="12"/>
      <c r="WU27" s="12"/>
      <c r="WV27" s="12"/>
      <c r="WW27" s="12"/>
      <c r="WX27" s="12"/>
      <c r="WY27" s="12"/>
      <c r="WZ27" s="12"/>
      <c r="XA27" s="12"/>
      <c r="XB27" s="12"/>
      <c r="XC27" s="12"/>
      <c r="XD27" s="12"/>
      <c r="XE27" s="12"/>
      <c r="XF27" s="12"/>
      <c r="XG27" s="12"/>
      <c r="XH27" s="12"/>
      <c r="XI27" s="12"/>
      <c r="XJ27" s="12"/>
      <c r="XK27" s="12"/>
      <c r="XL27" s="12"/>
      <c r="XM27" s="12"/>
      <c r="XN27" s="12"/>
      <c r="XO27" s="12"/>
      <c r="XP27" s="12"/>
      <c r="XQ27" s="12"/>
      <c r="XR27" s="12"/>
      <c r="XS27" s="12"/>
      <c r="XT27" s="12"/>
      <c r="XU27" s="12"/>
      <c r="XV27" s="12"/>
      <c r="XW27" s="12"/>
      <c r="XX27" s="12"/>
      <c r="XY27" s="12"/>
      <c r="XZ27" s="12"/>
      <c r="YA27" s="12"/>
      <c r="YB27" s="12"/>
      <c r="YC27" s="12"/>
      <c r="YD27" s="12"/>
      <c r="YE27" s="12"/>
      <c r="YF27" s="12"/>
      <c r="YG27" s="12"/>
      <c r="YH27" s="12"/>
      <c r="YI27" s="12"/>
      <c r="YJ27" s="12"/>
      <c r="YK27" s="12"/>
      <c r="YL27" s="12"/>
      <c r="YM27" s="12"/>
      <c r="YN27" s="12"/>
      <c r="YO27" s="12"/>
      <c r="YP27" s="12"/>
      <c r="YQ27" s="12"/>
      <c r="YR27" s="12"/>
      <c r="YS27" s="12"/>
      <c r="YT27" s="12"/>
      <c r="YU27" s="12"/>
      <c r="YV27" s="12"/>
      <c r="YW27" s="12"/>
      <c r="YX27" s="12"/>
      <c r="YY27" s="12"/>
      <c r="YZ27" s="12"/>
      <c r="ZA27" s="12"/>
      <c r="ZB27" s="12"/>
      <c r="ZC27" s="12"/>
      <c r="ZD27" s="12"/>
      <c r="ZE27" s="12"/>
      <c r="ZF27" s="12"/>
      <c r="ZG27" s="12"/>
      <c r="ZH27" s="12"/>
      <c r="ZI27" s="12"/>
      <c r="ZJ27" s="12"/>
      <c r="ZK27" s="12"/>
      <c r="ZL27" s="12"/>
      <c r="ZM27" s="12"/>
      <c r="ZN27" s="12"/>
      <c r="ZO27" s="12"/>
      <c r="ZP27" s="12"/>
      <c r="ZQ27" s="12"/>
      <c r="ZR27" s="12"/>
      <c r="ZS27" s="12"/>
      <c r="ZT27" s="12"/>
      <c r="ZU27" s="12"/>
      <c r="ZV27" s="12"/>
      <c r="ZW27" s="12"/>
      <c r="ZX27" s="12"/>
      <c r="ZY27" s="12"/>
      <c r="ZZ27" s="12"/>
      <c r="AAA27" s="12"/>
      <c r="AAB27" s="12"/>
      <c r="AAC27" s="12"/>
      <c r="AAD27" s="12"/>
      <c r="AAE27" s="12"/>
      <c r="AAF27" s="12"/>
      <c r="AAG27" s="12"/>
      <c r="AAH27" s="12"/>
      <c r="AAI27" s="12"/>
      <c r="AAJ27" s="12"/>
      <c r="AAK27" s="12"/>
      <c r="AAL27" s="12"/>
      <c r="AAM27" s="12"/>
      <c r="AAN27" s="12"/>
      <c r="AAO27" s="12"/>
      <c r="AAP27" s="12"/>
      <c r="AAQ27" s="12"/>
      <c r="AAR27" s="12"/>
      <c r="AAS27" s="12"/>
      <c r="AAT27" s="12"/>
      <c r="AAU27" s="12"/>
      <c r="AAV27" s="12"/>
      <c r="AAW27" s="12"/>
      <c r="AAX27" s="12"/>
      <c r="AAY27" s="12"/>
      <c r="AAZ27" s="12"/>
      <c r="ABA27" s="12"/>
      <c r="ABB27" s="12"/>
      <c r="ABC27" s="12"/>
      <c r="ABD27" s="12"/>
      <c r="ABE27" s="12"/>
      <c r="ABF27" s="12"/>
      <c r="ABG27" s="12"/>
      <c r="ABH27" s="12"/>
      <c r="ABI27" s="12"/>
      <c r="ABJ27" s="12"/>
      <c r="ABK27" s="12"/>
      <c r="ABL27" s="12"/>
      <c r="ABM27" s="12"/>
      <c r="ABN27" s="12"/>
      <c r="ABO27" s="12"/>
      <c r="ABP27" s="12"/>
      <c r="ABQ27" s="12"/>
      <c r="ABR27" s="12"/>
      <c r="ABS27" s="12"/>
      <c r="ABT27" s="12"/>
      <c r="ABU27" s="12"/>
      <c r="ABV27" s="12"/>
      <c r="ABW27" s="12"/>
      <c r="ABX27" s="12"/>
      <c r="ABY27" s="12"/>
      <c r="ABZ27" s="12"/>
      <c r="ACA27" s="12"/>
      <c r="ACB27" s="12"/>
      <c r="ACC27" s="12"/>
      <c r="ACD27" s="12"/>
      <c r="ACE27" s="12"/>
      <c r="ACF27" s="12"/>
      <c r="ACG27" s="12"/>
      <c r="ACH27" s="12"/>
      <c r="ACI27" s="12"/>
      <c r="ACJ27" s="12"/>
      <c r="ACK27" s="12"/>
      <c r="ACL27" s="12"/>
      <c r="ACM27" s="12"/>
      <c r="ACN27" s="12"/>
      <c r="ACO27" s="12"/>
      <c r="ACP27" s="12"/>
      <c r="ACQ27" s="12"/>
      <c r="ACR27" s="12"/>
      <c r="ACS27" s="12"/>
      <c r="ACT27" s="12"/>
      <c r="ACU27" s="12"/>
      <c r="ACV27" s="12"/>
      <c r="ACW27" s="12"/>
      <c r="ACX27" s="12"/>
      <c r="ACY27" s="12"/>
      <c r="ACZ27" s="12"/>
      <c r="ADA27" s="12"/>
      <c r="ADB27" s="12"/>
      <c r="ADC27" s="12"/>
      <c r="ADD27" s="12"/>
      <c r="ADE27" s="12"/>
      <c r="ADF27" s="12"/>
      <c r="ADG27" s="12"/>
      <c r="ADH27" s="12"/>
      <c r="ADI27" s="12"/>
      <c r="ADJ27" s="12"/>
      <c r="ADK27" s="12"/>
      <c r="ADL27" s="12"/>
      <c r="ADM27" s="12"/>
      <c r="ADN27" s="12"/>
      <c r="ADO27" s="12"/>
      <c r="ADP27" s="12"/>
      <c r="ADQ27" s="12"/>
      <c r="ADR27" s="12"/>
      <c r="ADS27" s="12"/>
      <c r="ADT27" s="12"/>
      <c r="ADU27" s="12"/>
      <c r="ADV27" s="12"/>
      <c r="ADW27" s="12"/>
      <c r="ADX27" s="12"/>
      <c r="ADY27" s="12"/>
      <c r="ADZ27" s="12"/>
      <c r="AEA27" s="12"/>
      <c r="AEB27" s="12"/>
      <c r="AEC27" s="12"/>
      <c r="AED27" s="12"/>
      <c r="AEE27" s="12"/>
      <c r="AEF27" s="12"/>
      <c r="AEG27" s="12"/>
      <c r="AEH27" s="12"/>
      <c r="AEI27" s="12"/>
      <c r="AEJ27" s="12"/>
      <c r="AEK27" s="12"/>
      <c r="AEL27" s="12"/>
      <c r="AEM27" s="12"/>
      <c r="AEN27" s="12"/>
      <c r="AEO27" s="12"/>
      <c r="AEP27" s="12"/>
      <c r="AEQ27" s="12"/>
      <c r="AER27" s="12"/>
      <c r="AES27" s="12"/>
      <c r="AET27" s="12"/>
      <c r="AEU27" s="12"/>
      <c r="AEV27" s="12"/>
    </row>
    <row r="28" spans="1:828" s="13" customFormat="1" ht="19" x14ac:dyDescent="0.2">
      <c r="A28" s="14" t="s">
        <v>24</v>
      </c>
      <c r="B28" s="44">
        <f t="shared" si="0"/>
        <v>2.7147979652913544E-3</v>
      </c>
      <c r="C28" s="16" t="s">
        <v>25</v>
      </c>
      <c r="D28" s="11">
        <f>292+1</f>
        <v>293</v>
      </c>
      <c r="E28" s="16"/>
      <c r="F28" s="16"/>
      <c r="H28" s="45">
        <f>J28/J74</f>
        <v>1.2138321736816091E-2</v>
      </c>
      <c r="I28" s="16" t="s">
        <v>26</v>
      </c>
      <c r="J28" s="11">
        <v>1277</v>
      </c>
      <c r="K28" s="45"/>
      <c r="L28" s="16"/>
      <c r="M28" s="11"/>
      <c r="N28" s="12"/>
      <c r="O28" s="12"/>
      <c r="P28"/>
      <c r="Q28"/>
      <c r="R28"/>
      <c r="S28"/>
      <c r="T28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2"/>
      <c r="FJ28" s="12"/>
      <c r="FK28" s="12"/>
      <c r="FL28" s="12"/>
      <c r="FM28" s="12"/>
      <c r="FN28" s="12"/>
      <c r="FO28" s="12"/>
      <c r="FP28" s="12"/>
      <c r="FQ28" s="12"/>
      <c r="FR28" s="12"/>
      <c r="FS28" s="12"/>
      <c r="FT28" s="12"/>
      <c r="FU28" s="12"/>
      <c r="FV28" s="12"/>
      <c r="FW28" s="12"/>
      <c r="FX28" s="12"/>
      <c r="FY28" s="12"/>
      <c r="FZ28" s="12"/>
      <c r="GA28" s="12"/>
      <c r="GB28" s="12"/>
      <c r="GC28" s="12"/>
      <c r="GD28" s="12"/>
      <c r="GE28" s="12"/>
      <c r="GF28" s="12"/>
      <c r="GG28" s="12"/>
      <c r="GH28" s="12"/>
      <c r="GI28" s="12"/>
      <c r="GJ28" s="12"/>
      <c r="GK28" s="12"/>
      <c r="GL28" s="12"/>
      <c r="GM28" s="12"/>
      <c r="GN28" s="12"/>
      <c r="GO28" s="12"/>
      <c r="GP28" s="12"/>
      <c r="GQ28" s="12"/>
      <c r="GR28" s="12"/>
      <c r="GS28" s="12"/>
      <c r="GT28" s="12"/>
      <c r="GU28" s="12"/>
      <c r="GV28" s="12"/>
      <c r="GW28" s="12"/>
      <c r="GX28" s="12"/>
      <c r="GY28" s="12"/>
      <c r="GZ28" s="12"/>
      <c r="HA28" s="12"/>
      <c r="HB28" s="12"/>
      <c r="HC28" s="12"/>
      <c r="HD28" s="12"/>
      <c r="HE28" s="12"/>
      <c r="HF28" s="12"/>
      <c r="HG28" s="12"/>
      <c r="HH28" s="12"/>
      <c r="HI28" s="12"/>
      <c r="HJ28" s="12"/>
      <c r="HK28" s="12"/>
      <c r="HL28" s="12"/>
      <c r="HM28" s="12"/>
      <c r="HN28" s="12"/>
      <c r="HO28" s="12"/>
      <c r="HP28" s="12"/>
      <c r="HQ28" s="12"/>
      <c r="HR28" s="12"/>
      <c r="HS28" s="12"/>
      <c r="HT28" s="12"/>
      <c r="HU28" s="12"/>
      <c r="HV28" s="12"/>
      <c r="HW28" s="12"/>
      <c r="HX28" s="12"/>
      <c r="HY28" s="12"/>
      <c r="HZ28" s="12"/>
      <c r="IA28" s="12"/>
      <c r="IB28" s="12"/>
      <c r="IC28" s="12"/>
      <c r="ID28" s="12"/>
      <c r="IE28" s="12"/>
      <c r="IF28" s="12"/>
      <c r="IG28" s="12"/>
      <c r="IH28" s="12"/>
      <c r="II28" s="12"/>
      <c r="IJ28" s="12"/>
      <c r="IK28" s="12"/>
      <c r="IL28" s="12"/>
      <c r="IM28" s="12"/>
      <c r="IN28" s="12"/>
      <c r="IO28" s="12"/>
      <c r="IP28" s="12"/>
      <c r="IQ28" s="12"/>
      <c r="IR28" s="12"/>
      <c r="IS28" s="12"/>
      <c r="IT28" s="12"/>
      <c r="IU28" s="12"/>
      <c r="IV28" s="12"/>
      <c r="IW28" s="12"/>
      <c r="IX28" s="12"/>
      <c r="IY28" s="12"/>
      <c r="IZ28" s="12"/>
      <c r="JA28" s="12"/>
      <c r="JB28" s="12"/>
      <c r="JC28" s="12"/>
      <c r="JD28" s="12"/>
      <c r="JE28" s="12"/>
      <c r="JF28" s="12"/>
      <c r="JG28" s="12"/>
      <c r="JH28" s="12"/>
      <c r="JI28" s="12"/>
      <c r="JJ28" s="12"/>
      <c r="JK28" s="12"/>
      <c r="JL28" s="12"/>
      <c r="JM28" s="12"/>
      <c r="JN28" s="12"/>
      <c r="JO28" s="12"/>
      <c r="JP28" s="12"/>
      <c r="JQ28" s="12"/>
      <c r="JR28" s="12"/>
      <c r="JS28" s="12"/>
      <c r="JT28" s="12"/>
      <c r="JU28" s="12"/>
      <c r="JV28" s="12"/>
      <c r="JW28" s="12"/>
      <c r="JX28" s="12"/>
      <c r="JY28" s="12"/>
      <c r="JZ28" s="12"/>
      <c r="KA28" s="12"/>
      <c r="KB28" s="12"/>
      <c r="KC28" s="12"/>
      <c r="KD28" s="12"/>
      <c r="KE28" s="12"/>
      <c r="KF28" s="12"/>
      <c r="KG28" s="12"/>
      <c r="KH28" s="12"/>
      <c r="KI28" s="12"/>
      <c r="KJ28" s="12"/>
      <c r="KK28" s="12"/>
      <c r="KL28" s="12"/>
      <c r="KM28" s="12"/>
      <c r="KN28" s="12"/>
      <c r="KO28" s="12"/>
      <c r="KP28" s="12"/>
      <c r="KQ28" s="12"/>
      <c r="KR28" s="12"/>
      <c r="KS28" s="12"/>
      <c r="KT28" s="12"/>
      <c r="KU28" s="12"/>
      <c r="KV28" s="12"/>
      <c r="KW28" s="12"/>
      <c r="KX28" s="12"/>
      <c r="KY28" s="12"/>
      <c r="KZ28" s="12"/>
      <c r="LA28" s="12"/>
      <c r="LB28" s="12"/>
      <c r="LC28" s="12"/>
      <c r="LD28" s="12"/>
      <c r="LE28" s="12"/>
      <c r="LF28" s="12"/>
      <c r="LG28" s="12"/>
      <c r="LH28" s="12"/>
      <c r="LI28" s="12"/>
      <c r="LJ28" s="12"/>
      <c r="LK28" s="12"/>
      <c r="LL28" s="12"/>
      <c r="LM28" s="12"/>
      <c r="LN28" s="12"/>
      <c r="LO28" s="12"/>
      <c r="LP28" s="12"/>
      <c r="LQ28" s="12"/>
      <c r="LR28" s="12"/>
      <c r="LS28" s="12"/>
      <c r="LT28" s="12"/>
      <c r="LU28" s="12"/>
      <c r="LV28" s="12"/>
      <c r="LW28" s="12"/>
      <c r="LX28" s="12"/>
      <c r="LY28" s="12"/>
      <c r="LZ28" s="12"/>
      <c r="MA28" s="12"/>
      <c r="MB28" s="12"/>
      <c r="MC28" s="12"/>
      <c r="MD28" s="12"/>
      <c r="ME28" s="12"/>
      <c r="MF28" s="12"/>
      <c r="MG28" s="12"/>
      <c r="MH28" s="12"/>
      <c r="MI28" s="12"/>
      <c r="MJ28" s="12"/>
      <c r="MK28" s="12"/>
      <c r="ML28" s="12"/>
      <c r="MM28" s="12"/>
      <c r="MN28" s="12"/>
      <c r="MO28" s="12"/>
      <c r="MP28" s="12"/>
      <c r="MQ28" s="12"/>
      <c r="MR28" s="12"/>
      <c r="MS28" s="12"/>
      <c r="MT28" s="12"/>
      <c r="MU28" s="12"/>
      <c r="MV28" s="12"/>
      <c r="MW28" s="12"/>
      <c r="MX28" s="12"/>
      <c r="MY28" s="12"/>
      <c r="MZ28" s="12"/>
      <c r="NA28" s="12"/>
      <c r="NB28" s="12"/>
      <c r="NC28" s="12"/>
      <c r="ND28" s="12"/>
      <c r="NE28" s="12"/>
      <c r="NF28" s="12"/>
      <c r="NG28" s="12"/>
      <c r="NH28" s="12"/>
      <c r="NI28" s="12"/>
      <c r="NJ28" s="12"/>
      <c r="NK28" s="12"/>
      <c r="NL28" s="12"/>
      <c r="NM28" s="12"/>
      <c r="NN28" s="12"/>
      <c r="NO28" s="12"/>
      <c r="NP28" s="12"/>
      <c r="NQ28" s="12"/>
      <c r="NR28" s="12"/>
      <c r="NS28" s="12"/>
      <c r="NT28" s="12"/>
      <c r="NU28" s="12"/>
      <c r="NV28" s="12"/>
      <c r="NW28" s="12"/>
      <c r="NX28" s="12"/>
      <c r="NY28" s="12"/>
      <c r="NZ28" s="12"/>
      <c r="OA28" s="12"/>
      <c r="OB28" s="12"/>
      <c r="OC28" s="12"/>
      <c r="OD28" s="12"/>
      <c r="OE28" s="12"/>
      <c r="OF28" s="12"/>
      <c r="OG28" s="12"/>
      <c r="OH28" s="12"/>
      <c r="OI28" s="12"/>
      <c r="OJ28" s="12"/>
      <c r="OK28" s="12"/>
      <c r="OL28" s="12"/>
      <c r="OM28" s="12"/>
      <c r="ON28" s="12"/>
      <c r="OO28" s="12"/>
      <c r="OP28" s="12"/>
      <c r="OQ28" s="12"/>
      <c r="OR28" s="12"/>
      <c r="OS28" s="12"/>
      <c r="OT28" s="12"/>
      <c r="OU28" s="12"/>
      <c r="OV28" s="12"/>
      <c r="OW28" s="12"/>
      <c r="OX28" s="12"/>
      <c r="OY28" s="12"/>
      <c r="OZ28" s="12"/>
      <c r="PA28" s="12"/>
      <c r="PB28" s="12"/>
      <c r="PC28" s="12"/>
      <c r="PD28" s="12"/>
      <c r="PE28" s="12"/>
      <c r="PF28" s="12"/>
      <c r="PG28" s="12"/>
      <c r="PH28" s="12"/>
      <c r="PI28" s="12"/>
      <c r="PJ28" s="12"/>
      <c r="PK28" s="12"/>
      <c r="PL28" s="12"/>
      <c r="PM28" s="12"/>
      <c r="PN28" s="12"/>
      <c r="PO28" s="12"/>
      <c r="PP28" s="12"/>
      <c r="PQ28" s="12"/>
      <c r="PR28" s="12"/>
      <c r="PS28" s="12"/>
      <c r="PT28" s="12"/>
      <c r="PU28" s="12"/>
      <c r="PV28" s="12"/>
      <c r="PW28" s="12"/>
      <c r="PX28" s="12"/>
      <c r="PY28" s="12"/>
      <c r="PZ28" s="12"/>
      <c r="QA28" s="12"/>
      <c r="QB28" s="12"/>
      <c r="QC28" s="12"/>
      <c r="QD28" s="12"/>
      <c r="QE28" s="12"/>
      <c r="QF28" s="12"/>
      <c r="QG28" s="12"/>
      <c r="QH28" s="12"/>
      <c r="QI28" s="12"/>
      <c r="QJ28" s="12"/>
      <c r="QK28" s="12"/>
      <c r="QL28" s="12"/>
      <c r="QM28" s="12"/>
      <c r="QN28" s="12"/>
      <c r="QO28" s="12"/>
      <c r="QP28" s="12"/>
      <c r="QQ28" s="12"/>
      <c r="QR28" s="12"/>
      <c r="QS28" s="12"/>
      <c r="QT28" s="12"/>
      <c r="QU28" s="12"/>
      <c r="QV28" s="12"/>
      <c r="QW28" s="12"/>
      <c r="QX28" s="12"/>
      <c r="QY28" s="12"/>
      <c r="QZ28" s="12"/>
      <c r="RA28" s="12"/>
      <c r="RB28" s="12"/>
      <c r="RC28" s="12"/>
      <c r="RD28" s="12"/>
      <c r="RE28" s="12"/>
      <c r="RF28" s="12"/>
      <c r="RG28" s="12"/>
      <c r="RH28" s="12"/>
      <c r="RI28" s="12"/>
      <c r="RJ28" s="12"/>
      <c r="RK28" s="12"/>
      <c r="RL28" s="12"/>
      <c r="RM28" s="12"/>
      <c r="RN28" s="12"/>
      <c r="RO28" s="12"/>
      <c r="RP28" s="12"/>
      <c r="RQ28" s="12"/>
      <c r="RR28" s="12"/>
      <c r="RS28" s="12"/>
      <c r="RT28" s="12"/>
      <c r="RU28" s="12"/>
      <c r="RV28" s="12"/>
      <c r="RW28" s="12"/>
      <c r="RX28" s="12"/>
      <c r="RY28" s="12"/>
      <c r="RZ28" s="12"/>
      <c r="SA28" s="12"/>
      <c r="SB28" s="12"/>
      <c r="SC28" s="12"/>
      <c r="SD28" s="12"/>
      <c r="SE28" s="12"/>
      <c r="SF28" s="12"/>
      <c r="SG28" s="12"/>
      <c r="SH28" s="12"/>
      <c r="SI28" s="12"/>
      <c r="SJ28" s="12"/>
      <c r="SK28" s="12"/>
      <c r="SL28" s="12"/>
      <c r="SM28" s="12"/>
      <c r="SN28" s="12"/>
      <c r="SO28" s="12"/>
      <c r="SP28" s="12"/>
      <c r="SQ28" s="12"/>
      <c r="SR28" s="12"/>
      <c r="SS28" s="12"/>
      <c r="ST28" s="12"/>
      <c r="SU28" s="12"/>
      <c r="SV28" s="12"/>
      <c r="SW28" s="12"/>
      <c r="SX28" s="12"/>
      <c r="SY28" s="12"/>
      <c r="SZ28" s="12"/>
      <c r="TA28" s="12"/>
      <c r="TB28" s="12"/>
      <c r="TC28" s="12"/>
      <c r="TD28" s="12"/>
      <c r="TE28" s="12"/>
      <c r="TF28" s="12"/>
      <c r="TG28" s="12"/>
      <c r="TH28" s="12"/>
      <c r="TI28" s="12"/>
      <c r="TJ28" s="12"/>
      <c r="TK28" s="12"/>
      <c r="TL28" s="12"/>
      <c r="TM28" s="12"/>
      <c r="TN28" s="12"/>
      <c r="TO28" s="12"/>
      <c r="TP28" s="12"/>
      <c r="TQ28" s="12"/>
      <c r="TR28" s="12"/>
      <c r="TS28" s="12"/>
      <c r="TT28" s="12"/>
      <c r="TU28" s="12"/>
      <c r="TV28" s="12"/>
      <c r="TW28" s="12"/>
      <c r="TX28" s="12"/>
      <c r="TY28" s="12"/>
      <c r="TZ28" s="12"/>
      <c r="UA28" s="12"/>
      <c r="UB28" s="12"/>
      <c r="UC28" s="12"/>
      <c r="UD28" s="12"/>
      <c r="UE28" s="12"/>
      <c r="UF28" s="12"/>
      <c r="UG28" s="12"/>
      <c r="UH28" s="12"/>
      <c r="UI28" s="12"/>
      <c r="UJ28" s="12"/>
      <c r="UK28" s="12"/>
      <c r="UL28" s="12"/>
      <c r="UM28" s="12"/>
      <c r="UN28" s="12"/>
      <c r="UO28" s="12"/>
      <c r="UP28" s="12"/>
      <c r="UQ28" s="12"/>
      <c r="UR28" s="12"/>
      <c r="US28" s="12"/>
      <c r="UT28" s="12"/>
      <c r="UU28" s="12"/>
      <c r="UV28" s="12"/>
      <c r="UW28" s="12"/>
      <c r="UX28" s="12"/>
      <c r="UY28" s="12"/>
      <c r="UZ28" s="12"/>
      <c r="VA28" s="12"/>
      <c r="VB28" s="12"/>
      <c r="VC28" s="12"/>
      <c r="VD28" s="12"/>
      <c r="VE28" s="12"/>
      <c r="VF28" s="12"/>
      <c r="VG28" s="12"/>
      <c r="VH28" s="12"/>
      <c r="VI28" s="12"/>
      <c r="VJ28" s="12"/>
      <c r="VK28" s="12"/>
      <c r="VL28" s="12"/>
      <c r="VM28" s="12"/>
      <c r="VN28" s="12"/>
      <c r="VO28" s="12"/>
      <c r="VP28" s="12"/>
      <c r="VQ28" s="12"/>
      <c r="VR28" s="12"/>
      <c r="VS28" s="12"/>
      <c r="VT28" s="12"/>
      <c r="VU28" s="12"/>
      <c r="VV28" s="12"/>
      <c r="VW28" s="12"/>
      <c r="VX28" s="12"/>
      <c r="VY28" s="12"/>
      <c r="VZ28" s="12"/>
      <c r="WA28" s="12"/>
      <c r="WB28" s="12"/>
      <c r="WC28" s="12"/>
      <c r="WD28" s="12"/>
      <c r="WE28" s="12"/>
      <c r="WF28" s="12"/>
      <c r="WG28" s="12"/>
      <c r="WH28" s="12"/>
      <c r="WI28" s="12"/>
      <c r="WJ28" s="12"/>
      <c r="WK28" s="12"/>
      <c r="WL28" s="12"/>
      <c r="WM28" s="12"/>
      <c r="WN28" s="12"/>
      <c r="WO28" s="12"/>
      <c r="WP28" s="12"/>
      <c r="WQ28" s="12"/>
      <c r="WR28" s="12"/>
      <c r="WS28" s="12"/>
      <c r="WT28" s="12"/>
      <c r="WU28" s="12"/>
      <c r="WV28" s="12"/>
      <c r="WW28" s="12"/>
      <c r="WX28" s="12"/>
      <c r="WY28" s="12"/>
      <c r="WZ28" s="12"/>
      <c r="XA28" s="12"/>
      <c r="XB28" s="12"/>
      <c r="XC28" s="12"/>
      <c r="XD28" s="12"/>
      <c r="XE28" s="12"/>
      <c r="XF28" s="12"/>
      <c r="XG28" s="12"/>
      <c r="XH28" s="12"/>
      <c r="XI28" s="12"/>
      <c r="XJ28" s="12"/>
      <c r="XK28" s="12"/>
      <c r="XL28" s="12"/>
      <c r="XM28" s="12"/>
      <c r="XN28" s="12"/>
      <c r="XO28" s="12"/>
      <c r="XP28" s="12"/>
      <c r="XQ28" s="12"/>
      <c r="XR28" s="12"/>
      <c r="XS28" s="12"/>
      <c r="XT28" s="12"/>
      <c r="XU28" s="12"/>
      <c r="XV28" s="12"/>
      <c r="XW28" s="12"/>
      <c r="XX28" s="12"/>
      <c r="XY28" s="12"/>
      <c r="XZ28" s="12"/>
      <c r="YA28" s="12"/>
      <c r="YB28" s="12"/>
      <c r="YC28" s="12"/>
      <c r="YD28" s="12"/>
      <c r="YE28" s="12"/>
      <c r="YF28" s="12"/>
      <c r="YG28" s="12"/>
      <c r="YH28" s="12"/>
      <c r="YI28" s="12"/>
      <c r="YJ28" s="12"/>
      <c r="YK28" s="12"/>
      <c r="YL28" s="12"/>
      <c r="YM28" s="12"/>
      <c r="YN28" s="12"/>
      <c r="YO28" s="12"/>
      <c r="YP28" s="12"/>
      <c r="YQ28" s="12"/>
      <c r="YR28" s="12"/>
      <c r="YS28" s="12"/>
      <c r="YT28" s="12"/>
      <c r="YU28" s="12"/>
      <c r="YV28" s="12"/>
      <c r="YW28" s="12"/>
      <c r="YX28" s="12"/>
      <c r="YY28" s="12"/>
      <c r="YZ28" s="12"/>
      <c r="ZA28" s="12"/>
      <c r="ZB28" s="12"/>
      <c r="ZC28" s="12"/>
      <c r="ZD28" s="12"/>
      <c r="ZE28" s="12"/>
      <c r="ZF28" s="12"/>
      <c r="ZG28" s="12"/>
      <c r="ZH28" s="12"/>
      <c r="ZI28" s="12"/>
      <c r="ZJ28" s="12"/>
      <c r="ZK28" s="12"/>
      <c r="ZL28" s="12"/>
      <c r="ZM28" s="12"/>
      <c r="ZN28" s="12"/>
      <c r="ZO28" s="12"/>
      <c r="ZP28" s="12"/>
      <c r="ZQ28" s="12"/>
      <c r="ZR28" s="12"/>
      <c r="ZS28" s="12"/>
      <c r="ZT28" s="12"/>
      <c r="ZU28" s="12"/>
      <c r="ZV28" s="12"/>
      <c r="ZW28" s="12"/>
      <c r="ZX28" s="12"/>
      <c r="ZY28" s="12"/>
      <c r="ZZ28" s="12"/>
      <c r="AAA28" s="12"/>
      <c r="AAB28" s="12"/>
      <c r="AAC28" s="12"/>
      <c r="AAD28" s="12"/>
      <c r="AAE28" s="12"/>
      <c r="AAF28" s="12"/>
      <c r="AAG28" s="12"/>
      <c r="AAH28" s="12"/>
      <c r="AAI28" s="12"/>
      <c r="AAJ28" s="12"/>
      <c r="AAK28" s="12"/>
      <c r="AAL28" s="12"/>
      <c r="AAM28" s="12"/>
      <c r="AAN28" s="12"/>
      <c r="AAO28" s="12"/>
      <c r="AAP28" s="12"/>
      <c r="AAQ28" s="12"/>
      <c r="AAR28" s="12"/>
      <c r="AAS28" s="12"/>
      <c r="AAT28" s="12"/>
      <c r="AAU28" s="12"/>
      <c r="AAV28" s="12"/>
      <c r="AAW28" s="12"/>
      <c r="AAX28" s="12"/>
      <c r="AAY28" s="12"/>
      <c r="AAZ28" s="12"/>
      <c r="ABA28" s="12"/>
      <c r="ABB28" s="12"/>
      <c r="ABC28" s="12"/>
      <c r="ABD28" s="12"/>
      <c r="ABE28" s="12"/>
      <c r="ABF28" s="12"/>
      <c r="ABG28" s="12"/>
      <c r="ABH28" s="12"/>
      <c r="ABI28" s="12"/>
      <c r="ABJ28" s="12"/>
      <c r="ABK28" s="12"/>
      <c r="ABL28" s="12"/>
      <c r="ABM28" s="12"/>
      <c r="ABN28" s="12"/>
      <c r="ABO28" s="12"/>
      <c r="ABP28" s="12"/>
      <c r="ABQ28" s="12"/>
      <c r="ABR28" s="12"/>
      <c r="ABS28" s="12"/>
      <c r="ABT28" s="12"/>
      <c r="ABU28" s="12"/>
      <c r="ABV28" s="12"/>
      <c r="ABW28" s="12"/>
      <c r="ABX28" s="12"/>
      <c r="ABY28" s="12"/>
      <c r="ABZ28" s="12"/>
      <c r="ACA28" s="12"/>
      <c r="ACB28" s="12"/>
      <c r="ACC28" s="12"/>
      <c r="ACD28" s="12"/>
      <c r="ACE28" s="12"/>
      <c r="ACF28" s="12"/>
      <c r="ACG28" s="12"/>
      <c r="ACH28" s="12"/>
      <c r="ACI28" s="12"/>
      <c r="ACJ28" s="12"/>
      <c r="ACK28" s="12"/>
      <c r="ACL28" s="12"/>
      <c r="ACM28" s="12"/>
      <c r="ACN28" s="12"/>
      <c r="ACO28" s="12"/>
      <c r="ACP28" s="12"/>
      <c r="ACQ28" s="12"/>
      <c r="ACR28" s="12"/>
      <c r="ACS28" s="12"/>
      <c r="ACT28" s="12"/>
      <c r="ACU28" s="12"/>
      <c r="ACV28" s="12"/>
      <c r="ACW28" s="12"/>
      <c r="ACX28" s="12"/>
      <c r="ACY28" s="12"/>
      <c r="ACZ28" s="12"/>
      <c r="ADA28" s="12"/>
      <c r="ADB28" s="12"/>
      <c r="ADC28" s="12"/>
      <c r="ADD28" s="12"/>
      <c r="ADE28" s="12"/>
      <c r="ADF28" s="12"/>
      <c r="ADG28" s="12"/>
      <c r="ADH28" s="12"/>
      <c r="ADI28" s="12"/>
      <c r="ADJ28" s="12"/>
      <c r="ADK28" s="12"/>
      <c r="ADL28" s="12"/>
      <c r="ADM28" s="12"/>
      <c r="ADN28" s="12"/>
      <c r="ADO28" s="12"/>
      <c r="ADP28" s="12"/>
      <c r="ADQ28" s="12"/>
      <c r="ADR28" s="12"/>
      <c r="ADS28" s="12"/>
      <c r="ADT28" s="12"/>
      <c r="ADU28" s="12"/>
      <c r="ADV28" s="12"/>
      <c r="ADW28" s="12"/>
      <c r="ADX28" s="12"/>
      <c r="ADY28" s="12"/>
      <c r="ADZ28" s="12"/>
      <c r="AEA28" s="12"/>
      <c r="AEB28" s="12"/>
      <c r="AEC28" s="12"/>
      <c r="AED28" s="12"/>
      <c r="AEE28" s="12"/>
      <c r="AEF28" s="12"/>
      <c r="AEG28" s="12"/>
      <c r="AEH28" s="12"/>
      <c r="AEI28" s="12"/>
      <c r="AEJ28" s="12"/>
      <c r="AEK28" s="12"/>
      <c r="AEL28" s="12"/>
      <c r="AEM28" s="12"/>
      <c r="AEN28" s="12"/>
      <c r="AEO28" s="12"/>
      <c r="AEP28" s="12"/>
      <c r="AEQ28" s="12"/>
      <c r="AER28" s="12"/>
      <c r="AES28" s="12"/>
      <c r="AET28" s="12"/>
      <c r="AEU28" s="12"/>
      <c r="AEV28" s="12"/>
    </row>
    <row r="29" spans="1:828" s="13" customFormat="1" ht="18" x14ac:dyDescent="0.2">
      <c r="A29" s="14"/>
      <c r="B29" s="16"/>
      <c r="C29" s="16"/>
      <c r="D29" s="11"/>
      <c r="E29" s="16"/>
      <c r="F29" s="16"/>
      <c r="H29" s="15"/>
      <c r="I29" s="16"/>
      <c r="J29" s="11"/>
      <c r="K29" s="15"/>
      <c r="L29" s="16"/>
      <c r="M29" s="11"/>
      <c r="N29" s="12"/>
      <c r="O29" s="12"/>
      <c r="P29"/>
      <c r="Q29"/>
      <c r="R29"/>
      <c r="S29"/>
      <c r="T29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2"/>
      <c r="EJ29" s="12"/>
      <c r="EK29" s="12"/>
      <c r="EL29" s="12"/>
      <c r="EM29" s="12"/>
      <c r="EN29" s="12"/>
      <c r="EO29" s="12"/>
      <c r="EP29" s="12"/>
      <c r="EQ29" s="12"/>
      <c r="ER29" s="12"/>
      <c r="ES29" s="12"/>
      <c r="ET29" s="12"/>
      <c r="EU29" s="12"/>
      <c r="EV29" s="12"/>
      <c r="EW29" s="12"/>
      <c r="EX29" s="12"/>
      <c r="EY29" s="12"/>
      <c r="EZ29" s="12"/>
      <c r="FA29" s="12"/>
      <c r="FB29" s="12"/>
      <c r="FC29" s="12"/>
      <c r="FD29" s="12"/>
      <c r="FE29" s="12"/>
      <c r="FF29" s="12"/>
      <c r="FG29" s="12"/>
      <c r="FH29" s="12"/>
      <c r="FI29" s="12"/>
      <c r="FJ29" s="12"/>
      <c r="FK29" s="12"/>
      <c r="FL29" s="12"/>
      <c r="FM29" s="12"/>
      <c r="FN29" s="12"/>
      <c r="FO29" s="12"/>
      <c r="FP29" s="12"/>
      <c r="FQ29" s="12"/>
      <c r="FR29" s="12"/>
      <c r="FS29" s="12"/>
      <c r="FT29" s="12"/>
      <c r="FU29" s="12"/>
      <c r="FV29" s="12"/>
      <c r="FW29" s="12"/>
      <c r="FX29" s="12"/>
      <c r="FY29" s="12"/>
      <c r="FZ29" s="12"/>
      <c r="GA29" s="12"/>
      <c r="GB29" s="12"/>
      <c r="GC29" s="12"/>
      <c r="GD29" s="12"/>
      <c r="GE29" s="12"/>
      <c r="GF29" s="12"/>
      <c r="GG29" s="12"/>
      <c r="GH29" s="12"/>
      <c r="GI29" s="12"/>
      <c r="GJ29" s="12"/>
      <c r="GK29" s="12"/>
      <c r="GL29" s="12"/>
      <c r="GM29" s="12"/>
      <c r="GN29" s="12"/>
      <c r="GO29" s="12"/>
      <c r="GP29" s="12"/>
      <c r="GQ29" s="12"/>
      <c r="GR29" s="12"/>
      <c r="GS29" s="12"/>
      <c r="GT29" s="12"/>
      <c r="GU29" s="12"/>
      <c r="GV29" s="12"/>
      <c r="GW29" s="12"/>
      <c r="GX29" s="12"/>
      <c r="GY29" s="12"/>
      <c r="GZ29" s="12"/>
      <c r="HA29" s="12"/>
      <c r="HB29" s="12"/>
      <c r="HC29" s="12"/>
      <c r="HD29" s="12"/>
      <c r="HE29" s="12"/>
      <c r="HF29" s="12"/>
      <c r="HG29" s="12"/>
      <c r="HH29" s="12"/>
      <c r="HI29" s="12"/>
      <c r="HJ29" s="12"/>
      <c r="HK29" s="12"/>
      <c r="HL29" s="12"/>
      <c r="HM29" s="12"/>
      <c r="HN29" s="12"/>
      <c r="HO29" s="12"/>
      <c r="HP29" s="12"/>
      <c r="HQ29" s="12"/>
      <c r="HR29" s="12"/>
      <c r="HS29" s="12"/>
      <c r="HT29" s="12"/>
      <c r="HU29" s="12"/>
      <c r="HV29" s="12"/>
      <c r="HW29" s="12"/>
      <c r="HX29" s="12"/>
      <c r="HY29" s="12"/>
      <c r="HZ29" s="12"/>
      <c r="IA29" s="12"/>
      <c r="IB29" s="12"/>
      <c r="IC29" s="12"/>
      <c r="ID29" s="12"/>
      <c r="IE29" s="12"/>
      <c r="IF29" s="12"/>
      <c r="IG29" s="12"/>
      <c r="IH29" s="12"/>
      <c r="II29" s="12"/>
      <c r="IJ29" s="12"/>
      <c r="IK29" s="12"/>
      <c r="IL29" s="12"/>
      <c r="IM29" s="12"/>
      <c r="IN29" s="12"/>
      <c r="IO29" s="12"/>
      <c r="IP29" s="12"/>
      <c r="IQ29" s="12"/>
      <c r="IR29" s="12"/>
      <c r="IS29" s="12"/>
      <c r="IT29" s="12"/>
      <c r="IU29" s="12"/>
      <c r="IV29" s="12"/>
      <c r="IW29" s="12"/>
      <c r="IX29" s="12"/>
      <c r="IY29" s="12"/>
      <c r="IZ29" s="12"/>
      <c r="JA29" s="12"/>
      <c r="JB29" s="12"/>
      <c r="JC29" s="12"/>
      <c r="JD29" s="12"/>
      <c r="JE29" s="12"/>
      <c r="JF29" s="12"/>
      <c r="JG29" s="12"/>
      <c r="JH29" s="12"/>
      <c r="JI29" s="12"/>
      <c r="JJ29" s="12"/>
      <c r="JK29" s="12"/>
      <c r="JL29" s="12"/>
      <c r="JM29" s="12"/>
      <c r="JN29" s="12"/>
      <c r="JO29" s="12"/>
      <c r="JP29" s="12"/>
      <c r="JQ29" s="12"/>
      <c r="JR29" s="12"/>
      <c r="JS29" s="12"/>
      <c r="JT29" s="12"/>
      <c r="JU29" s="12"/>
      <c r="JV29" s="12"/>
      <c r="JW29" s="12"/>
      <c r="JX29" s="12"/>
      <c r="JY29" s="12"/>
      <c r="JZ29" s="12"/>
      <c r="KA29" s="12"/>
      <c r="KB29" s="12"/>
      <c r="KC29" s="12"/>
      <c r="KD29" s="12"/>
      <c r="KE29" s="12"/>
      <c r="KF29" s="12"/>
      <c r="KG29" s="12"/>
      <c r="KH29" s="12"/>
      <c r="KI29" s="12"/>
      <c r="KJ29" s="12"/>
      <c r="KK29" s="12"/>
      <c r="KL29" s="12"/>
      <c r="KM29" s="12"/>
      <c r="KN29" s="12"/>
      <c r="KO29" s="12"/>
      <c r="KP29" s="12"/>
      <c r="KQ29" s="12"/>
      <c r="KR29" s="12"/>
      <c r="KS29" s="12"/>
      <c r="KT29" s="12"/>
      <c r="KU29" s="12"/>
      <c r="KV29" s="12"/>
      <c r="KW29" s="12"/>
      <c r="KX29" s="12"/>
      <c r="KY29" s="12"/>
      <c r="KZ29" s="12"/>
      <c r="LA29" s="12"/>
      <c r="LB29" s="12"/>
      <c r="LC29" s="12"/>
      <c r="LD29" s="12"/>
      <c r="LE29" s="12"/>
      <c r="LF29" s="12"/>
      <c r="LG29" s="12"/>
      <c r="LH29" s="12"/>
      <c r="LI29" s="12"/>
      <c r="LJ29" s="12"/>
      <c r="LK29" s="12"/>
      <c r="LL29" s="12"/>
      <c r="LM29" s="12"/>
      <c r="LN29" s="12"/>
      <c r="LO29" s="12"/>
      <c r="LP29" s="12"/>
      <c r="LQ29" s="12"/>
      <c r="LR29" s="12"/>
      <c r="LS29" s="12"/>
      <c r="LT29" s="12"/>
      <c r="LU29" s="12"/>
      <c r="LV29" s="12"/>
      <c r="LW29" s="12"/>
      <c r="LX29" s="12"/>
      <c r="LY29" s="12"/>
      <c r="LZ29" s="12"/>
      <c r="MA29" s="12"/>
      <c r="MB29" s="12"/>
      <c r="MC29" s="12"/>
      <c r="MD29" s="12"/>
      <c r="ME29" s="12"/>
      <c r="MF29" s="12"/>
      <c r="MG29" s="12"/>
      <c r="MH29" s="12"/>
      <c r="MI29" s="12"/>
      <c r="MJ29" s="12"/>
      <c r="MK29" s="12"/>
      <c r="ML29" s="12"/>
      <c r="MM29" s="12"/>
      <c r="MN29" s="12"/>
      <c r="MO29" s="12"/>
      <c r="MP29" s="12"/>
      <c r="MQ29" s="12"/>
      <c r="MR29" s="12"/>
      <c r="MS29" s="12"/>
      <c r="MT29" s="12"/>
      <c r="MU29" s="12"/>
      <c r="MV29" s="12"/>
      <c r="MW29" s="12"/>
      <c r="MX29" s="12"/>
      <c r="MY29" s="12"/>
      <c r="MZ29" s="12"/>
      <c r="NA29" s="12"/>
      <c r="NB29" s="12"/>
      <c r="NC29" s="12"/>
      <c r="ND29" s="12"/>
      <c r="NE29" s="12"/>
      <c r="NF29" s="12"/>
      <c r="NG29" s="12"/>
      <c r="NH29" s="12"/>
      <c r="NI29" s="12"/>
      <c r="NJ29" s="12"/>
      <c r="NK29" s="12"/>
      <c r="NL29" s="12"/>
      <c r="NM29" s="12"/>
      <c r="NN29" s="12"/>
      <c r="NO29" s="12"/>
      <c r="NP29" s="12"/>
      <c r="NQ29" s="12"/>
      <c r="NR29" s="12"/>
      <c r="NS29" s="12"/>
      <c r="NT29" s="12"/>
      <c r="NU29" s="12"/>
      <c r="NV29" s="12"/>
      <c r="NW29" s="12"/>
      <c r="NX29" s="12"/>
      <c r="NY29" s="12"/>
      <c r="NZ29" s="12"/>
      <c r="OA29" s="12"/>
      <c r="OB29" s="12"/>
      <c r="OC29" s="12"/>
      <c r="OD29" s="12"/>
      <c r="OE29" s="12"/>
      <c r="OF29" s="12"/>
      <c r="OG29" s="12"/>
      <c r="OH29" s="12"/>
      <c r="OI29" s="12"/>
      <c r="OJ29" s="12"/>
      <c r="OK29" s="12"/>
      <c r="OL29" s="12"/>
      <c r="OM29" s="12"/>
      <c r="ON29" s="12"/>
      <c r="OO29" s="12"/>
      <c r="OP29" s="12"/>
      <c r="OQ29" s="12"/>
      <c r="OR29" s="12"/>
      <c r="OS29" s="12"/>
      <c r="OT29" s="12"/>
      <c r="OU29" s="12"/>
      <c r="OV29" s="12"/>
      <c r="OW29" s="12"/>
      <c r="OX29" s="12"/>
      <c r="OY29" s="12"/>
      <c r="OZ29" s="12"/>
      <c r="PA29" s="12"/>
      <c r="PB29" s="12"/>
      <c r="PC29" s="12"/>
      <c r="PD29" s="12"/>
      <c r="PE29" s="12"/>
      <c r="PF29" s="12"/>
      <c r="PG29" s="12"/>
      <c r="PH29" s="12"/>
      <c r="PI29" s="12"/>
      <c r="PJ29" s="12"/>
      <c r="PK29" s="12"/>
      <c r="PL29" s="12"/>
      <c r="PM29" s="12"/>
      <c r="PN29" s="12"/>
      <c r="PO29" s="12"/>
      <c r="PP29" s="12"/>
      <c r="PQ29" s="12"/>
      <c r="PR29" s="12"/>
      <c r="PS29" s="12"/>
      <c r="PT29" s="12"/>
      <c r="PU29" s="12"/>
      <c r="PV29" s="12"/>
      <c r="PW29" s="12"/>
      <c r="PX29" s="12"/>
      <c r="PY29" s="12"/>
      <c r="PZ29" s="12"/>
      <c r="QA29" s="12"/>
      <c r="QB29" s="12"/>
      <c r="QC29" s="12"/>
      <c r="QD29" s="12"/>
      <c r="QE29" s="12"/>
      <c r="QF29" s="12"/>
      <c r="QG29" s="12"/>
      <c r="QH29" s="12"/>
      <c r="QI29" s="12"/>
      <c r="QJ29" s="12"/>
      <c r="QK29" s="12"/>
      <c r="QL29" s="12"/>
      <c r="QM29" s="12"/>
      <c r="QN29" s="12"/>
      <c r="QO29" s="12"/>
      <c r="QP29" s="12"/>
      <c r="QQ29" s="12"/>
      <c r="QR29" s="12"/>
      <c r="QS29" s="12"/>
      <c r="QT29" s="12"/>
      <c r="QU29" s="12"/>
      <c r="QV29" s="12"/>
      <c r="QW29" s="12"/>
      <c r="QX29" s="12"/>
      <c r="QY29" s="12"/>
      <c r="QZ29" s="12"/>
      <c r="RA29" s="12"/>
      <c r="RB29" s="12"/>
      <c r="RC29" s="12"/>
      <c r="RD29" s="12"/>
      <c r="RE29" s="12"/>
      <c r="RF29" s="12"/>
      <c r="RG29" s="12"/>
      <c r="RH29" s="12"/>
      <c r="RI29" s="12"/>
      <c r="RJ29" s="12"/>
      <c r="RK29" s="12"/>
      <c r="RL29" s="12"/>
      <c r="RM29" s="12"/>
      <c r="RN29" s="12"/>
      <c r="RO29" s="12"/>
      <c r="RP29" s="12"/>
      <c r="RQ29" s="12"/>
      <c r="RR29" s="12"/>
      <c r="RS29" s="12"/>
      <c r="RT29" s="12"/>
      <c r="RU29" s="12"/>
      <c r="RV29" s="12"/>
      <c r="RW29" s="12"/>
      <c r="RX29" s="12"/>
      <c r="RY29" s="12"/>
      <c r="RZ29" s="12"/>
      <c r="SA29" s="12"/>
      <c r="SB29" s="12"/>
      <c r="SC29" s="12"/>
      <c r="SD29" s="12"/>
      <c r="SE29" s="12"/>
      <c r="SF29" s="12"/>
      <c r="SG29" s="12"/>
      <c r="SH29" s="12"/>
      <c r="SI29" s="12"/>
      <c r="SJ29" s="12"/>
      <c r="SK29" s="12"/>
      <c r="SL29" s="12"/>
      <c r="SM29" s="12"/>
      <c r="SN29" s="12"/>
      <c r="SO29" s="12"/>
      <c r="SP29" s="12"/>
      <c r="SQ29" s="12"/>
      <c r="SR29" s="12"/>
      <c r="SS29" s="12"/>
      <c r="ST29" s="12"/>
      <c r="SU29" s="12"/>
      <c r="SV29" s="12"/>
      <c r="SW29" s="12"/>
      <c r="SX29" s="12"/>
      <c r="SY29" s="12"/>
      <c r="SZ29" s="12"/>
      <c r="TA29" s="12"/>
      <c r="TB29" s="12"/>
      <c r="TC29" s="12"/>
      <c r="TD29" s="12"/>
      <c r="TE29" s="12"/>
      <c r="TF29" s="12"/>
      <c r="TG29" s="12"/>
      <c r="TH29" s="12"/>
      <c r="TI29" s="12"/>
      <c r="TJ29" s="12"/>
      <c r="TK29" s="12"/>
      <c r="TL29" s="12"/>
      <c r="TM29" s="12"/>
      <c r="TN29" s="12"/>
      <c r="TO29" s="12"/>
      <c r="TP29" s="12"/>
      <c r="TQ29" s="12"/>
      <c r="TR29" s="12"/>
      <c r="TS29" s="12"/>
      <c r="TT29" s="12"/>
      <c r="TU29" s="12"/>
      <c r="TV29" s="12"/>
      <c r="TW29" s="12"/>
      <c r="TX29" s="12"/>
      <c r="TY29" s="12"/>
      <c r="TZ29" s="12"/>
      <c r="UA29" s="12"/>
      <c r="UB29" s="12"/>
      <c r="UC29" s="12"/>
      <c r="UD29" s="12"/>
      <c r="UE29" s="12"/>
      <c r="UF29" s="12"/>
      <c r="UG29" s="12"/>
      <c r="UH29" s="12"/>
      <c r="UI29" s="12"/>
      <c r="UJ29" s="12"/>
      <c r="UK29" s="12"/>
      <c r="UL29" s="12"/>
      <c r="UM29" s="12"/>
      <c r="UN29" s="12"/>
      <c r="UO29" s="12"/>
      <c r="UP29" s="12"/>
      <c r="UQ29" s="12"/>
      <c r="UR29" s="12"/>
      <c r="US29" s="12"/>
      <c r="UT29" s="12"/>
      <c r="UU29" s="12"/>
      <c r="UV29" s="12"/>
      <c r="UW29" s="12"/>
      <c r="UX29" s="12"/>
      <c r="UY29" s="12"/>
      <c r="UZ29" s="12"/>
      <c r="VA29" s="12"/>
      <c r="VB29" s="12"/>
      <c r="VC29" s="12"/>
      <c r="VD29" s="12"/>
      <c r="VE29" s="12"/>
      <c r="VF29" s="12"/>
      <c r="VG29" s="12"/>
      <c r="VH29" s="12"/>
      <c r="VI29" s="12"/>
      <c r="VJ29" s="12"/>
      <c r="VK29" s="12"/>
      <c r="VL29" s="12"/>
      <c r="VM29" s="12"/>
      <c r="VN29" s="12"/>
      <c r="VO29" s="12"/>
      <c r="VP29" s="12"/>
      <c r="VQ29" s="12"/>
      <c r="VR29" s="12"/>
      <c r="VS29" s="12"/>
      <c r="VT29" s="12"/>
      <c r="VU29" s="12"/>
      <c r="VV29" s="12"/>
      <c r="VW29" s="12"/>
      <c r="VX29" s="12"/>
      <c r="VY29" s="12"/>
      <c r="VZ29" s="12"/>
      <c r="WA29" s="12"/>
      <c r="WB29" s="12"/>
      <c r="WC29" s="12"/>
      <c r="WD29" s="12"/>
      <c r="WE29" s="12"/>
      <c r="WF29" s="12"/>
      <c r="WG29" s="12"/>
      <c r="WH29" s="12"/>
      <c r="WI29" s="12"/>
      <c r="WJ29" s="12"/>
      <c r="WK29" s="12"/>
      <c r="WL29" s="12"/>
      <c r="WM29" s="12"/>
      <c r="WN29" s="12"/>
      <c r="WO29" s="12"/>
      <c r="WP29" s="12"/>
      <c r="WQ29" s="12"/>
      <c r="WR29" s="12"/>
      <c r="WS29" s="12"/>
      <c r="WT29" s="12"/>
      <c r="WU29" s="12"/>
      <c r="WV29" s="12"/>
      <c r="WW29" s="12"/>
      <c r="WX29" s="12"/>
      <c r="WY29" s="12"/>
      <c r="WZ29" s="12"/>
      <c r="XA29" s="12"/>
      <c r="XB29" s="12"/>
      <c r="XC29" s="12"/>
      <c r="XD29" s="12"/>
      <c r="XE29" s="12"/>
      <c r="XF29" s="12"/>
      <c r="XG29" s="12"/>
      <c r="XH29" s="12"/>
      <c r="XI29" s="12"/>
      <c r="XJ29" s="12"/>
      <c r="XK29" s="12"/>
      <c r="XL29" s="12"/>
      <c r="XM29" s="12"/>
      <c r="XN29" s="12"/>
      <c r="XO29" s="12"/>
      <c r="XP29" s="12"/>
      <c r="XQ29" s="12"/>
      <c r="XR29" s="12"/>
      <c r="XS29" s="12"/>
      <c r="XT29" s="12"/>
      <c r="XU29" s="12"/>
      <c r="XV29" s="12"/>
      <c r="XW29" s="12"/>
      <c r="XX29" s="12"/>
      <c r="XY29" s="12"/>
      <c r="XZ29" s="12"/>
      <c r="YA29" s="12"/>
      <c r="YB29" s="12"/>
      <c r="YC29" s="12"/>
      <c r="YD29" s="12"/>
      <c r="YE29" s="12"/>
      <c r="YF29" s="12"/>
      <c r="YG29" s="12"/>
      <c r="YH29" s="12"/>
      <c r="YI29" s="12"/>
      <c r="YJ29" s="12"/>
      <c r="YK29" s="12"/>
      <c r="YL29" s="12"/>
      <c r="YM29" s="12"/>
      <c r="YN29" s="12"/>
      <c r="YO29" s="12"/>
      <c r="YP29" s="12"/>
      <c r="YQ29" s="12"/>
      <c r="YR29" s="12"/>
      <c r="YS29" s="12"/>
      <c r="YT29" s="12"/>
      <c r="YU29" s="12"/>
      <c r="YV29" s="12"/>
      <c r="YW29" s="12"/>
      <c r="YX29" s="12"/>
      <c r="YY29" s="12"/>
      <c r="YZ29" s="12"/>
      <c r="ZA29" s="12"/>
      <c r="ZB29" s="12"/>
      <c r="ZC29" s="12"/>
      <c r="ZD29" s="12"/>
      <c r="ZE29" s="12"/>
      <c r="ZF29" s="12"/>
      <c r="ZG29" s="12"/>
      <c r="ZH29" s="12"/>
      <c r="ZI29" s="12"/>
      <c r="ZJ29" s="12"/>
      <c r="ZK29" s="12"/>
      <c r="ZL29" s="12"/>
      <c r="ZM29" s="12"/>
      <c r="ZN29" s="12"/>
      <c r="ZO29" s="12"/>
      <c r="ZP29" s="12"/>
      <c r="ZQ29" s="12"/>
      <c r="ZR29" s="12"/>
      <c r="ZS29" s="12"/>
      <c r="ZT29" s="12"/>
      <c r="ZU29" s="12"/>
      <c r="ZV29" s="12"/>
      <c r="ZW29" s="12"/>
      <c r="ZX29" s="12"/>
      <c r="ZY29" s="12"/>
      <c r="ZZ29" s="12"/>
      <c r="AAA29" s="12"/>
      <c r="AAB29" s="12"/>
      <c r="AAC29" s="12"/>
      <c r="AAD29" s="12"/>
      <c r="AAE29" s="12"/>
      <c r="AAF29" s="12"/>
      <c r="AAG29" s="12"/>
      <c r="AAH29" s="12"/>
      <c r="AAI29" s="12"/>
      <c r="AAJ29" s="12"/>
      <c r="AAK29" s="12"/>
      <c r="AAL29" s="12"/>
      <c r="AAM29" s="12"/>
      <c r="AAN29" s="12"/>
      <c r="AAO29" s="12"/>
      <c r="AAP29" s="12"/>
      <c r="AAQ29" s="12"/>
      <c r="AAR29" s="12"/>
      <c r="AAS29" s="12"/>
      <c r="AAT29" s="12"/>
      <c r="AAU29" s="12"/>
      <c r="AAV29" s="12"/>
      <c r="AAW29" s="12"/>
      <c r="AAX29" s="12"/>
      <c r="AAY29" s="12"/>
      <c r="AAZ29" s="12"/>
      <c r="ABA29" s="12"/>
      <c r="ABB29" s="12"/>
      <c r="ABC29" s="12"/>
      <c r="ABD29" s="12"/>
      <c r="ABE29" s="12"/>
      <c r="ABF29" s="12"/>
      <c r="ABG29" s="12"/>
      <c r="ABH29" s="12"/>
      <c r="ABI29" s="12"/>
      <c r="ABJ29" s="12"/>
      <c r="ABK29" s="12"/>
      <c r="ABL29" s="12"/>
      <c r="ABM29" s="12"/>
      <c r="ABN29" s="12"/>
      <c r="ABO29" s="12"/>
      <c r="ABP29" s="12"/>
      <c r="ABQ29" s="12"/>
      <c r="ABR29" s="12"/>
      <c r="ABS29" s="12"/>
      <c r="ABT29" s="12"/>
      <c r="ABU29" s="12"/>
      <c r="ABV29" s="12"/>
      <c r="ABW29" s="12"/>
      <c r="ABX29" s="12"/>
      <c r="ABY29" s="12"/>
      <c r="ABZ29" s="12"/>
      <c r="ACA29" s="12"/>
      <c r="ACB29" s="12"/>
      <c r="ACC29" s="12"/>
      <c r="ACD29" s="12"/>
      <c r="ACE29" s="12"/>
      <c r="ACF29" s="12"/>
      <c r="ACG29" s="12"/>
      <c r="ACH29" s="12"/>
      <c r="ACI29" s="12"/>
      <c r="ACJ29" s="12"/>
      <c r="ACK29" s="12"/>
      <c r="ACL29" s="12"/>
      <c r="ACM29" s="12"/>
      <c r="ACN29" s="12"/>
      <c r="ACO29" s="12"/>
      <c r="ACP29" s="12"/>
      <c r="ACQ29" s="12"/>
      <c r="ACR29" s="12"/>
      <c r="ACS29" s="12"/>
      <c r="ACT29" s="12"/>
      <c r="ACU29" s="12"/>
      <c r="ACV29" s="12"/>
      <c r="ACW29" s="12"/>
      <c r="ACX29" s="12"/>
      <c r="ACY29" s="12"/>
      <c r="ACZ29" s="12"/>
      <c r="ADA29" s="12"/>
      <c r="ADB29" s="12"/>
      <c r="ADC29" s="12"/>
      <c r="ADD29" s="12"/>
      <c r="ADE29" s="12"/>
      <c r="ADF29" s="12"/>
      <c r="ADG29" s="12"/>
      <c r="ADH29" s="12"/>
      <c r="ADI29" s="12"/>
      <c r="ADJ29" s="12"/>
      <c r="ADK29" s="12"/>
      <c r="ADL29" s="12"/>
      <c r="ADM29" s="12"/>
      <c r="ADN29" s="12"/>
      <c r="ADO29" s="12"/>
      <c r="ADP29" s="12"/>
      <c r="ADQ29" s="12"/>
      <c r="ADR29" s="12"/>
      <c r="ADS29" s="12"/>
      <c r="ADT29" s="12"/>
      <c r="ADU29" s="12"/>
      <c r="ADV29" s="12"/>
      <c r="ADW29" s="12"/>
      <c r="ADX29" s="12"/>
      <c r="ADY29" s="12"/>
      <c r="ADZ29" s="12"/>
      <c r="AEA29" s="12"/>
      <c r="AEB29" s="12"/>
      <c r="AEC29" s="12"/>
      <c r="AED29" s="12"/>
      <c r="AEE29" s="12"/>
      <c r="AEF29" s="12"/>
      <c r="AEG29" s="12"/>
      <c r="AEH29" s="12"/>
      <c r="AEI29" s="12"/>
      <c r="AEJ29" s="12"/>
      <c r="AEK29" s="12"/>
      <c r="AEL29" s="12"/>
      <c r="AEM29" s="12"/>
      <c r="AEN29" s="12"/>
      <c r="AEO29" s="12"/>
      <c r="AEP29" s="12"/>
      <c r="AEQ29" s="12"/>
      <c r="AER29" s="12"/>
      <c r="AES29" s="12"/>
      <c r="AET29" s="12"/>
      <c r="AEU29" s="12"/>
      <c r="AEV29" s="12"/>
    </row>
    <row r="30" spans="1:828" s="13" customFormat="1" ht="18" x14ac:dyDescent="0.2">
      <c r="A30" s="14"/>
      <c r="B30" s="16"/>
      <c r="C30" s="16"/>
      <c r="D30" s="11"/>
      <c r="E30" s="16"/>
      <c r="F30" s="16"/>
      <c r="H30" s="15"/>
      <c r="I30" s="16"/>
      <c r="J30" s="11"/>
      <c r="K30" s="15"/>
      <c r="L30" s="16"/>
      <c r="M30" s="11"/>
      <c r="N30" s="12"/>
      <c r="O30" s="12"/>
      <c r="P30"/>
      <c r="Q30"/>
      <c r="R30"/>
      <c r="S30"/>
      <c r="T30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2"/>
      <c r="FJ30" s="12"/>
      <c r="FK30" s="12"/>
      <c r="FL30" s="12"/>
      <c r="FM30" s="12"/>
      <c r="FN30" s="12"/>
      <c r="FO30" s="12"/>
      <c r="FP30" s="12"/>
      <c r="FQ30" s="12"/>
      <c r="FR30" s="12"/>
      <c r="FS30" s="12"/>
      <c r="FT30" s="12"/>
      <c r="FU30" s="12"/>
      <c r="FV30" s="12"/>
      <c r="FW30" s="12"/>
      <c r="FX30" s="12"/>
      <c r="FY30" s="12"/>
      <c r="FZ30" s="12"/>
      <c r="GA30" s="12"/>
      <c r="GB30" s="12"/>
      <c r="GC30" s="12"/>
      <c r="GD30" s="12"/>
      <c r="GE30" s="12"/>
      <c r="GF30" s="12"/>
      <c r="GG30" s="12"/>
      <c r="GH30" s="12"/>
      <c r="GI30" s="12"/>
      <c r="GJ30" s="12"/>
      <c r="GK30" s="12"/>
      <c r="GL30" s="12"/>
      <c r="GM30" s="12"/>
      <c r="GN30" s="12"/>
      <c r="GO30" s="12"/>
      <c r="GP30" s="12"/>
      <c r="GQ30" s="12"/>
      <c r="GR30" s="12"/>
      <c r="GS30" s="12"/>
      <c r="GT30" s="12"/>
      <c r="GU30" s="12"/>
      <c r="GV30" s="12"/>
      <c r="GW30" s="12"/>
      <c r="GX30" s="12"/>
      <c r="GY30" s="12"/>
      <c r="GZ30" s="12"/>
      <c r="HA30" s="12"/>
      <c r="HB30" s="12"/>
      <c r="HC30" s="12"/>
      <c r="HD30" s="12"/>
      <c r="HE30" s="12"/>
      <c r="HF30" s="12"/>
      <c r="HG30" s="12"/>
      <c r="HH30" s="12"/>
      <c r="HI30" s="12"/>
      <c r="HJ30" s="12"/>
      <c r="HK30" s="12"/>
      <c r="HL30" s="12"/>
      <c r="HM30" s="12"/>
      <c r="HN30" s="12"/>
      <c r="HO30" s="12"/>
      <c r="HP30" s="12"/>
      <c r="HQ30" s="12"/>
      <c r="HR30" s="12"/>
      <c r="HS30" s="12"/>
      <c r="HT30" s="12"/>
      <c r="HU30" s="12"/>
      <c r="HV30" s="12"/>
      <c r="HW30" s="12"/>
      <c r="HX30" s="12"/>
      <c r="HY30" s="12"/>
      <c r="HZ30" s="12"/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  <c r="IL30" s="12"/>
      <c r="IM30" s="12"/>
      <c r="IN30" s="12"/>
      <c r="IO30" s="12"/>
      <c r="IP30" s="12"/>
      <c r="IQ30" s="12"/>
      <c r="IR30" s="12"/>
      <c r="IS30" s="12"/>
      <c r="IT30" s="12"/>
      <c r="IU30" s="12"/>
      <c r="IV30" s="12"/>
      <c r="IW30" s="12"/>
      <c r="IX30" s="12"/>
      <c r="IY30" s="12"/>
      <c r="IZ30" s="12"/>
      <c r="JA30" s="12"/>
      <c r="JB30" s="12"/>
      <c r="JC30" s="12"/>
      <c r="JD30" s="12"/>
      <c r="JE30" s="12"/>
      <c r="JF30" s="12"/>
      <c r="JG30" s="12"/>
      <c r="JH30" s="12"/>
      <c r="JI30" s="12"/>
      <c r="JJ30" s="12"/>
      <c r="JK30" s="12"/>
      <c r="JL30" s="12"/>
      <c r="JM30" s="12"/>
      <c r="JN30" s="12"/>
      <c r="JO30" s="12"/>
      <c r="JP30" s="12"/>
      <c r="JQ30" s="12"/>
      <c r="JR30" s="12"/>
      <c r="JS30" s="12"/>
      <c r="JT30" s="12"/>
      <c r="JU30" s="12"/>
      <c r="JV30" s="12"/>
      <c r="JW30" s="12"/>
      <c r="JX30" s="12"/>
      <c r="JY30" s="12"/>
      <c r="JZ30" s="12"/>
      <c r="KA30" s="12"/>
      <c r="KB30" s="12"/>
      <c r="KC30" s="12"/>
      <c r="KD30" s="12"/>
      <c r="KE30" s="12"/>
      <c r="KF30" s="12"/>
      <c r="KG30" s="12"/>
      <c r="KH30" s="12"/>
      <c r="KI30" s="12"/>
      <c r="KJ30" s="12"/>
      <c r="KK30" s="12"/>
      <c r="KL30" s="12"/>
      <c r="KM30" s="12"/>
      <c r="KN30" s="12"/>
      <c r="KO30" s="12"/>
      <c r="KP30" s="12"/>
      <c r="KQ30" s="12"/>
      <c r="KR30" s="12"/>
      <c r="KS30" s="12"/>
      <c r="KT30" s="12"/>
      <c r="KU30" s="12"/>
      <c r="KV30" s="12"/>
      <c r="KW30" s="12"/>
      <c r="KX30" s="12"/>
      <c r="KY30" s="12"/>
      <c r="KZ30" s="12"/>
      <c r="LA30" s="12"/>
      <c r="LB30" s="12"/>
      <c r="LC30" s="12"/>
      <c r="LD30" s="12"/>
      <c r="LE30" s="12"/>
      <c r="LF30" s="12"/>
      <c r="LG30" s="12"/>
      <c r="LH30" s="12"/>
      <c r="LI30" s="12"/>
      <c r="LJ30" s="12"/>
      <c r="LK30" s="12"/>
      <c r="LL30" s="12"/>
      <c r="LM30" s="12"/>
      <c r="LN30" s="12"/>
      <c r="LO30" s="12"/>
      <c r="LP30" s="12"/>
      <c r="LQ30" s="12"/>
      <c r="LR30" s="12"/>
      <c r="LS30" s="12"/>
      <c r="LT30" s="12"/>
      <c r="LU30" s="12"/>
      <c r="LV30" s="12"/>
      <c r="LW30" s="12"/>
      <c r="LX30" s="12"/>
      <c r="LY30" s="12"/>
      <c r="LZ30" s="12"/>
      <c r="MA30" s="12"/>
      <c r="MB30" s="12"/>
      <c r="MC30" s="12"/>
      <c r="MD30" s="12"/>
      <c r="ME30" s="12"/>
      <c r="MF30" s="12"/>
      <c r="MG30" s="12"/>
      <c r="MH30" s="12"/>
      <c r="MI30" s="12"/>
      <c r="MJ30" s="12"/>
      <c r="MK30" s="12"/>
      <c r="ML30" s="12"/>
      <c r="MM30" s="12"/>
      <c r="MN30" s="12"/>
      <c r="MO30" s="12"/>
      <c r="MP30" s="12"/>
      <c r="MQ30" s="12"/>
      <c r="MR30" s="12"/>
      <c r="MS30" s="12"/>
      <c r="MT30" s="12"/>
      <c r="MU30" s="12"/>
      <c r="MV30" s="12"/>
      <c r="MW30" s="12"/>
      <c r="MX30" s="12"/>
      <c r="MY30" s="12"/>
      <c r="MZ30" s="12"/>
      <c r="NA30" s="12"/>
      <c r="NB30" s="12"/>
      <c r="NC30" s="12"/>
      <c r="ND30" s="12"/>
      <c r="NE30" s="12"/>
      <c r="NF30" s="12"/>
      <c r="NG30" s="12"/>
      <c r="NH30" s="12"/>
      <c r="NI30" s="12"/>
      <c r="NJ30" s="12"/>
      <c r="NK30" s="12"/>
      <c r="NL30" s="12"/>
      <c r="NM30" s="12"/>
      <c r="NN30" s="12"/>
      <c r="NO30" s="12"/>
      <c r="NP30" s="12"/>
      <c r="NQ30" s="12"/>
      <c r="NR30" s="12"/>
      <c r="NS30" s="12"/>
      <c r="NT30" s="12"/>
      <c r="NU30" s="12"/>
      <c r="NV30" s="12"/>
      <c r="NW30" s="12"/>
      <c r="NX30" s="12"/>
      <c r="NY30" s="12"/>
      <c r="NZ30" s="12"/>
      <c r="OA30" s="12"/>
      <c r="OB30" s="12"/>
      <c r="OC30" s="12"/>
      <c r="OD30" s="12"/>
      <c r="OE30" s="12"/>
      <c r="OF30" s="12"/>
      <c r="OG30" s="12"/>
      <c r="OH30" s="12"/>
      <c r="OI30" s="12"/>
      <c r="OJ30" s="12"/>
      <c r="OK30" s="12"/>
      <c r="OL30" s="12"/>
      <c r="OM30" s="12"/>
      <c r="ON30" s="12"/>
      <c r="OO30" s="12"/>
      <c r="OP30" s="12"/>
      <c r="OQ30" s="12"/>
      <c r="OR30" s="12"/>
      <c r="OS30" s="12"/>
      <c r="OT30" s="12"/>
      <c r="OU30" s="12"/>
      <c r="OV30" s="12"/>
      <c r="OW30" s="12"/>
      <c r="OX30" s="12"/>
      <c r="OY30" s="12"/>
      <c r="OZ30" s="12"/>
      <c r="PA30" s="12"/>
      <c r="PB30" s="12"/>
      <c r="PC30" s="12"/>
      <c r="PD30" s="12"/>
      <c r="PE30" s="12"/>
      <c r="PF30" s="12"/>
      <c r="PG30" s="12"/>
      <c r="PH30" s="12"/>
      <c r="PI30" s="12"/>
      <c r="PJ30" s="12"/>
      <c r="PK30" s="12"/>
      <c r="PL30" s="12"/>
      <c r="PM30" s="12"/>
      <c r="PN30" s="12"/>
      <c r="PO30" s="12"/>
      <c r="PP30" s="12"/>
      <c r="PQ30" s="12"/>
      <c r="PR30" s="12"/>
      <c r="PS30" s="12"/>
      <c r="PT30" s="12"/>
      <c r="PU30" s="12"/>
      <c r="PV30" s="12"/>
      <c r="PW30" s="12"/>
      <c r="PX30" s="12"/>
      <c r="PY30" s="12"/>
      <c r="PZ30" s="12"/>
      <c r="QA30" s="12"/>
      <c r="QB30" s="12"/>
      <c r="QC30" s="12"/>
      <c r="QD30" s="12"/>
      <c r="QE30" s="12"/>
      <c r="QF30" s="12"/>
      <c r="QG30" s="12"/>
      <c r="QH30" s="12"/>
      <c r="QI30" s="12"/>
      <c r="QJ30" s="12"/>
      <c r="QK30" s="12"/>
      <c r="QL30" s="12"/>
      <c r="QM30" s="12"/>
      <c r="QN30" s="12"/>
      <c r="QO30" s="12"/>
      <c r="QP30" s="12"/>
      <c r="QQ30" s="12"/>
      <c r="QR30" s="12"/>
      <c r="QS30" s="12"/>
      <c r="QT30" s="12"/>
      <c r="QU30" s="12"/>
      <c r="QV30" s="12"/>
      <c r="QW30" s="12"/>
      <c r="QX30" s="12"/>
      <c r="QY30" s="12"/>
      <c r="QZ30" s="12"/>
      <c r="RA30" s="12"/>
      <c r="RB30" s="12"/>
      <c r="RC30" s="12"/>
      <c r="RD30" s="12"/>
      <c r="RE30" s="12"/>
      <c r="RF30" s="12"/>
      <c r="RG30" s="12"/>
      <c r="RH30" s="12"/>
      <c r="RI30" s="12"/>
      <c r="RJ30" s="12"/>
      <c r="RK30" s="12"/>
      <c r="RL30" s="12"/>
      <c r="RM30" s="12"/>
      <c r="RN30" s="12"/>
      <c r="RO30" s="12"/>
      <c r="RP30" s="12"/>
      <c r="RQ30" s="12"/>
      <c r="RR30" s="12"/>
      <c r="RS30" s="12"/>
      <c r="RT30" s="12"/>
      <c r="RU30" s="12"/>
      <c r="RV30" s="12"/>
      <c r="RW30" s="12"/>
      <c r="RX30" s="12"/>
      <c r="RY30" s="12"/>
      <c r="RZ30" s="12"/>
      <c r="SA30" s="12"/>
      <c r="SB30" s="12"/>
      <c r="SC30" s="12"/>
      <c r="SD30" s="12"/>
      <c r="SE30" s="12"/>
      <c r="SF30" s="12"/>
      <c r="SG30" s="12"/>
      <c r="SH30" s="12"/>
      <c r="SI30" s="12"/>
      <c r="SJ30" s="12"/>
      <c r="SK30" s="12"/>
      <c r="SL30" s="12"/>
      <c r="SM30" s="12"/>
      <c r="SN30" s="12"/>
      <c r="SO30" s="12"/>
      <c r="SP30" s="12"/>
      <c r="SQ30" s="12"/>
      <c r="SR30" s="12"/>
      <c r="SS30" s="12"/>
      <c r="ST30" s="12"/>
      <c r="SU30" s="12"/>
      <c r="SV30" s="12"/>
      <c r="SW30" s="12"/>
      <c r="SX30" s="12"/>
      <c r="SY30" s="12"/>
      <c r="SZ30" s="12"/>
      <c r="TA30" s="12"/>
      <c r="TB30" s="12"/>
      <c r="TC30" s="12"/>
      <c r="TD30" s="12"/>
      <c r="TE30" s="12"/>
      <c r="TF30" s="12"/>
      <c r="TG30" s="12"/>
      <c r="TH30" s="12"/>
      <c r="TI30" s="12"/>
      <c r="TJ30" s="12"/>
      <c r="TK30" s="12"/>
      <c r="TL30" s="12"/>
      <c r="TM30" s="12"/>
      <c r="TN30" s="12"/>
      <c r="TO30" s="12"/>
      <c r="TP30" s="12"/>
      <c r="TQ30" s="12"/>
      <c r="TR30" s="12"/>
      <c r="TS30" s="12"/>
      <c r="TT30" s="12"/>
      <c r="TU30" s="12"/>
      <c r="TV30" s="12"/>
      <c r="TW30" s="12"/>
      <c r="TX30" s="12"/>
      <c r="TY30" s="12"/>
      <c r="TZ30" s="12"/>
      <c r="UA30" s="12"/>
      <c r="UB30" s="12"/>
      <c r="UC30" s="12"/>
      <c r="UD30" s="12"/>
      <c r="UE30" s="12"/>
      <c r="UF30" s="12"/>
      <c r="UG30" s="12"/>
      <c r="UH30" s="12"/>
      <c r="UI30" s="12"/>
      <c r="UJ30" s="12"/>
      <c r="UK30" s="12"/>
      <c r="UL30" s="12"/>
      <c r="UM30" s="12"/>
      <c r="UN30" s="12"/>
      <c r="UO30" s="12"/>
      <c r="UP30" s="12"/>
      <c r="UQ30" s="12"/>
      <c r="UR30" s="12"/>
      <c r="US30" s="12"/>
      <c r="UT30" s="12"/>
      <c r="UU30" s="12"/>
      <c r="UV30" s="12"/>
      <c r="UW30" s="12"/>
      <c r="UX30" s="12"/>
      <c r="UY30" s="12"/>
      <c r="UZ30" s="12"/>
      <c r="VA30" s="12"/>
      <c r="VB30" s="12"/>
      <c r="VC30" s="12"/>
      <c r="VD30" s="12"/>
      <c r="VE30" s="12"/>
      <c r="VF30" s="12"/>
      <c r="VG30" s="12"/>
      <c r="VH30" s="12"/>
      <c r="VI30" s="12"/>
      <c r="VJ30" s="12"/>
      <c r="VK30" s="12"/>
      <c r="VL30" s="12"/>
      <c r="VM30" s="12"/>
      <c r="VN30" s="12"/>
      <c r="VO30" s="12"/>
      <c r="VP30" s="12"/>
      <c r="VQ30" s="12"/>
      <c r="VR30" s="12"/>
      <c r="VS30" s="12"/>
      <c r="VT30" s="12"/>
      <c r="VU30" s="12"/>
      <c r="VV30" s="12"/>
      <c r="VW30" s="12"/>
      <c r="VX30" s="12"/>
      <c r="VY30" s="12"/>
      <c r="VZ30" s="12"/>
      <c r="WA30" s="12"/>
      <c r="WB30" s="12"/>
      <c r="WC30" s="12"/>
      <c r="WD30" s="12"/>
      <c r="WE30" s="12"/>
      <c r="WF30" s="12"/>
      <c r="WG30" s="12"/>
      <c r="WH30" s="12"/>
      <c r="WI30" s="12"/>
      <c r="WJ30" s="12"/>
      <c r="WK30" s="12"/>
      <c r="WL30" s="12"/>
      <c r="WM30" s="12"/>
      <c r="WN30" s="12"/>
      <c r="WO30" s="12"/>
      <c r="WP30" s="12"/>
      <c r="WQ30" s="12"/>
      <c r="WR30" s="12"/>
      <c r="WS30" s="12"/>
      <c r="WT30" s="12"/>
      <c r="WU30" s="12"/>
      <c r="WV30" s="12"/>
      <c r="WW30" s="12"/>
      <c r="WX30" s="12"/>
      <c r="WY30" s="12"/>
      <c r="WZ30" s="12"/>
      <c r="XA30" s="12"/>
      <c r="XB30" s="12"/>
      <c r="XC30" s="12"/>
      <c r="XD30" s="12"/>
      <c r="XE30" s="12"/>
      <c r="XF30" s="12"/>
      <c r="XG30" s="12"/>
      <c r="XH30" s="12"/>
      <c r="XI30" s="12"/>
      <c r="XJ30" s="12"/>
      <c r="XK30" s="12"/>
      <c r="XL30" s="12"/>
      <c r="XM30" s="12"/>
      <c r="XN30" s="12"/>
      <c r="XO30" s="12"/>
      <c r="XP30" s="12"/>
      <c r="XQ30" s="12"/>
      <c r="XR30" s="12"/>
      <c r="XS30" s="12"/>
      <c r="XT30" s="12"/>
      <c r="XU30" s="12"/>
      <c r="XV30" s="12"/>
      <c r="XW30" s="12"/>
      <c r="XX30" s="12"/>
      <c r="XY30" s="12"/>
      <c r="XZ30" s="12"/>
      <c r="YA30" s="12"/>
      <c r="YB30" s="12"/>
      <c r="YC30" s="12"/>
      <c r="YD30" s="12"/>
      <c r="YE30" s="12"/>
      <c r="YF30" s="12"/>
      <c r="YG30" s="12"/>
      <c r="YH30" s="12"/>
      <c r="YI30" s="12"/>
      <c r="YJ30" s="12"/>
      <c r="YK30" s="12"/>
      <c r="YL30" s="12"/>
      <c r="YM30" s="12"/>
      <c r="YN30" s="12"/>
      <c r="YO30" s="12"/>
      <c r="YP30" s="12"/>
      <c r="YQ30" s="12"/>
      <c r="YR30" s="12"/>
      <c r="YS30" s="12"/>
      <c r="YT30" s="12"/>
      <c r="YU30" s="12"/>
      <c r="YV30" s="12"/>
      <c r="YW30" s="12"/>
      <c r="YX30" s="12"/>
      <c r="YY30" s="12"/>
      <c r="YZ30" s="12"/>
      <c r="ZA30" s="12"/>
      <c r="ZB30" s="12"/>
      <c r="ZC30" s="12"/>
      <c r="ZD30" s="12"/>
      <c r="ZE30" s="12"/>
      <c r="ZF30" s="12"/>
      <c r="ZG30" s="12"/>
      <c r="ZH30" s="12"/>
      <c r="ZI30" s="12"/>
      <c r="ZJ30" s="12"/>
      <c r="ZK30" s="12"/>
      <c r="ZL30" s="12"/>
      <c r="ZM30" s="12"/>
      <c r="ZN30" s="12"/>
      <c r="ZO30" s="12"/>
      <c r="ZP30" s="12"/>
      <c r="ZQ30" s="12"/>
      <c r="ZR30" s="12"/>
      <c r="ZS30" s="12"/>
      <c r="ZT30" s="12"/>
      <c r="ZU30" s="12"/>
      <c r="ZV30" s="12"/>
      <c r="ZW30" s="12"/>
      <c r="ZX30" s="12"/>
      <c r="ZY30" s="12"/>
      <c r="ZZ30" s="12"/>
      <c r="AAA30" s="12"/>
      <c r="AAB30" s="12"/>
      <c r="AAC30" s="12"/>
      <c r="AAD30" s="12"/>
      <c r="AAE30" s="12"/>
      <c r="AAF30" s="12"/>
      <c r="AAG30" s="12"/>
      <c r="AAH30" s="12"/>
      <c r="AAI30" s="12"/>
      <c r="AAJ30" s="12"/>
      <c r="AAK30" s="12"/>
      <c r="AAL30" s="12"/>
      <c r="AAM30" s="12"/>
      <c r="AAN30" s="12"/>
      <c r="AAO30" s="12"/>
      <c r="AAP30" s="12"/>
      <c r="AAQ30" s="12"/>
      <c r="AAR30" s="12"/>
      <c r="AAS30" s="12"/>
      <c r="AAT30" s="12"/>
      <c r="AAU30" s="12"/>
      <c r="AAV30" s="12"/>
      <c r="AAW30" s="12"/>
      <c r="AAX30" s="12"/>
      <c r="AAY30" s="12"/>
      <c r="AAZ30" s="12"/>
      <c r="ABA30" s="12"/>
      <c r="ABB30" s="12"/>
      <c r="ABC30" s="12"/>
      <c r="ABD30" s="12"/>
      <c r="ABE30" s="12"/>
      <c r="ABF30" s="12"/>
      <c r="ABG30" s="12"/>
      <c r="ABH30" s="12"/>
      <c r="ABI30" s="12"/>
      <c r="ABJ30" s="12"/>
      <c r="ABK30" s="12"/>
      <c r="ABL30" s="12"/>
      <c r="ABM30" s="12"/>
      <c r="ABN30" s="12"/>
      <c r="ABO30" s="12"/>
      <c r="ABP30" s="12"/>
      <c r="ABQ30" s="12"/>
      <c r="ABR30" s="12"/>
      <c r="ABS30" s="12"/>
      <c r="ABT30" s="12"/>
      <c r="ABU30" s="12"/>
      <c r="ABV30" s="12"/>
      <c r="ABW30" s="12"/>
      <c r="ABX30" s="12"/>
      <c r="ABY30" s="12"/>
      <c r="ABZ30" s="12"/>
      <c r="ACA30" s="12"/>
      <c r="ACB30" s="12"/>
      <c r="ACC30" s="12"/>
      <c r="ACD30" s="12"/>
      <c r="ACE30" s="12"/>
      <c r="ACF30" s="12"/>
      <c r="ACG30" s="12"/>
      <c r="ACH30" s="12"/>
      <c r="ACI30" s="12"/>
      <c r="ACJ30" s="12"/>
      <c r="ACK30" s="12"/>
      <c r="ACL30" s="12"/>
      <c r="ACM30" s="12"/>
      <c r="ACN30" s="12"/>
      <c r="ACO30" s="12"/>
      <c r="ACP30" s="12"/>
      <c r="ACQ30" s="12"/>
      <c r="ACR30" s="12"/>
      <c r="ACS30" s="12"/>
      <c r="ACT30" s="12"/>
      <c r="ACU30" s="12"/>
      <c r="ACV30" s="12"/>
      <c r="ACW30" s="12"/>
      <c r="ACX30" s="12"/>
      <c r="ACY30" s="12"/>
      <c r="ACZ30" s="12"/>
      <c r="ADA30" s="12"/>
      <c r="ADB30" s="12"/>
      <c r="ADC30" s="12"/>
      <c r="ADD30" s="12"/>
      <c r="ADE30" s="12"/>
      <c r="ADF30" s="12"/>
      <c r="ADG30" s="12"/>
      <c r="ADH30" s="12"/>
      <c r="ADI30" s="12"/>
      <c r="ADJ30" s="12"/>
      <c r="ADK30" s="12"/>
      <c r="ADL30" s="12"/>
      <c r="ADM30" s="12"/>
      <c r="ADN30" s="12"/>
      <c r="ADO30" s="12"/>
      <c r="ADP30" s="12"/>
      <c r="ADQ30" s="12"/>
      <c r="ADR30" s="12"/>
      <c r="ADS30" s="12"/>
      <c r="ADT30" s="12"/>
      <c r="ADU30" s="12"/>
      <c r="ADV30" s="12"/>
      <c r="ADW30" s="12"/>
      <c r="ADX30" s="12"/>
      <c r="ADY30" s="12"/>
      <c r="ADZ30" s="12"/>
      <c r="AEA30" s="12"/>
      <c r="AEB30" s="12"/>
      <c r="AEC30" s="12"/>
      <c r="AED30" s="12"/>
      <c r="AEE30" s="12"/>
      <c r="AEF30" s="12"/>
      <c r="AEG30" s="12"/>
      <c r="AEH30" s="12"/>
      <c r="AEI30" s="12"/>
      <c r="AEJ30" s="12"/>
      <c r="AEK30" s="12"/>
      <c r="AEL30" s="12"/>
      <c r="AEM30" s="12"/>
      <c r="AEN30" s="12"/>
      <c r="AEO30" s="12"/>
      <c r="AEP30" s="12"/>
      <c r="AEQ30" s="12"/>
      <c r="AER30" s="12"/>
      <c r="AES30" s="12"/>
      <c r="AET30" s="12"/>
      <c r="AEU30" s="12"/>
      <c r="AEV30" s="12"/>
    </row>
    <row r="31" spans="1:828" s="13" customFormat="1" ht="18" x14ac:dyDescent="0.2">
      <c r="A31" s="14"/>
      <c r="B31" s="16"/>
      <c r="C31" s="16"/>
      <c r="D31" s="11"/>
      <c r="E31" s="16"/>
      <c r="F31" s="16"/>
      <c r="H31" s="15"/>
      <c r="I31" s="16"/>
      <c r="J31" s="11"/>
      <c r="K31" s="15"/>
      <c r="L31" s="16"/>
      <c r="M31" s="11"/>
      <c r="N31" s="12"/>
      <c r="O31" s="12"/>
      <c r="P31"/>
      <c r="Q31"/>
      <c r="R31"/>
      <c r="S31"/>
      <c r="T31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2"/>
      <c r="FJ31" s="12"/>
      <c r="FK31" s="12"/>
      <c r="FL31" s="12"/>
      <c r="FM31" s="12"/>
      <c r="FN31" s="12"/>
      <c r="FO31" s="12"/>
      <c r="FP31" s="12"/>
      <c r="FQ31" s="12"/>
      <c r="FR31" s="12"/>
      <c r="FS31" s="12"/>
      <c r="FT31" s="12"/>
      <c r="FU31" s="12"/>
      <c r="FV31" s="12"/>
      <c r="FW31" s="12"/>
      <c r="FX31" s="12"/>
      <c r="FY31" s="12"/>
      <c r="FZ31" s="12"/>
      <c r="GA31" s="12"/>
      <c r="GB31" s="12"/>
      <c r="GC31" s="12"/>
      <c r="GD31" s="12"/>
      <c r="GE31" s="12"/>
      <c r="GF31" s="12"/>
      <c r="GG31" s="12"/>
      <c r="GH31" s="12"/>
      <c r="GI31" s="12"/>
      <c r="GJ31" s="12"/>
      <c r="GK31" s="12"/>
      <c r="GL31" s="12"/>
      <c r="GM31" s="12"/>
      <c r="GN31" s="12"/>
      <c r="GO31" s="12"/>
      <c r="GP31" s="12"/>
      <c r="GQ31" s="12"/>
      <c r="GR31" s="12"/>
      <c r="GS31" s="12"/>
      <c r="GT31" s="12"/>
      <c r="GU31" s="12"/>
      <c r="GV31" s="12"/>
      <c r="GW31" s="12"/>
      <c r="GX31" s="12"/>
      <c r="GY31" s="12"/>
      <c r="GZ31" s="12"/>
      <c r="HA31" s="12"/>
      <c r="HB31" s="12"/>
      <c r="HC31" s="12"/>
      <c r="HD31" s="12"/>
      <c r="HE31" s="12"/>
      <c r="HF31" s="12"/>
      <c r="HG31" s="12"/>
      <c r="HH31" s="12"/>
      <c r="HI31" s="12"/>
      <c r="HJ31" s="12"/>
      <c r="HK31" s="12"/>
      <c r="HL31" s="12"/>
      <c r="HM31" s="12"/>
      <c r="HN31" s="12"/>
      <c r="HO31" s="12"/>
      <c r="HP31" s="12"/>
      <c r="HQ31" s="12"/>
      <c r="HR31" s="12"/>
      <c r="HS31" s="12"/>
      <c r="HT31" s="12"/>
      <c r="HU31" s="12"/>
      <c r="HV31" s="12"/>
      <c r="HW31" s="12"/>
      <c r="HX31" s="12"/>
      <c r="HY31" s="12"/>
      <c r="HZ31" s="12"/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  <c r="IL31" s="12"/>
      <c r="IM31" s="12"/>
      <c r="IN31" s="12"/>
      <c r="IO31" s="12"/>
      <c r="IP31" s="12"/>
      <c r="IQ31" s="12"/>
      <c r="IR31" s="12"/>
      <c r="IS31" s="12"/>
      <c r="IT31" s="12"/>
      <c r="IU31" s="12"/>
      <c r="IV31" s="12"/>
      <c r="IW31" s="12"/>
      <c r="IX31" s="12"/>
      <c r="IY31" s="12"/>
      <c r="IZ31" s="12"/>
      <c r="JA31" s="12"/>
      <c r="JB31" s="12"/>
      <c r="JC31" s="12"/>
      <c r="JD31" s="12"/>
      <c r="JE31" s="12"/>
      <c r="JF31" s="12"/>
      <c r="JG31" s="12"/>
      <c r="JH31" s="12"/>
      <c r="JI31" s="12"/>
      <c r="JJ31" s="12"/>
      <c r="JK31" s="12"/>
      <c r="JL31" s="12"/>
      <c r="JM31" s="12"/>
      <c r="JN31" s="12"/>
      <c r="JO31" s="12"/>
      <c r="JP31" s="12"/>
      <c r="JQ31" s="12"/>
      <c r="JR31" s="12"/>
      <c r="JS31" s="12"/>
      <c r="JT31" s="12"/>
      <c r="JU31" s="12"/>
      <c r="JV31" s="12"/>
      <c r="JW31" s="12"/>
      <c r="JX31" s="12"/>
      <c r="JY31" s="12"/>
      <c r="JZ31" s="12"/>
      <c r="KA31" s="12"/>
      <c r="KB31" s="12"/>
      <c r="KC31" s="12"/>
      <c r="KD31" s="12"/>
      <c r="KE31" s="12"/>
      <c r="KF31" s="12"/>
      <c r="KG31" s="12"/>
      <c r="KH31" s="12"/>
      <c r="KI31" s="12"/>
      <c r="KJ31" s="12"/>
      <c r="KK31" s="12"/>
      <c r="KL31" s="12"/>
      <c r="KM31" s="12"/>
      <c r="KN31" s="12"/>
      <c r="KO31" s="12"/>
      <c r="KP31" s="12"/>
      <c r="KQ31" s="12"/>
      <c r="KR31" s="12"/>
      <c r="KS31" s="12"/>
      <c r="KT31" s="12"/>
      <c r="KU31" s="12"/>
      <c r="KV31" s="12"/>
      <c r="KW31" s="12"/>
      <c r="KX31" s="12"/>
      <c r="KY31" s="12"/>
      <c r="KZ31" s="12"/>
      <c r="LA31" s="12"/>
      <c r="LB31" s="12"/>
      <c r="LC31" s="12"/>
      <c r="LD31" s="12"/>
      <c r="LE31" s="12"/>
      <c r="LF31" s="12"/>
      <c r="LG31" s="12"/>
      <c r="LH31" s="12"/>
      <c r="LI31" s="12"/>
      <c r="LJ31" s="12"/>
      <c r="LK31" s="12"/>
      <c r="LL31" s="12"/>
      <c r="LM31" s="12"/>
      <c r="LN31" s="12"/>
      <c r="LO31" s="12"/>
      <c r="LP31" s="12"/>
      <c r="LQ31" s="12"/>
      <c r="LR31" s="12"/>
      <c r="LS31" s="12"/>
      <c r="LT31" s="12"/>
      <c r="LU31" s="12"/>
      <c r="LV31" s="12"/>
      <c r="LW31" s="12"/>
      <c r="LX31" s="12"/>
      <c r="LY31" s="12"/>
      <c r="LZ31" s="12"/>
      <c r="MA31" s="12"/>
      <c r="MB31" s="12"/>
      <c r="MC31" s="12"/>
      <c r="MD31" s="12"/>
      <c r="ME31" s="12"/>
      <c r="MF31" s="12"/>
      <c r="MG31" s="12"/>
      <c r="MH31" s="12"/>
      <c r="MI31" s="12"/>
      <c r="MJ31" s="12"/>
      <c r="MK31" s="12"/>
      <c r="ML31" s="12"/>
      <c r="MM31" s="12"/>
      <c r="MN31" s="12"/>
      <c r="MO31" s="12"/>
      <c r="MP31" s="12"/>
      <c r="MQ31" s="12"/>
      <c r="MR31" s="12"/>
      <c r="MS31" s="12"/>
      <c r="MT31" s="12"/>
      <c r="MU31" s="12"/>
      <c r="MV31" s="12"/>
      <c r="MW31" s="12"/>
      <c r="MX31" s="12"/>
      <c r="MY31" s="12"/>
      <c r="MZ31" s="12"/>
      <c r="NA31" s="12"/>
      <c r="NB31" s="12"/>
      <c r="NC31" s="12"/>
      <c r="ND31" s="12"/>
      <c r="NE31" s="12"/>
      <c r="NF31" s="12"/>
      <c r="NG31" s="12"/>
      <c r="NH31" s="12"/>
      <c r="NI31" s="12"/>
      <c r="NJ31" s="12"/>
      <c r="NK31" s="12"/>
      <c r="NL31" s="12"/>
      <c r="NM31" s="12"/>
      <c r="NN31" s="12"/>
      <c r="NO31" s="12"/>
      <c r="NP31" s="12"/>
      <c r="NQ31" s="12"/>
      <c r="NR31" s="12"/>
      <c r="NS31" s="12"/>
      <c r="NT31" s="12"/>
      <c r="NU31" s="12"/>
      <c r="NV31" s="12"/>
      <c r="NW31" s="12"/>
      <c r="NX31" s="12"/>
      <c r="NY31" s="12"/>
      <c r="NZ31" s="12"/>
      <c r="OA31" s="12"/>
      <c r="OB31" s="12"/>
      <c r="OC31" s="12"/>
      <c r="OD31" s="12"/>
      <c r="OE31" s="12"/>
      <c r="OF31" s="12"/>
      <c r="OG31" s="12"/>
      <c r="OH31" s="12"/>
      <c r="OI31" s="12"/>
      <c r="OJ31" s="12"/>
      <c r="OK31" s="12"/>
      <c r="OL31" s="12"/>
      <c r="OM31" s="12"/>
      <c r="ON31" s="12"/>
      <c r="OO31" s="12"/>
      <c r="OP31" s="12"/>
      <c r="OQ31" s="12"/>
      <c r="OR31" s="12"/>
      <c r="OS31" s="12"/>
      <c r="OT31" s="12"/>
      <c r="OU31" s="12"/>
      <c r="OV31" s="12"/>
      <c r="OW31" s="12"/>
      <c r="OX31" s="12"/>
      <c r="OY31" s="12"/>
      <c r="OZ31" s="12"/>
      <c r="PA31" s="12"/>
      <c r="PB31" s="12"/>
      <c r="PC31" s="12"/>
      <c r="PD31" s="12"/>
      <c r="PE31" s="12"/>
      <c r="PF31" s="12"/>
      <c r="PG31" s="12"/>
      <c r="PH31" s="12"/>
      <c r="PI31" s="12"/>
      <c r="PJ31" s="12"/>
      <c r="PK31" s="12"/>
      <c r="PL31" s="12"/>
      <c r="PM31" s="12"/>
      <c r="PN31" s="12"/>
      <c r="PO31" s="12"/>
      <c r="PP31" s="12"/>
      <c r="PQ31" s="12"/>
      <c r="PR31" s="12"/>
      <c r="PS31" s="12"/>
      <c r="PT31" s="12"/>
      <c r="PU31" s="12"/>
      <c r="PV31" s="12"/>
      <c r="PW31" s="12"/>
      <c r="PX31" s="12"/>
      <c r="PY31" s="12"/>
      <c r="PZ31" s="12"/>
      <c r="QA31" s="12"/>
      <c r="QB31" s="12"/>
      <c r="QC31" s="12"/>
      <c r="QD31" s="12"/>
      <c r="QE31" s="12"/>
      <c r="QF31" s="12"/>
      <c r="QG31" s="12"/>
      <c r="QH31" s="12"/>
      <c r="QI31" s="12"/>
      <c r="QJ31" s="12"/>
      <c r="QK31" s="12"/>
      <c r="QL31" s="12"/>
      <c r="QM31" s="12"/>
      <c r="QN31" s="12"/>
      <c r="QO31" s="12"/>
      <c r="QP31" s="12"/>
      <c r="QQ31" s="12"/>
      <c r="QR31" s="12"/>
      <c r="QS31" s="12"/>
      <c r="QT31" s="12"/>
      <c r="QU31" s="12"/>
      <c r="QV31" s="12"/>
      <c r="QW31" s="12"/>
      <c r="QX31" s="12"/>
      <c r="QY31" s="12"/>
      <c r="QZ31" s="12"/>
      <c r="RA31" s="12"/>
      <c r="RB31" s="12"/>
      <c r="RC31" s="12"/>
      <c r="RD31" s="12"/>
      <c r="RE31" s="12"/>
      <c r="RF31" s="12"/>
      <c r="RG31" s="12"/>
      <c r="RH31" s="12"/>
      <c r="RI31" s="12"/>
      <c r="RJ31" s="12"/>
      <c r="RK31" s="12"/>
      <c r="RL31" s="12"/>
      <c r="RM31" s="12"/>
      <c r="RN31" s="12"/>
      <c r="RO31" s="12"/>
      <c r="RP31" s="12"/>
      <c r="RQ31" s="12"/>
      <c r="RR31" s="12"/>
      <c r="RS31" s="12"/>
      <c r="RT31" s="12"/>
      <c r="RU31" s="12"/>
      <c r="RV31" s="12"/>
      <c r="RW31" s="12"/>
      <c r="RX31" s="12"/>
      <c r="RY31" s="12"/>
      <c r="RZ31" s="12"/>
      <c r="SA31" s="12"/>
      <c r="SB31" s="12"/>
      <c r="SC31" s="12"/>
      <c r="SD31" s="12"/>
      <c r="SE31" s="12"/>
      <c r="SF31" s="12"/>
      <c r="SG31" s="12"/>
      <c r="SH31" s="12"/>
      <c r="SI31" s="12"/>
      <c r="SJ31" s="12"/>
      <c r="SK31" s="12"/>
      <c r="SL31" s="12"/>
      <c r="SM31" s="12"/>
      <c r="SN31" s="12"/>
      <c r="SO31" s="12"/>
      <c r="SP31" s="12"/>
      <c r="SQ31" s="12"/>
      <c r="SR31" s="12"/>
      <c r="SS31" s="12"/>
      <c r="ST31" s="12"/>
      <c r="SU31" s="12"/>
      <c r="SV31" s="12"/>
      <c r="SW31" s="12"/>
      <c r="SX31" s="12"/>
      <c r="SY31" s="12"/>
      <c r="SZ31" s="12"/>
      <c r="TA31" s="12"/>
      <c r="TB31" s="12"/>
      <c r="TC31" s="12"/>
      <c r="TD31" s="12"/>
      <c r="TE31" s="12"/>
      <c r="TF31" s="12"/>
      <c r="TG31" s="12"/>
      <c r="TH31" s="12"/>
      <c r="TI31" s="12"/>
      <c r="TJ31" s="12"/>
      <c r="TK31" s="12"/>
      <c r="TL31" s="12"/>
      <c r="TM31" s="12"/>
      <c r="TN31" s="12"/>
      <c r="TO31" s="12"/>
      <c r="TP31" s="12"/>
      <c r="TQ31" s="12"/>
      <c r="TR31" s="12"/>
      <c r="TS31" s="12"/>
      <c r="TT31" s="12"/>
      <c r="TU31" s="12"/>
      <c r="TV31" s="12"/>
      <c r="TW31" s="12"/>
      <c r="TX31" s="12"/>
      <c r="TY31" s="12"/>
      <c r="TZ31" s="12"/>
      <c r="UA31" s="12"/>
      <c r="UB31" s="12"/>
      <c r="UC31" s="12"/>
      <c r="UD31" s="12"/>
      <c r="UE31" s="12"/>
      <c r="UF31" s="12"/>
      <c r="UG31" s="12"/>
      <c r="UH31" s="12"/>
      <c r="UI31" s="12"/>
      <c r="UJ31" s="12"/>
      <c r="UK31" s="12"/>
      <c r="UL31" s="12"/>
      <c r="UM31" s="12"/>
      <c r="UN31" s="12"/>
      <c r="UO31" s="12"/>
      <c r="UP31" s="12"/>
      <c r="UQ31" s="12"/>
      <c r="UR31" s="12"/>
      <c r="US31" s="12"/>
      <c r="UT31" s="12"/>
      <c r="UU31" s="12"/>
      <c r="UV31" s="12"/>
      <c r="UW31" s="12"/>
      <c r="UX31" s="12"/>
      <c r="UY31" s="12"/>
      <c r="UZ31" s="12"/>
      <c r="VA31" s="12"/>
      <c r="VB31" s="12"/>
      <c r="VC31" s="12"/>
      <c r="VD31" s="12"/>
      <c r="VE31" s="12"/>
      <c r="VF31" s="12"/>
      <c r="VG31" s="12"/>
      <c r="VH31" s="12"/>
      <c r="VI31" s="12"/>
      <c r="VJ31" s="12"/>
      <c r="VK31" s="12"/>
      <c r="VL31" s="12"/>
      <c r="VM31" s="12"/>
      <c r="VN31" s="12"/>
      <c r="VO31" s="12"/>
      <c r="VP31" s="12"/>
      <c r="VQ31" s="12"/>
      <c r="VR31" s="12"/>
      <c r="VS31" s="12"/>
      <c r="VT31" s="12"/>
      <c r="VU31" s="12"/>
      <c r="VV31" s="12"/>
      <c r="VW31" s="12"/>
      <c r="VX31" s="12"/>
      <c r="VY31" s="12"/>
      <c r="VZ31" s="12"/>
      <c r="WA31" s="12"/>
      <c r="WB31" s="12"/>
      <c r="WC31" s="12"/>
      <c r="WD31" s="12"/>
      <c r="WE31" s="12"/>
      <c r="WF31" s="12"/>
      <c r="WG31" s="12"/>
      <c r="WH31" s="12"/>
      <c r="WI31" s="12"/>
      <c r="WJ31" s="12"/>
      <c r="WK31" s="12"/>
      <c r="WL31" s="12"/>
      <c r="WM31" s="12"/>
      <c r="WN31" s="12"/>
      <c r="WO31" s="12"/>
      <c r="WP31" s="12"/>
      <c r="WQ31" s="12"/>
      <c r="WR31" s="12"/>
      <c r="WS31" s="12"/>
      <c r="WT31" s="12"/>
      <c r="WU31" s="12"/>
      <c r="WV31" s="12"/>
      <c r="WW31" s="12"/>
      <c r="WX31" s="12"/>
      <c r="WY31" s="12"/>
      <c r="WZ31" s="12"/>
      <c r="XA31" s="12"/>
      <c r="XB31" s="12"/>
      <c r="XC31" s="12"/>
      <c r="XD31" s="12"/>
      <c r="XE31" s="12"/>
      <c r="XF31" s="12"/>
      <c r="XG31" s="12"/>
      <c r="XH31" s="12"/>
      <c r="XI31" s="12"/>
      <c r="XJ31" s="12"/>
      <c r="XK31" s="12"/>
      <c r="XL31" s="12"/>
      <c r="XM31" s="12"/>
      <c r="XN31" s="12"/>
      <c r="XO31" s="12"/>
      <c r="XP31" s="12"/>
      <c r="XQ31" s="12"/>
      <c r="XR31" s="12"/>
      <c r="XS31" s="12"/>
      <c r="XT31" s="12"/>
      <c r="XU31" s="12"/>
      <c r="XV31" s="12"/>
      <c r="XW31" s="12"/>
      <c r="XX31" s="12"/>
      <c r="XY31" s="12"/>
      <c r="XZ31" s="12"/>
      <c r="YA31" s="12"/>
      <c r="YB31" s="12"/>
      <c r="YC31" s="12"/>
      <c r="YD31" s="12"/>
      <c r="YE31" s="12"/>
      <c r="YF31" s="12"/>
      <c r="YG31" s="12"/>
      <c r="YH31" s="12"/>
      <c r="YI31" s="12"/>
      <c r="YJ31" s="12"/>
      <c r="YK31" s="12"/>
      <c r="YL31" s="12"/>
      <c r="YM31" s="12"/>
      <c r="YN31" s="12"/>
      <c r="YO31" s="12"/>
      <c r="YP31" s="12"/>
      <c r="YQ31" s="12"/>
      <c r="YR31" s="12"/>
      <c r="YS31" s="12"/>
      <c r="YT31" s="12"/>
      <c r="YU31" s="12"/>
      <c r="YV31" s="12"/>
      <c r="YW31" s="12"/>
      <c r="YX31" s="12"/>
      <c r="YY31" s="12"/>
      <c r="YZ31" s="12"/>
      <c r="ZA31" s="12"/>
      <c r="ZB31" s="12"/>
      <c r="ZC31" s="12"/>
      <c r="ZD31" s="12"/>
      <c r="ZE31" s="12"/>
      <c r="ZF31" s="12"/>
      <c r="ZG31" s="12"/>
      <c r="ZH31" s="12"/>
      <c r="ZI31" s="12"/>
      <c r="ZJ31" s="12"/>
      <c r="ZK31" s="12"/>
      <c r="ZL31" s="12"/>
      <c r="ZM31" s="12"/>
      <c r="ZN31" s="12"/>
      <c r="ZO31" s="12"/>
      <c r="ZP31" s="12"/>
      <c r="ZQ31" s="12"/>
      <c r="ZR31" s="12"/>
      <c r="ZS31" s="12"/>
      <c r="ZT31" s="12"/>
      <c r="ZU31" s="12"/>
      <c r="ZV31" s="12"/>
      <c r="ZW31" s="12"/>
      <c r="ZX31" s="12"/>
      <c r="ZY31" s="12"/>
      <c r="ZZ31" s="12"/>
      <c r="AAA31" s="12"/>
      <c r="AAB31" s="12"/>
      <c r="AAC31" s="12"/>
      <c r="AAD31" s="12"/>
      <c r="AAE31" s="12"/>
      <c r="AAF31" s="12"/>
      <c r="AAG31" s="12"/>
      <c r="AAH31" s="12"/>
      <c r="AAI31" s="12"/>
      <c r="AAJ31" s="12"/>
      <c r="AAK31" s="12"/>
      <c r="AAL31" s="12"/>
      <c r="AAM31" s="12"/>
      <c r="AAN31" s="12"/>
      <c r="AAO31" s="12"/>
      <c r="AAP31" s="12"/>
      <c r="AAQ31" s="12"/>
      <c r="AAR31" s="12"/>
      <c r="AAS31" s="12"/>
      <c r="AAT31" s="12"/>
      <c r="AAU31" s="12"/>
      <c r="AAV31" s="12"/>
      <c r="AAW31" s="12"/>
      <c r="AAX31" s="12"/>
      <c r="AAY31" s="12"/>
      <c r="AAZ31" s="12"/>
      <c r="ABA31" s="12"/>
      <c r="ABB31" s="12"/>
      <c r="ABC31" s="12"/>
      <c r="ABD31" s="12"/>
      <c r="ABE31" s="12"/>
      <c r="ABF31" s="12"/>
      <c r="ABG31" s="12"/>
      <c r="ABH31" s="12"/>
      <c r="ABI31" s="12"/>
      <c r="ABJ31" s="12"/>
      <c r="ABK31" s="12"/>
      <c r="ABL31" s="12"/>
      <c r="ABM31" s="12"/>
      <c r="ABN31" s="12"/>
      <c r="ABO31" s="12"/>
      <c r="ABP31" s="12"/>
      <c r="ABQ31" s="12"/>
      <c r="ABR31" s="12"/>
      <c r="ABS31" s="12"/>
      <c r="ABT31" s="12"/>
      <c r="ABU31" s="12"/>
      <c r="ABV31" s="12"/>
      <c r="ABW31" s="12"/>
      <c r="ABX31" s="12"/>
      <c r="ABY31" s="12"/>
      <c r="ABZ31" s="12"/>
      <c r="ACA31" s="12"/>
      <c r="ACB31" s="12"/>
      <c r="ACC31" s="12"/>
      <c r="ACD31" s="12"/>
      <c r="ACE31" s="12"/>
      <c r="ACF31" s="12"/>
      <c r="ACG31" s="12"/>
      <c r="ACH31" s="12"/>
      <c r="ACI31" s="12"/>
      <c r="ACJ31" s="12"/>
      <c r="ACK31" s="12"/>
      <c r="ACL31" s="12"/>
      <c r="ACM31" s="12"/>
      <c r="ACN31" s="12"/>
      <c r="ACO31" s="12"/>
      <c r="ACP31" s="12"/>
      <c r="ACQ31" s="12"/>
      <c r="ACR31" s="12"/>
      <c r="ACS31" s="12"/>
      <c r="ACT31" s="12"/>
      <c r="ACU31" s="12"/>
      <c r="ACV31" s="12"/>
      <c r="ACW31" s="12"/>
      <c r="ACX31" s="12"/>
      <c r="ACY31" s="12"/>
      <c r="ACZ31" s="12"/>
      <c r="ADA31" s="12"/>
      <c r="ADB31" s="12"/>
      <c r="ADC31" s="12"/>
      <c r="ADD31" s="12"/>
      <c r="ADE31" s="12"/>
      <c r="ADF31" s="12"/>
      <c r="ADG31" s="12"/>
      <c r="ADH31" s="12"/>
      <c r="ADI31" s="12"/>
      <c r="ADJ31" s="12"/>
      <c r="ADK31" s="12"/>
      <c r="ADL31" s="12"/>
      <c r="ADM31" s="12"/>
      <c r="ADN31" s="12"/>
      <c r="ADO31" s="12"/>
      <c r="ADP31" s="12"/>
      <c r="ADQ31" s="12"/>
      <c r="ADR31" s="12"/>
      <c r="ADS31" s="12"/>
      <c r="ADT31" s="12"/>
      <c r="ADU31" s="12"/>
      <c r="ADV31" s="12"/>
      <c r="ADW31" s="12"/>
      <c r="ADX31" s="12"/>
      <c r="ADY31" s="12"/>
      <c r="ADZ31" s="12"/>
      <c r="AEA31" s="12"/>
      <c r="AEB31" s="12"/>
      <c r="AEC31" s="12"/>
      <c r="AED31" s="12"/>
      <c r="AEE31" s="12"/>
      <c r="AEF31" s="12"/>
      <c r="AEG31" s="12"/>
      <c r="AEH31" s="12"/>
      <c r="AEI31" s="12"/>
      <c r="AEJ31" s="12"/>
      <c r="AEK31" s="12"/>
      <c r="AEL31" s="12"/>
      <c r="AEM31" s="12"/>
      <c r="AEN31" s="12"/>
      <c r="AEO31" s="12"/>
      <c r="AEP31" s="12"/>
      <c r="AEQ31" s="12"/>
      <c r="AER31" s="12"/>
      <c r="AES31" s="12"/>
      <c r="AET31" s="12"/>
      <c r="AEU31" s="12"/>
      <c r="AEV31" s="12"/>
    </row>
    <row r="32" spans="1:828" s="13" customFormat="1" ht="18" x14ac:dyDescent="0.2">
      <c r="A32" s="14"/>
      <c r="B32" s="16"/>
      <c r="C32" s="16"/>
      <c r="D32" s="11"/>
      <c r="E32" s="16"/>
      <c r="F32" s="16"/>
      <c r="H32" s="15"/>
      <c r="I32" s="16"/>
      <c r="J32" s="11"/>
      <c r="K32" s="15"/>
      <c r="L32" s="16"/>
      <c r="M32" s="11"/>
      <c r="N32" s="12"/>
      <c r="O32" s="12"/>
      <c r="P32"/>
      <c r="Q32"/>
      <c r="R32"/>
      <c r="S32"/>
      <c r="T3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2"/>
      <c r="EJ32" s="12"/>
      <c r="EK32" s="12"/>
      <c r="EL32" s="12"/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2"/>
      <c r="FJ32" s="12"/>
      <c r="FK32" s="12"/>
      <c r="FL32" s="12"/>
      <c r="FM32" s="12"/>
      <c r="FN32" s="12"/>
      <c r="FO32" s="12"/>
      <c r="FP32" s="12"/>
      <c r="FQ32" s="12"/>
      <c r="FR32" s="12"/>
      <c r="FS32" s="12"/>
      <c r="FT32" s="12"/>
      <c r="FU32" s="12"/>
      <c r="FV32" s="12"/>
      <c r="FW32" s="12"/>
      <c r="FX32" s="12"/>
      <c r="FY32" s="12"/>
      <c r="FZ32" s="12"/>
      <c r="GA32" s="12"/>
      <c r="GB32" s="12"/>
      <c r="GC32" s="12"/>
      <c r="GD32" s="12"/>
      <c r="GE32" s="12"/>
      <c r="GF32" s="12"/>
      <c r="GG32" s="12"/>
      <c r="GH32" s="12"/>
      <c r="GI32" s="12"/>
      <c r="GJ32" s="12"/>
      <c r="GK32" s="12"/>
      <c r="GL32" s="12"/>
      <c r="GM32" s="12"/>
      <c r="GN32" s="12"/>
      <c r="GO32" s="12"/>
      <c r="GP32" s="12"/>
      <c r="GQ32" s="12"/>
      <c r="GR32" s="12"/>
      <c r="GS32" s="12"/>
      <c r="GT32" s="12"/>
      <c r="GU32" s="12"/>
      <c r="GV32" s="12"/>
      <c r="GW32" s="12"/>
      <c r="GX32" s="12"/>
      <c r="GY32" s="12"/>
      <c r="GZ32" s="12"/>
      <c r="HA32" s="12"/>
      <c r="HB32" s="12"/>
      <c r="HC32" s="12"/>
      <c r="HD32" s="12"/>
      <c r="HE32" s="12"/>
      <c r="HF32" s="12"/>
      <c r="HG32" s="12"/>
      <c r="HH32" s="12"/>
      <c r="HI32" s="12"/>
      <c r="HJ32" s="12"/>
      <c r="HK32" s="12"/>
      <c r="HL32" s="12"/>
      <c r="HM32" s="12"/>
      <c r="HN32" s="12"/>
      <c r="HO32" s="12"/>
      <c r="HP32" s="12"/>
      <c r="HQ32" s="12"/>
      <c r="HR32" s="12"/>
      <c r="HS32" s="12"/>
      <c r="HT32" s="12"/>
      <c r="HU32" s="12"/>
      <c r="HV32" s="12"/>
      <c r="HW32" s="12"/>
      <c r="HX32" s="12"/>
      <c r="HY32" s="12"/>
      <c r="HZ32" s="12"/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  <c r="IL32" s="12"/>
      <c r="IM32" s="12"/>
      <c r="IN32" s="12"/>
      <c r="IO32" s="12"/>
      <c r="IP32" s="12"/>
      <c r="IQ32" s="12"/>
      <c r="IR32" s="12"/>
      <c r="IS32" s="12"/>
      <c r="IT32" s="12"/>
      <c r="IU32" s="12"/>
      <c r="IV32" s="12"/>
      <c r="IW32" s="12"/>
      <c r="IX32" s="12"/>
      <c r="IY32" s="12"/>
      <c r="IZ32" s="12"/>
      <c r="JA32" s="12"/>
      <c r="JB32" s="12"/>
      <c r="JC32" s="12"/>
      <c r="JD32" s="12"/>
      <c r="JE32" s="12"/>
      <c r="JF32" s="12"/>
      <c r="JG32" s="12"/>
      <c r="JH32" s="12"/>
      <c r="JI32" s="12"/>
      <c r="JJ32" s="12"/>
      <c r="JK32" s="12"/>
      <c r="JL32" s="12"/>
      <c r="JM32" s="12"/>
      <c r="JN32" s="12"/>
      <c r="JO32" s="12"/>
      <c r="JP32" s="12"/>
      <c r="JQ32" s="12"/>
      <c r="JR32" s="12"/>
      <c r="JS32" s="12"/>
      <c r="JT32" s="12"/>
      <c r="JU32" s="12"/>
      <c r="JV32" s="12"/>
      <c r="JW32" s="12"/>
      <c r="JX32" s="12"/>
      <c r="JY32" s="12"/>
      <c r="JZ32" s="12"/>
      <c r="KA32" s="12"/>
      <c r="KB32" s="12"/>
      <c r="KC32" s="12"/>
      <c r="KD32" s="12"/>
      <c r="KE32" s="12"/>
      <c r="KF32" s="12"/>
      <c r="KG32" s="12"/>
      <c r="KH32" s="12"/>
      <c r="KI32" s="12"/>
      <c r="KJ32" s="12"/>
      <c r="KK32" s="12"/>
      <c r="KL32" s="12"/>
      <c r="KM32" s="12"/>
      <c r="KN32" s="12"/>
      <c r="KO32" s="12"/>
      <c r="KP32" s="12"/>
      <c r="KQ32" s="12"/>
      <c r="KR32" s="12"/>
      <c r="KS32" s="12"/>
      <c r="KT32" s="12"/>
      <c r="KU32" s="12"/>
      <c r="KV32" s="12"/>
      <c r="KW32" s="12"/>
      <c r="KX32" s="12"/>
      <c r="KY32" s="12"/>
      <c r="KZ32" s="12"/>
      <c r="LA32" s="12"/>
      <c r="LB32" s="12"/>
      <c r="LC32" s="12"/>
      <c r="LD32" s="12"/>
      <c r="LE32" s="12"/>
      <c r="LF32" s="12"/>
      <c r="LG32" s="12"/>
      <c r="LH32" s="12"/>
      <c r="LI32" s="12"/>
      <c r="LJ32" s="12"/>
      <c r="LK32" s="12"/>
      <c r="LL32" s="12"/>
      <c r="LM32" s="12"/>
      <c r="LN32" s="12"/>
      <c r="LO32" s="12"/>
      <c r="LP32" s="12"/>
      <c r="LQ32" s="12"/>
      <c r="LR32" s="12"/>
      <c r="LS32" s="12"/>
      <c r="LT32" s="12"/>
      <c r="LU32" s="12"/>
      <c r="LV32" s="12"/>
      <c r="LW32" s="12"/>
      <c r="LX32" s="12"/>
      <c r="LY32" s="12"/>
      <c r="LZ32" s="12"/>
      <c r="MA32" s="12"/>
      <c r="MB32" s="12"/>
      <c r="MC32" s="12"/>
      <c r="MD32" s="12"/>
      <c r="ME32" s="12"/>
      <c r="MF32" s="12"/>
      <c r="MG32" s="12"/>
      <c r="MH32" s="12"/>
      <c r="MI32" s="12"/>
      <c r="MJ32" s="12"/>
      <c r="MK32" s="12"/>
      <c r="ML32" s="12"/>
      <c r="MM32" s="12"/>
      <c r="MN32" s="12"/>
      <c r="MO32" s="12"/>
      <c r="MP32" s="12"/>
      <c r="MQ32" s="12"/>
      <c r="MR32" s="12"/>
      <c r="MS32" s="12"/>
      <c r="MT32" s="12"/>
      <c r="MU32" s="12"/>
      <c r="MV32" s="12"/>
      <c r="MW32" s="12"/>
      <c r="MX32" s="12"/>
      <c r="MY32" s="12"/>
      <c r="MZ32" s="12"/>
      <c r="NA32" s="12"/>
      <c r="NB32" s="12"/>
      <c r="NC32" s="12"/>
      <c r="ND32" s="12"/>
      <c r="NE32" s="12"/>
      <c r="NF32" s="12"/>
      <c r="NG32" s="12"/>
      <c r="NH32" s="12"/>
      <c r="NI32" s="12"/>
      <c r="NJ32" s="12"/>
      <c r="NK32" s="12"/>
      <c r="NL32" s="12"/>
      <c r="NM32" s="12"/>
      <c r="NN32" s="12"/>
      <c r="NO32" s="12"/>
      <c r="NP32" s="12"/>
      <c r="NQ32" s="12"/>
      <c r="NR32" s="12"/>
      <c r="NS32" s="12"/>
      <c r="NT32" s="12"/>
      <c r="NU32" s="12"/>
      <c r="NV32" s="12"/>
      <c r="NW32" s="12"/>
      <c r="NX32" s="12"/>
      <c r="NY32" s="12"/>
      <c r="NZ32" s="12"/>
      <c r="OA32" s="12"/>
      <c r="OB32" s="12"/>
      <c r="OC32" s="12"/>
      <c r="OD32" s="12"/>
      <c r="OE32" s="12"/>
      <c r="OF32" s="12"/>
      <c r="OG32" s="12"/>
      <c r="OH32" s="12"/>
      <c r="OI32" s="12"/>
      <c r="OJ32" s="12"/>
      <c r="OK32" s="12"/>
      <c r="OL32" s="12"/>
      <c r="OM32" s="12"/>
      <c r="ON32" s="12"/>
      <c r="OO32" s="12"/>
      <c r="OP32" s="12"/>
      <c r="OQ32" s="12"/>
      <c r="OR32" s="12"/>
      <c r="OS32" s="12"/>
      <c r="OT32" s="12"/>
      <c r="OU32" s="12"/>
      <c r="OV32" s="12"/>
      <c r="OW32" s="12"/>
      <c r="OX32" s="12"/>
      <c r="OY32" s="12"/>
      <c r="OZ32" s="12"/>
      <c r="PA32" s="12"/>
      <c r="PB32" s="12"/>
      <c r="PC32" s="12"/>
      <c r="PD32" s="12"/>
      <c r="PE32" s="12"/>
      <c r="PF32" s="12"/>
      <c r="PG32" s="12"/>
      <c r="PH32" s="12"/>
      <c r="PI32" s="12"/>
      <c r="PJ32" s="12"/>
      <c r="PK32" s="12"/>
      <c r="PL32" s="12"/>
      <c r="PM32" s="12"/>
      <c r="PN32" s="12"/>
      <c r="PO32" s="12"/>
      <c r="PP32" s="12"/>
      <c r="PQ32" s="12"/>
      <c r="PR32" s="12"/>
      <c r="PS32" s="12"/>
      <c r="PT32" s="12"/>
      <c r="PU32" s="12"/>
      <c r="PV32" s="12"/>
      <c r="PW32" s="12"/>
      <c r="PX32" s="12"/>
      <c r="PY32" s="12"/>
      <c r="PZ32" s="12"/>
      <c r="QA32" s="12"/>
      <c r="QB32" s="12"/>
      <c r="QC32" s="12"/>
      <c r="QD32" s="12"/>
      <c r="QE32" s="12"/>
      <c r="QF32" s="12"/>
      <c r="QG32" s="12"/>
      <c r="QH32" s="12"/>
      <c r="QI32" s="12"/>
      <c r="QJ32" s="12"/>
      <c r="QK32" s="12"/>
      <c r="QL32" s="12"/>
      <c r="QM32" s="12"/>
      <c r="QN32" s="12"/>
      <c r="QO32" s="12"/>
      <c r="QP32" s="12"/>
      <c r="QQ32" s="12"/>
      <c r="QR32" s="12"/>
      <c r="QS32" s="12"/>
      <c r="QT32" s="12"/>
      <c r="QU32" s="12"/>
      <c r="QV32" s="12"/>
      <c r="QW32" s="12"/>
      <c r="QX32" s="12"/>
      <c r="QY32" s="12"/>
      <c r="QZ32" s="12"/>
      <c r="RA32" s="12"/>
      <c r="RB32" s="12"/>
      <c r="RC32" s="12"/>
      <c r="RD32" s="12"/>
      <c r="RE32" s="12"/>
      <c r="RF32" s="12"/>
      <c r="RG32" s="12"/>
      <c r="RH32" s="12"/>
      <c r="RI32" s="12"/>
      <c r="RJ32" s="12"/>
      <c r="RK32" s="12"/>
      <c r="RL32" s="12"/>
      <c r="RM32" s="12"/>
      <c r="RN32" s="12"/>
      <c r="RO32" s="12"/>
      <c r="RP32" s="12"/>
      <c r="RQ32" s="12"/>
      <c r="RR32" s="12"/>
      <c r="RS32" s="12"/>
      <c r="RT32" s="12"/>
      <c r="RU32" s="12"/>
      <c r="RV32" s="12"/>
      <c r="RW32" s="12"/>
      <c r="RX32" s="12"/>
      <c r="RY32" s="12"/>
      <c r="RZ32" s="12"/>
      <c r="SA32" s="12"/>
      <c r="SB32" s="12"/>
      <c r="SC32" s="12"/>
      <c r="SD32" s="12"/>
      <c r="SE32" s="12"/>
      <c r="SF32" s="12"/>
      <c r="SG32" s="12"/>
      <c r="SH32" s="12"/>
      <c r="SI32" s="12"/>
      <c r="SJ32" s="12"/>
      <c r="SK32" s="12"/>
      <c r="SL32" s="12"/>
      <c r="SM32" s="12"/>
      <c r="SN32" s="12"/>
      <c r="SO32" s="12"/>
      <c r="SP32" s="12"/>
      <c r="SQ32" s="12"/>
      <c r="SR32" s="12"/>
      <c r="SS32" s="12"/>
      <c r="ST32" s="12"/>
      <c r="SU32" s="12"/>
      <c r="SV32" s="12"/>
      <c r="SW32" s="12"/>
      <c r="SX32" s="12"/>
      <c r="SY32" s="12"/>
      <c r="SZ32" s="12"/>
      <c r="TA32" s="12"/>
      <c r="TB32" s="12"/>
      <c r="TC32" s="12"/>
      <c r="TD32" s="12"/>
      <c r="TE32" s="12"/>
      <c r="TF32" s="12"/>
      <c r="TG32" s="12"/>
      <c r="TH32" s="12"/>
      <c r="TI32" s="12"/>
      <c r="TJ32" s="12"/>
      <c r="TK32" s="12"/>
      <c r="TL32" s="12"/>
      <c r="TM32" s="12"/>
      <c r="TN32" s="12"/>
      <c r="TO32" s="12"/>
      <c r="TP32" s="12"/>
      <c r="TQ32" s="12"/>
      <c r="TR32" s="12"/>
      <c r="TS32" s="12"/>
      <c r="TT32" s="12"/>
      <c r="TU32" s="12"/>
      <c r="TV32" s="12"/>
      <c r="TW32" s="12"/>
      <c r="TX32" s="12"/>
      <c r="TY32" s="12"/>
      <c r="TZ32" s="12"/>
      <c r="UA32" s="12"/>
      <c r="UB32" s="12"/>
      <c r="UC32" s="12"/>
      <c r="UD32" s="12"/>
      <c r="UE32" s="12"/>
      <c r="UF32" s="12"/>
      <c r="UG32" s="12"/>
      <c r="UH32" s="12"/>
      <c r="UI32" s="12"/>
      <c r="UJ32" s="12"/>
      <c r="UK32" s="12"/>
      <c r="UL32" s="12"/>
      <c r="UM32" s="12"/>
      <c r="UN32" s="12"/>
      <c r="UO32" s="12"/>
      <c r="UP32" s="12"/>
      <c r="UQ32" s="12"/>
      <c r="UR32" s="12"/>
      <c r="US32" s="12"/>
      <c r="UT32" s="12"/>
      <c r="UU32" s="12"/>
      <c r="UV32" s="12"/>
      <c r="UW32" s="12"/>
      <c r="UX32" s="12"/>
      <c r="UY32" s="12"/>
      <c r="UZ32" s="12"/>
      <c r="VA32" s="12"/>
      <c r="VB32" s="12"/>
      <c r="VC32" s="12"/>
      <c r="VD32" s="12"/>
      <c r="VE32" s="12"/>
      <c r="VF32" s="12"/>
      <c r="VG32" s="12"/>
      <c r="VH32" s="12"/>
      <c r="VI32" s="12"/>
      <c r="VJ32" s="12"/>
      <c r="VK32" s="12"/>
      <c r="VL32" s="12"/>
      <c r="VM32" s="12"/>
      <c r="VN32" s="12"/>
      <c r="VO32" s="12"/>
      <c r="VP32" s="12"/>
      <c r="VQ32" s="12"/>
      <c r="VR32" s="12"/>
      <c r="VS32" s="12"/>
      <c r="VT32" s="12"/>
      <c r="VU32" s="12"/>
      <c r="VV32" s="12"/>
      <c r="VW32" s="12"/>
      <c r="VX32" s="12"/>
      <c r="VY32" s="12"/>
      <c r="VZ32" s="12"/>
      <c r="WA32" s="12"/>
      <c r="WB32" s="12"/>
      <c r="WC32" s="12"/>
      <c r="WD32" s="12"/>
      <c r="WE32" s="12"/>
      <c r="WF32" s="12"/>
      <c r="WG32" s="12"/>
      <c r="WH32" s="12"/>
      <c r="WI32" s="12"/>
      <c r="WJ32" s="12"/>
      <c r="WK32" s="12"/>
      <c r="WL32" s="12"/>
      <c r="WM32" s="12"/>
      <c r="WN32" s="12"/>
      <c r="WO32" s="12"/>
      <c r="WP32" s="12"/>
      <c r="WQ32" s="12"/>
      <c r="WR32" s="12"/>
      <c r="WS32" s="12"/>
      <c r="WT32" s="12"/>
      <c r="WU32" s="12"/>
      <c r="WV32" s="12"/>
      <c r="WW32" s="12"/>
      <c r="WX32" s="12"/>
      <c r="WY32" s="12"/>
      <c r="WZ32" s="12"/>
      <c r="XA32" s="12"/>
      <c r="XB32" s="12"/>
      <c r="XC32" s="12"/>
      <c r="XD32" s="12"/>
      <c r="XE32" s="12"/>
      <c r="XF32" s="12"/>
      <c r="XG32" s="12"/>
      <c r="XH32" s="12"/>
      <c r="XI32" s="12"/>
      <c r="XJ32" s="12"/>
      <c r="XK32" s="12"/>
      <c r="XL32" s="12"/>
      <c r="XM32" s="12"/>
      <c r="XN32" s="12"/>
      <c r="XO32" s="12"/>
      <c r="XP32" s="12"/>
      <c r="XQ32" s="12"/>
      <c r="XR32" s="12"/>
      <c r="XS32" s="12"/>
      <c r="XT32" s="12"/>
      <c r="XU32" s="12"/>
      <c r="XV32" s="12"/>
      <c r="XW32" s="12"/>
      <c r="XX32" s="12"/>
      <c r="XY32" s="12"/>
      <c r="XZ32" s="12"/>
      <c r="YA32" s="12"/>
      <c r="YB32" s="12"/>
      <c r="YC32" s="12"/>
      <c r="YD32" s="12"/>
      <c r="YE32" s="12"/>
      <c r="YF32" s="12"/>
      <c r="YG32" s="12"/>
      <c r="YH32" s="12"/>
      <c r="YI32" s="12"/>
      <c r="YJ32" s="12"/>
      <c r="YK32" s="12"/>
      <c r="YL32" s="12"/>
      <c r="YM32" s="12"/>
      <c r="YN32" s="12"/>
      <c r="YO32" s="12"/>
      <c r="YP32" s="12"/>
      <c r="YQ32" s="12"/>
      <c r="YR32" s="12"/>
      <c r="YS32" s="12"/>
      <c r="YT32" s="12"/>
      <c r="YU32" s="12"/>
      <c r="YV32" s="12"/>
      <c r="YW32" s="12"/>
      <c r="YX32" s="12"/>
      <c r="YY32" s="12"/>
      <c r="YZ32" s="12"/>
      <c r="ZA32" s="12"/>
      <c r="ZB32" s="12"/>
      <c r="ZC32" s="12"/>
      <c r="ZD32" s="12"/>
      <c r="ZE32" s="12"/>
      <c r="ZF32" s="12"/>
      <c r="ZG32" s="12"/>
      <c r="ZH32" s="12"/>
      <c r="ZI32" s="12"/>
      <c r="ZJ32" s="12"/>
      <c r="ZK32" s="12"/>
      <c r="ZL32" s="12"/>
      <c r="ZM32" s="12"/>
      <c r="ZN32" s="12"/>
      <c r="ZO32" s="12"/>
      <c r="ZP32" s="12"/>
      <c r="ZQ32" s="12"/>
      <c r="ZR32" s="12"/>
      <c r="ZS32" s="12"/>
      <c r="ZT32" s="12"/>
      <c r="ZU32" s="12"/>
      <c r="ZV32" s="12"/>
      <c r="ZW32" s="12"/>
      <c r="ZX32" s="12"/>
      <c r="ZY32" s="12"/>
      <c r="ZZ32" s="12"/>
      <c r="AAA32" s="12"/>
      <c r="AAB32" s="12"/>
      <c r="AAC32" s="12"/>
      <c r="AAD32" s="12"/>
      <c r="AAE32" s="12"/>
      <c r="AAF32" s="12"/>
      <c r="AAG32" s="12"/>
      <c r="AAH32" s="12"/>
      <c r="AAI32" s="12"/>
      <c r="AAJ32" s="12"/>
      <c r="AAK32" s="12"/>
      <c r="AAL32" s="12"/>
      <c r="AAM32" s="12"/>
      <c r="AAN32" s="12"/>
      <c r="AAO32" s="12"/>
      <c r="AAP32" s="12"/>
      <c r="AAQ32" s="12"/>
      <c r="AAR32" s="12"/>
      <c r="AAS32" s="12"/>
      <c r="AAT32" s="12"/>
      <c r="AAU32" s="12"/>
      <c r="AAV32" s="12"/>
      <c r="AAW32" s="12"/>
      <c r="AAX32" s="12"/>
      <c r="AAY32" s="12"/>
      <c r="AAZ32" s="12"/>
      <c r="ABA32" s="12"/>
      <c r="ABB32" s="12"/>
      <c r="ABC32" s="12"/>
      <c r="ABD32" s="12"/>
      <c r="ABE32" s="12"/>
      <c r="ABF32" s="12"/>
      <c r="ABG32" s="12"/>
      <c r="ABH32" s="12"/>
      <c r="ABI32" s="12"/>
      <c r="ABJ32" s="12"/>
      <c r="ABK32" s="12"/>
      <c r="ABL32" s="12"/>
      <c r="ABM32" s="12"/>
      <c r="ABN32" s="12"/>
      <c r="ABO32" s="12"/>
      <c r="ABP32" s="12"/>
      <c r="ABQ32" s="12"/>
      <c r="ABR32" s="12"/>
      <c r="ABS32" s="12"/>
      <c r="ABT32" s="12"/>
      <c r="ABU32" s="12"/>
      <c r="ABV32" s="12"/>
      <c r="ABW32" s="12"/>
      <c r="ABX32" s="12"/>
      <c r="ABY32" s="12"/>
      <c r="ABZ32" s="12"/>
      <c r="ACA32" s="12"/>
      <c r="ACB32" s="12"/>
      <c r="ACC32" s="12"/>
      <c r="ACD32" s="12"/>
      <c r="ACE32" s="12"/>
      <c r="ACF32" s="12"/>
      <c r="ACG32" s="12"/>
      <c r="ACH32" s="12"/>
      <c r="ACI32" s="12"/>
      <c r="ACJ32" s="12"/>
      <c r="ACK32" s="12"/>
      <c r="ACL32" s="12"/>
      <c r="ACM32" s="12"/>
      <c r="ACN32" s="12"/>
      <c r="ACO32" s="12"/>
      <c r="ACP32" s="12"/>
      <c r="ACQ32" s="12"/>
      <c r="ACR32" s="12"/>
      <c r="ACS32" s="12"/>
      <c r="ACT32" s="12"/>
      <c r="ACU32" s="12"/>
      <c r="ACV32" s="12"/>
      <c r="ACW32" s="12"/>
      <c r="ACX32" s="12"/>
      <c r="ACY32" s="12"/>
      <c r="ACZ32" s="12"/>
      <c r="ADA32" s="12"/>
      <c r="ADB32" s="12"/>
      <c r="ADC32" s="12"/>
      <c r="ADD32" s="12"/>
      <c r="ADE32" s="12"/>
      <c r="ADF32" s="12"/>
      <c r="ADG32" s="12"/>
      <c r="ADH32" s="12"/>
      <c r="ADI32" s="12"/>
      <c r="ADJ32" s="12"/>
      <c r="ADK32" s="12"/>
      <c r="ADL32" s="12"/>
      <c r="ADM32" s="12"/>
      <c r="ADN32" s="12"/>
      <c r="ADO32" s="12"/>
      <c r="ADP32" s="12"/>
      <c r="ADQ32" s="12"/>
      <c r="ADR32" s="12"/>
      <c r="ADS32" s="12"/>
      <c r="ADT32" s="12"/>
      <c r="ADU32" s="12"/>
      <c r="ADV32" s="12"/>
      <c r="ADW32" s="12"/>
      <c r="ADX32" s="12"/>
      <c r="ADY32" s="12"/>
      <c r="ADZ32" s="12"/>
      <c r="AEA32" s="12"/>
      <c r="AEB32" s="12"/>
      <c r="AEC32" s="12"/>
      <c r="AED32" s="12"/>
      <c r="AEE32" s="12"/>
      <c r="AEF32" s="12"/>
      <c r="AEG32" s="12"/>
      <c r="AEH32" s="12"/>
      <c r="AEI32" s="12"/>
      <c r="AEJ32" s="12"/>
      <c r="AEK32" s="12"/>
      <c r="AEL32" s="12"/>
      <c r="AEM32" s="12"/>
      <c r="AEN32" s="12"/>
      <c r="AEO32" s="12"/>
      <c r="AEP32" s="12"/>
      <c r="AEQ32" s="12"/>
      <c r="AER32" s="12"/>
      <c r="AES32" s="12"/>
      <c r="AET32" s="12"/>
      <c r="AEU32" s="12"/>
      <c r="AEV32" s="12"/>
    </row>
    <row r="33" spans="1:828" s="13" customFormat="1" ht="19" thickBot="1" x14ac:dyDescent="0.25">
      <c r="A33" s="17"/>
      <c r="B33" s="16"/>
      <c r="C33" s="19"/>
      <c r="D33" s="20"/>
      <c r="E33" s="19"/>
      <c r="F33" s="19"/>
      <c r="G33" s="19"/>
      <c r="H33" s="18"/>
      <c r="I33" s="19"/>
      <c r="J33" s="20"/>
      <c r="K33" s="18"/>
      <c r="L33" s="19"/>
      <c r="M33" s="20"/>
      <c r="N33" s="12"/>
      <c r="O33" s="12"/>
      <c r="P33"/>
      <c r="Q33"/>
      <c r="R33"/>
      <c r="S33"/>
      <c r="T33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2"/>
      <c r="EJ33" s="12"/>
      <c r="EK33" s="12"/>
      <c r="EL33" s="12"/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2"/>
      <c r="FJ33" s="12"/>
      <c r="FK33" s="12"/>
      <c r="FL33" s="12"/>
      <c r="FM33" s="12"/>
      <c r="FN33" s="12"/>
      <c r="FO33" s="12"/>
      <c r="FP33" s="12"/>
      <c r="FQ33" s="12"/>
      <c r="FR33" s="12"/>
      <c r="FS33" s="12"/>
      <c r="FT33" s="12"/>
      <c r="FU33" s="12"/>
      <c r="FV33" s="12"/>
      <c r="FW33" s="12"/>
      <c r="FX33" s="12"/>
      <c r="FY33" s="12"/>
      <c r="FZ33" s="12"/>
      <c r="GA33" s="12"/>
      <c r="GB33" s="12"/>
      <c r="GC33" s="12"/>
      <c r="GD33" s="12"/>
      <c r="GE33" s="12"/>
      <c r="GF33" s="12"/>
      <c r="GG33" s="12"/>
      <c r="GH33" s="12"/>
      <c r="GI33" s="12"/>
      <c r="GJ33" s="12"/>
      <c r="GK33" s="12"/>
      <c r="GL33" s="12"/>
      <c r="GM33" s="12"/>
      <c r="GN33" s="12"/>
      <c r="GO33" s="12"/>
      <c r="GP33" s="12"/>
      <c r="GQ33" s="12"/>
      <c r="GR33" s="12"/>
      <c r="GS33" s="12"/>
      <c r="GT33" s="12"/>
      <c r="GU33" s="12"/>
      <c r="GV33" s="12"/>
      <c r="GW33" s="12"/>
      <c r="GX33" s="12"/>
      <c r="GY33" s="12"/>
      <c r="GZ33" s="12"/>
      <c r="HA33" s="12"/>
      <c r="HB33" s="12"/>
      <c r="HC33" s="12"/>
      <c r="HD33" s="12"/>
      <c r="HE33" s="12"/>
      <c r="HF33" s="12"/>
      <c r="HG33" s="12"/>
      <c r="HH33" s="12"/>
      <c r="HI33" s="12"/>
      <c r="HJ33" s="12"/>
      <c r="HK33" s="12"/>
      <c r="HL33" s="12"/>
      <c r="HM33" s="12"/>
      <c r="HN33" s="12"/>
      <c r="HO33" s="12"/>
      <c r="HP33" s="12"/>
      <c r="HQ33" s="12"/>
      <c r="HR33" s="12"/>
      <c r="HS33" s="12"/>
      <c r="HT33" s="12"/>
      <c r="HU33" s="12"/>
      <c r="HV33" s="12"/>
      <c r="HW33" s="12"/>
      <c r="HX33" s="12"/>
      <c r="HY33" s="12"/>
      <c r="HZ33" s="12"/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  <c r="IL33" s="12"/>
      <c r="IM33" s="12"/>
      <c r="IN33" s="12"/>
      <c r="IO33" s="12"/>
      <c r="IP33" s="12"/>
      <c r="IQ33" s="12"/>
      <c r="IR33" s="12"/>
      <c r="IS33" s="12"/>
      <c r="IT33" s="12"/>
      <c r="IU33" s="12"/>
      <c r="IV33" s="12"/>
      <c r="IW33" s="12"/>
      <c r="IX33" s="12"/>
      <c r="IY33" s="12"/>
      <c r="IZ33" s="12"/>
      <c r="JA33" s="12"/>
      <c r="JB33" s="12"/>
      <c r="JC33" s="12"/>
      <c r="JD33" s="12"/>
      <c r="JE33" s="12"/>
      <c r="JF33" s="12"/>
      <c r="JG33" s="12"/>
      <c r="JH33" s="12"/>
      <c r="JI33" s="12"/>
      <c r="JJ33" s="12"/>
      <c r="JK33" s="12"/>
      <c r="JL33" s="12"/>
      <c r="JM33" s="12"/>
      <c r="JN33" s="12"/>
      <c r="JO33" s="12"/>
      <c r="JP33" s="12"/>
      <c r="JQ33" s="12"/>
      <c r="JR33" s="12"/>
      <c r="JS33" s="12"/>
      <c r="JT33" s="12"/>
      <c r="JU33" s="12"/>
      <c r="JV33" s="12"/>
      <c r="JW33" s="12"/>
      <c r="JX33" s="12"/>
      <c r="JY33" s="12"/>
      <c r="JZ33" s="12"/>
      <c r="KA33" s="12"/>
      <c r="KB33" s="12"/>
      <c r="KC33" s="12"/>
      <c r="KD33" s="12"/>
      <c r="KE33" s="12"/>
      <c r="KF33" s="12"/>
      <c r="KG33" s="12"/>
      <c r="KH33" s="12"/>
      <c r="KI33" s="12"/>
      <c r="KJ33" s="12"/>
      <c r="KK33" s="12"/>
      <c r="KL33" s="12"/>
      <c r="KM33" s="12"/>
      <c r="KN33" s="12"/>
      <c r="KO33" s="12"/>
      <c r="KP33" s="12"/>
      <c r="KQ33" s="12"/>
      <c r="KR33" s="12"/>
      <c r="KS33" s="12"/>
      <c r="KT33" s="12"/>
      <c r="KU33" s="12"/>
      <c r="KV33" s="12"/>
      <c r="KW33" s="12"/>
      <c r="KX33" s="12"/>
      <c r="KY33" s="12"/>
      <c r="KZ33" s="12"/>
      <c r="LA33" s="12"/>
      <c r="LB33" s="12"/>
      <c r="LC33" s="12"/>
      <c r="LD33" s="12"/>
      <c r="LE33" s="12"/>
      <c r="LF33" s="12"/>
      <c r="LG33" s="12"/>
      <c r="LH33" s="12"/>
      <c r="LI33" s="12"/>
      <c r="LJ33" s="12"/>
      <c r="LK33" s="12"/>
      <c r="LL33" s="12"/>
      <c r="LM33" s="12"/>
      <c r="LN33" s="12"/>
      <c r="LO33" s="12"/>
      <c r="LP33" s="12"/>
      <c r="LQ33" s="12"/>
      <c r="LR33" s="12"/>
      <c r="LS33" s="12"/>
      <c r="LT33" s="12"/>
      <c r="LU33" s="12"/>
      <c r="LV33" s="12"/>
      <c r="LW33" s="12"/>
      <c r="LX33" s="12"/>
      <c r="LY33" s="12"/>
      <c r="LZ33" s="12"/>
      <c r="MA33" s="12"/>
      <c r="MB33" s="12"/>
      <c r="MC33" s="12"/>
      <c r="MD33" s="12"/>
      <c r="ME33" s="12"/>
      <c r="MF33" s="12"/>
      <c r="MG33" s="12"/>
      <c r="MH33" s="12"/>
      <c r="MI33" s="12"/>
      <c r="MJ33" s="12"/>
      <c r="MK33" s="12"/>
      <c r="ML33" s="12"/>
      <c r="MM33" s="12"/>
      <c r="MN33" s="12"/>
      <c r="MO33" s="12"/>
      <c r="MP33" s="12"/>
      <c r="MQ33" s="12"/>
      <c r="MR33" s="12"/>
      <c r="MS33" s="12"/>
      <c r="MT33" s="12"/>
      <c r="MU33" s="12"/>
      <c r="MV33" s="12"/>
      <c r="MW33" s="12"/>
      <c r="MX33" s="12"/>
      <c r="MY33" s="12"/>
      <c r="MZ33" s="12"/>
      <c r="NA33" s="12"/>
      <c r="NB33" s="12"/>
      <c r="NC33" s="12"/>
      <c r="ND33" s="12"/>
      <c r="NE33" s="12"/>
      <c r="NF33" s="12"/>
      <c r="NG33" s="12"/>
      <c r="NH33" s="12"/>
      <c r="NI33" s="12"/>
      <c r="NJ33" s="12"/>
      <c r="NK33" s="12"/>
      <c r="NL33" s="12"/>
      <c r="NM33" s="12"/>
      <c r="NN33" s="12"/>
      <c r="NO33" s="12"/>
      <c r="NP33" s="12"/>
      <c r="NQ33" s="12"/>
      <c r="NR33" s="12"/>
      <c r="NS33" s="12"/>
      <c r="NT33" s="12"/>
      <c r="NU33" s="12"/>
      <c r="NV33" s="12"/>
      <c r="NW33" s="12"/>
      <c r="NX33" s="12"/>
      <c r="NY33" s="12"/>
      <c r="NZ33" s="12"/>
      <c r="OA33" s="12"/>
      <c r="OB33" s="12"/>
      <c r="OC33" s="12"/>
      <c r="OD33" s="12"/>
      <c r="OE33" s="12"/>
      <c r="OF33" s="12"/>
      <c r="OG33" s="12"/>
      <c r="OH33" s="12"/>
      <c r="OI33" s="12"/>
      <c r="OJ33" s="12"/>
      <c r="OK33" s="12"/>
      <c r="OL33" s="12"/>
      <c r="OM33" s="12"/>
      <c r="ON33" s="12"/>
      <c r="OO33" s="12"/>
      <c r="OP33" s="12"/>
      <c r="OQ33" s="12"/>
      <c r="OR33" s="12"/>
      <c r="OS33" s="12"/>
      <c r="OT33" s="12"/>
      <c r="OU33" s="12"/>
      <c r="OV33" s="12"/>
      <c r="OW33" s="12"/>
      <c r="OX33" s="12"/>
      <c r="OY33" s="12"/>
      <c r="OZ33" s="12"/>
      <c r="PA33" s="12"/>
      <c r="PB33" s="12"/>
      <c r="PC33" s="12"/>
      <c r="PD33" s="12"/>
      <c r="PE33" s="12"/>
      <c r="PF33" s="12"/>
      <c r="PG33" s="12"/>
      <c r="PH33" s="12"/>
      <c r="PI33" s="12"/>
      <c r="PJ33" s="12"/>
      <c r="PK33" s="12"/>
      <c r="PL33" s="12"/>
      <c r="PM33" s="12"/>
      <c r="PN33" s="12"/>
      <c r="PO33" s="12"/>
      <c r="PP33" s="12"/>
      <c r="PQ33" s="12"/>
      <c r="PR33" s="12"/>
      <c r="PS33" s="12"/>
      <c r="PT33" s="12"/>
      <c r="PU33" s="12"/>
      <c r="PV33" s="12"/>
      <c r="PW33" s="12"/>
      <c r="PX33" s="12"/>
      <c r="PY33" s="12"/>
      <c r="PZ33" s="12"/>
      <c r="QA33" s="12"/>
      <c r="QB33" s="12"/>
      <c r="QC33" s="12"/>
      <c r="QD33" s="12"/>
      <c r="QE33" s="12"/>
      <c r="QF33" s="12"/>
      <c r="QG33" s="12"/>
      <c r="QH33" s="12"/>
      <c r="QI33" s="12"/>
      <c r="QJ33" s="12"/>
      <c r="QK33" s="12"/>
      <c r="QL33" s="12"/>
      <c r="QM33" s="12"/>
      <c r="QN33" s="12"/>
      <c r="QO33" s="12"/>
      <c r="QP33" s="12"/>
      <c r="QQ33" s="12"/>
      <c r="QR33" s="12"/>
      <c r="QS33" s="12"/>
      <c r="QT33" s="12"/>
      <c r="QU33" s="12"/>
      <c r="QV33" s="12"/>
      <c r="QW33" s="12"/>
      <c r="QX33" s="12"/>
      <c r="QY33" s="12"/>
      <c r="QZ33" s="12"/>
      <c r="RA33" s="12"/>
      <c r="RB33" s="12"/>
      <c r="RC33" s="12"/>
      <c r="RD33" s="12"/>
      <c r="RE33" s="12"/>
      <c r="RF33" s="12"/>
      <c r="RG33" s="12"/>
      <c r="RH33" s="12"/>
      <c r="RI33" s="12"/>
      <c r="RJ33" s="12"/>
      <c r="RK33" s="12"/>
      <c r="RL33" s="12"/>
      <c r="RM33" s="12"/>
      <c r="RN33" s="12"/>
      <c r="RO33" s="12"/>
      <c r="RP33" s="12"/>
      <c r="RQ33" s="12"/>
      <c r="RR33" s="12"/>
      <c r="RS33" s="12"/>
      <c r="RT33" s="12"/>
      <c r="RU33" s="12"/>
      <c r="RV33" s="12"/>
      <c r="RW33" s="12"/>
      <c r="RX33" s="12"/>
      <c r="RY33" s="12"/>
      <c r="RZ33" s="12"/>
      <c r="SA33" s="12"/>
      <c r="SB33" s="12"/>
      <c r="SC33" s="12"/>
      <c r="SD33" s="12"/>
      <c r="SE33" s="12"/>
      <c r="SF33" s="12"/>
      <c r="SG33" s="12"/>
      <c r="SH33" s="12"/>
      <c r="SI33" s="12"/>
      <c r="SJ33" s="12"/>
      <c r="SK33" s="12"/>
      <c r="SL33" s="12"/>
      <c r="SM33" s="12"/>
      <c r="SN33" s="12"/>
      <c r="SO33" s="12"/>
      <c r="SP33" s="12"/>
      <c r="SQ33" s="12"/>
      <c r="SR33" s="12"/>
      <c r="SS33" s="12"/>
      <c r="ST33" s="12"/>
      <c r="SU33" s="12"/>
      <c r="SV33" s="12"/>
      <c r="SW33" s="12"/>
      <c r="SX33" s="12"/>
      <c r="SY33" s="12"/>
      <c r="SZ33" s="12"/>
      <c r="TA33" s="12"/>
      <c r="TB33" s="12"/>
      <c r="TC33" s="12"/>
      <c r="TD33" s="12"/>
      <c r="TE33" s="12"/>
      <c r="TF33" s="12"/>
      <c r="TG33" s="12"/>
      <c r="TH33" s="12"/>
      <c r="TI33" s="12"/>
      <c r="TJ33" s="12"/>
      <c r="TK33" s="12"/>
      <c r="TL33" s="12"/>
      <c r="TM33" s="12"/>
      <c r="TN33" s="12"/>
      <c r="TO33" s="12"/>
      <c r="TP33" s="12"/>
      <c r="TQ33" s="12"/>
      <c r="TR33" s="12"/>
      <c r="TS33" s="12"/>
      <c r="TT33" s="12"/>
      <c r="TU33" s="12"/>
      <c r="TV33" s="12"/>
      <c r="TW33" s="12"/>
      <c r="TX33" s="12"/>
      <c r="TY33" s="12"/>
      <c r="TZ33" s="12"/>
      <c r="UA33" s="12"/>
      <c r="UB33" s="12"/>
      <c r="UC33" s="12"/>
      <c r="UD33" s="12"/>
      <c r="UE33" s="12"/>
      <c r="UF33" s="12"/>
      <c r="UG33" s="12"/>
      <c r="UH33" s="12"/>
      <c r="UI33" s="12"/>
      <c r="UJ33" s="12"/>
      <c r="UK33" s="12"/>
      <c r="UL33" s="12"/>
      <c r="UM33" s="12"/>
      <c r="UN33" s="12"/>
      <c r="UO33" s="12"/>
      <c r="UP33" s="12"/>
      <c r="UQ33" s="12"/>
      <c r="UR33" s="12"/>
      <c r="US33" s="12"/>
      <c r="UT33" s="12"/>
      <c r="UU33" s="12"/>
      <c r="UV33" s="12"/>
      <c r="UW33" s="12"/>
      <c r="UX33" s="12"/>
      <c r="UY33" s="12"/>
      <c r="UZ33" s="12"/>
      <c r="VA33" s="12"/>
      <c r="VB33" s="12"/>
      <c r="VC33" s="12"/>
      <c r="VD33" s="12"/>
      <c r="VE33" s="12"/>
      <c r="VF33" s="12"/>
      <c r="VG33" s="12"/>
      <c r="VH33" s="12"/>
      <c r="VI33" s="12"/>
      <c r="VJ33" s="12"/>
      <c r="VK33" s="12"/>
      <c r="VL33" s="12"/>
      <c r="VM33" s="12"/>
      <c r="VN33" s="12"/>
      <c r="VO33" s="12"/>
      <c r="VP33" s="12"/>
      <c r="VQ33" s="12"/>
      <c r="VR33" s="12"/>
      <c r="VS33" s="12"/>
      <c r="VT33" s="12"/>
      <c r="VU33" s="12"/>
      <c r="VV33" s="12"/>
      <c r="VW33" s="12"/>
      <c r="VX33" s="12"/>
      <c r="VY33" s="12"/>
      <c r="VZ33" s="12"/>
      <c r="WA33" s="12"/>
      <c r="WB33" s="12"/>
      <c r="WC33" s="12"/>
      <c r="WD33" s="12"/>
      <c r="WE33" s="12"/>
      <c r="WF33" s="12"/>
      <c r="WG33" s="12"/>
      <c r="WH33" s="12"/>
      <c r="WI33" s="12"/>
      <c r="WJ33" s="12"/>
      <c r="WK33" s="12"/>
      <c r="WL33" s="12"/>
      <c r="WM33" s="12"/>
      <c r="WN33" s="12"/>
      <c r="WO33" s="12"/>
      <c r="WP33" s="12"/>
      <c r="WQ33" s="12"/>
      <c r="WR33" s="12"/>
      <c r="WS33" s="12"/>
      <c r="WT33" s="12"/>
      <c r="WU33" s="12"/>
      <c r="WV33" s="12"/>
      <c r="WW33" s="12"/>
      <c r="WX33" s="12"/>
      <c r="WY33" s="12"/>
      <c r="WZ33" s="12"/>
      <c r="XA33" s="12"/>
      <c r="XB33" s="12"/>
      <c r="XC33" s="12"/>
      <c r="XD33" s="12"/>
      <c r="XE33" s="12"/>
      <c r="XF33" s="12"/>
      <c r="XG33" s="12"/>
      <c r="XH33" s="12"/>
      <c r="XI33" s="12"/>
      <c r="XJ33" s="12"/>
      <c r="XK33" s="12"/>
      <c r="XL33" s="12"/>
      <c r="XM33" s="12"/>
      <c r="XN33" s="12"/>
      <c r="XO33" s="12"/>
      <c r="XP33" s="12"/>
      <c r="XQ33" s="12"/>
      <c r="XR33" s="12"/>
      <c r="XS33" s="12"/>
      <c r="XT33" s="12"/>
      <c r="XU33" s="12"/>
      <c r="XV33" s="12"/>
      <c r="XW33" s="12"/>
      <c r="XX33" s="12"/>
      <c r="XY33" s="12"/>
      <c r="XZ33" s="12"/>
      <c r="YA33" s="12"/>
      <c r="YB33" s="12"/>
      <c r="YC33" s="12"/>
      <c r="YD33" s="12"/>
      <c r="YE33" s="12"/>
      <c r="YF33" s="12"/>
      <c r="YG33" s="12"/>
      <c r="YH33" s="12"/>
      <c r="YI33" s="12"/>
      <c r="YJ33" s="12"/>
      <c r="YK33" s="12"/>
      <c r="YL33" s="12"/>
      <c r="YM33" s="12"/>
      <c r="YN33" s="12"/>
      <c r="YO33" s="12"/>
      <c r="YP33" s="12"/>
      <c r="YQ33" s="12"/>
      <c r="YR33" s="12"/>
      <c r="YS33" s="12"/>
      <c r="YT33" s="12"/>
      <c r="YU33" s="12"/>
      <c r="YV33" s="12"/>
      <c r="YW33" s="12"/>
      <c r="YX33" s="12"/>
      <c r="YY33" s="12"/>
      <c r="YZ33" s="12"/>
      <c r="ZA33" s="12"/>
      <c r="ZB33" s="12"/>
      <c r="ZC33" s="12"/>
      <c r="ZD33" s="12"/>
      <c r="ZE33" s="12"/>
      <c r="ZF33" s="12"/>
      <c r="ZG33" s="12"/>
      <c r="ZH33" s="12"/>
      <c r="ZI33" s="12"/>
      <c r="ZJ33" s="12"/>
      <c r="ZK33" s="12"/>
      <c r="ZL33" s="12"/>
      <c r="ZM33" s="12"/>
      <c r="ZN33" s="12"/>
      <c r="ZO33" s="12"/>
      <c r="ZP33" s="12"/>
      <c r="ZQ33" s="12"/>
      <c r="ZR33" s="12"/>
      <c r="ZS33" s="12"/>
      <c r="ZT33" s="12"/>
      <c r="ZU33" s="12"/>
      <c r="ZV33" s="12"/>
      <c r="ZW33" s="12"/>
      <c r="ZX33" s="12"/>
      <c r="ZY33" s="12"/>
      <c r="ZZ33" s="12"/>
      <c r="AAA33" s="12"/>
      <c r="AAB33" s="12"/>
      <c r="AAC33" s="12"/>
      <c r="AAD33" s="12"/>
      <c r="AAE33" s="12"/>
      <c r="AAF33" s="12"/>
      <c r="AAG33" s="12"/>
      <c r="AAH33" s="12"/>
      <c r="AAI33" s="12"/>
      <c r="AAJ33" s="12"/>
      <c r="AAK33" s="12"/>
      <c r="AAL33" s="12"/>
      <c r="AAM33" s="12"/>
      <c r="AAN33" s="12"/>
      <c r="AAO33" s="12"/>
      <c r="AAP33" s="12"/>
      <c r="AAQ33" s="12"/>
      <c r="AAR33" s="12"/>
      <c r="AAS33" s="12"/>
      <c r="AAT33" s="12"/>
      <c r="AAU33" s="12"/>
      <c r="AAV33" s="12"/>
      <c r="AAW33" s="12"/>
      <c r="AAX33" s="12"/>
      <c r="AAY33" s="12"/>
      <c r="AAZ33" s="12"/>
      <c r="ABA33" s="12"/>
      <c r="ABB33" s="12"/>
      <c r="ABC33" s="12"/>
      <c r="ABD33" s="12"/>
      <c r="ABE33" s="12"/>
      <c r="ABF33" s="12"/>
      <c r="ABG33" s="12"/>
      <c r="ABH33" s="12"/>
      <c r="ABI33" s="12"/>
      <c r="ABJ33" s="12"/>
      <c r="ABK33" s="12"/>
      <c r="ABL33" s="12"/>
      <c r="ABM33" s="12"/>
      <c r="ABN33" s="12"/>
      <c r="ABO33" s="12"/>
      <c r="ABP33" s="12"/>
      <c r="ABQ33" s="12"/>
      <c r="ABR33" s="12"/>
      <c r="ABS33" s="12"/>
      <c r="ABT33" s="12"/>
      <c r="ABU33" s="12"/>
      <c r="ABV33" s="12"/>
      <c r="ABW33" s="12"/>
      <c r="ABX33" s="12"/>
      <c r="ABY33" s="12"/>
      <c r="ABZ33" s="12"/>
      <c r="ACA33" s="12"/>
      <c r="ACB33" s="12"/>
      <c r="ACC33" s="12"/>
      <c r="ACD33" s="12"/>
      <c r="ACE33" s="12"/>
      <c r="ACF33" s="12"/>
      <c r="ACG33" s="12"/>
      <c r="ACH33" s="12"/>
      <c r="ACI33" s="12"/>
      <c r="ACJ33" s="12"/>
      <c r="ACK33" s="12"/>
      <c r="ACL33" s="12"/>
      <c r="ACM33" s="12"/>
      <c r="ACN33" s="12"/>
      <c r="ACO33" s="12"/>
      <c r="ACP33" s="12"/>
      <c r="ACQ33" s="12"/>
      <c r="ACR33" s="12"/>
      <c r="ACS33" s="12"/>
      <c r="ACT33" s="12"/>
      <c r="ACU33" s="12"/>
      <c r="ACV33" s="12"/>
      <c r="ACW33" s="12"/>
      <c r="ACX33" s="12"/>
      <c r="ACY33" s="12"/>
      <c r="ACZ33" s="12"/>
      <c r="ADA33" s="12"/>
      <c r="ADB33" s="12"/>
      <c r="ADC33" s="12"/>
      <c r="ADD33" s="12"/>
      <c r="ADE33" s="12"/>
      <c r="ADF33" s="12"/>
      <c r="ADG33" s="12"/>
      <c r="ADH33" s="12"/>
      <c r="ADI33" s="12"/>
      <c r="ADJ33" s="12"/>
      <c r="ADK33" s="12"/>
      <c r="ADL33" s="12"/>
      <c r="ADM33" s="12"/>
      <c r="ADN33" s="12"/>
      <c r="ADO33" s="12"/>
      <c r="ADP33" s="12"/>
      <c r="ADQ33" s="12"/>
      <c r="ADR33" s="12"/>
      <c r="ADS33" s="12"/>
      <c r="ADT33" s="12"/>
      <c r="ADU33" s="12"/>
      <c r="ADV33" s="12"/>
      <c r="ADW33" s="12"/>
      <c r="ADX33" s="12"/>
      <c r="ADY33" s="12"/>
      <c r="ADZ33" s="12"/>
      <c r="AEA33" s="12"/>
      <c r="AEB33" s="12"/>
      <c r="AEC33" s="12"/>
      <c r="AED33" s="12"/>
      <c r="AEE33" s="12"/>
      <c r="AEF33" s="12"/>
      <c r="AEG33" s="12"/>
      <c r="AEH33" s="12"/>
      <c r="AEI33" s="12"/>
      <c r="AEJ33" s="12"/>
      <c r="AEK33" s="12"/>
      <c r="AEL33" s="12"/>
      <c r="AEM33" s="12"/>
      <c r="AEN33" s="12"/>
      <c r="AEO33" s="12"/>
      <c r="AEP33" s="12"/>
      <c r="AEQ33" s="12"/>
      <c r="AER33" s="12"/>
      <c r="AES33" s="12"/>
      <c r="AET33" s="12"/>
      <c r="AEU33" s="12"/>
      <c r="AEV33" s="12"/>
    </row>
    <row r="34" spans="1:828" s="27" customFormat="1" ht="19" x14ac:dyDescent="0.2">
      <c r="A34" s="21" t="s">
        <v>27</v>
      </c>
      <c r="B34" s="46">
        <f t="shared" si="0"/>
        <v>6.5794472189535519E-2</v>
      </c>
      <c r="C34" s="25" t="s">
        <v>28</v>
      </c>
      <c r="D34" s="24">
        <f>4354+15+2732</f>
        <v>7101</v>
      </c>
      <c r="E34" s="46">
        <f>SUM(G34:G41)/D74</f>
        <v>0.20160849463062996</v>
      </c>
      <c r="F34" s="23" t="s">
        <v>67</v>
      </c>
      <c r="G34" s="29">
        <v>17964</v>
      </c>
      <c r="H34" s="26">
        <f>SUM(J34:J38)/J74</f>
        <v>6.8124786129804951E-2</v>
      </c>
      <c r="I34" s="25" t="s">
        <v>29</v>
      </c>
      <c r="J34" s="24">
        <v>7090</v>
      </c>
      <c r="K34" s="26">
        <f>SUM(M34:M42)/J74</f>
        <v>0.16041215162921563</v>
      </c>
      <c r="L34" s="25" t="s">
        <v>30</v>
      </c>
      <c r="M34" s="24">
        <v>592</v>
      </c>
      <c r="N34" s="47">
        <f>G34/$D$74</f>
        <v>0.16644583839076413</v>
      </c>
      <c r="O34" s="47">
        <f>M34/$J$74</f>
        <v>5.6271624653055014E-3</v>
      </c>
      <c r="P34" s="48"/>
      <c r="Q34"/>
      <c r="R34"/>
      <c r="S34"/>
      <c r="T34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2"/>
      <c r="FJ34" s="12"/>
      <c r="FK34" s="12"/>
      <c r="FL34" s="12"/>
      <c r="FM34" s="12"/>
      <c r="FN34" s="12"/>
      <c r="FO34" s="12"/>
      <c r="FP34" s="12"/>
      <c r="FQ34" s="12"/>
      <c r="FR34" s="12"/>
      <c r="FS34" s="12"/>
      <c r="FT34" s="12"/>
      <c r="FU34" s="12"/>
      <c r="FV34" s="12"/>
      <c r="FW34" s="12"/>
      <c r="FX34" s="12"/>
      <c r="FY34" s="12"/>
      <c r="FZ34" s="12"/>
      <c r="GA34" s="12"/>
      <c r="GB34" s="12"/>
      <c r="GC34" s="12"/>
      <c r="GD34" s="12"/>
      <c r="GE34" s="12"/>
      <c r="GF34" s="12"/>
      <c r="GG34" s="12"/>
      <c r="GH34" s="12"/>
      <c r="GI34" s="12"/>
      <c r="GJ34" s="12"/>
      <c r="GK34" s="12"/>
      <c r="GL34" s="12"/>
      <c r="GM34" s="12"/>
      <c r="GN34" s="12"/>
      <c r="GO34" s="12"/>
      <c r="GP34" s="12"/>
      <c r="GQ34" s="12"/>
      <c r="GR34" s="12"/>
      <c r="GS34" s="12"/>
      <c r="GT34" s="12"/>
      <c r="GU34" s="12"/>
      <c r="GV34" s="12"/>
      <c r="GW34" s="12"/>
      <c r="GX34" s="12"/>
      <c r="GY34" s="12"/>
      <c r="GZ34" s="12"/>
      <c r="HA34" s="12"/>
      <c r="HB34" s="12"/>
      <c r="HC34" s="12"/>
      <c r="HD34" s="12"/>
      <c r="HE34" s="12"/>
      <c r="HF34" s="12"/>
      <c r="HG34" s="12"/>
      <c r="HH34" s="12"/>
      <c r="HI34" s="12"/>
      <c r="HJ34" s="12"/>
      <c r="HK34" s="12"/>
      <c r="HL34" s="12"/>
      <c r="HM34" s="12"/>
      <c r="HN34" s="12"/>
      <c r="HO34" s="12"/>
      <c r="HP34" s="12"/>
      <c r="HQ34" s="12"/>
      <c r="HR34" s="12"/>
      <c r="HS34" s="12"/>
      <c r="HT34" s="12"/>
      <c r="HU34" s="12"/>
      <c r="HV34" s="12"/>
      <c r="HW34" s="12"/>
      <c r="HX34" s="12"/>
      <c r="HY34" s="12"/>
      <c r="HZ34" s="12"/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  <c r="IL34" s="12"/>
      <c r="IM34" s="12"/>
      <c r="IN34" s="12"/>
      <c r="IO34" s="12"/>
      <c r="IP34" s="12"/>
      <c r="IQ34" s="12"/>
      <c r="IR34" s="12"/>
      <c r="IS34" s="12"/>
      <c r="IT34" s="12"/>
      <c r="IU34" s="12"/>
      <c r="IV34" s="12"/>
      <c r="IW34" s="12"/>
      <c r="IX34" s="12"/>
      <c r="IY34" s="12"/>
      <c r="IZ34" s="12"/>
      <c r="JA34" s="12"/>
      <c r="JB34" s="12"/>
      <c r="JC34" s="12"/>
      <c r="JD34" s="12"/>
      <c r="JE34" s="12"/>
      <c r="JF34" s="12"/>
      <c r="JG34" s="12"/>
      <c r="JH34" s="12"/>
      <c r="JI34" s="12"/>
      <c r="JJ34" s="12"/>
      <c r="JK34" s="12"/>
      <c r="JL34" s="12"/>
      <c r="JM34" s="12"/>
      <c r="JN34" s="12"/>
      <c r="JO34" s="12"/>
      <c r="JP34" s="12"/>
      <c r="JQ34" s="12"/>
      <c r="JR34" s="12"/>
      <c r="JS34" s="12"/>
      <c r="JT34" s="12"/>
      <c r="JU34" s="12"/>
      <c r="JV34" s="12"/>
      <c r="JW34" s="12"/>
      <c r="JX34" s="12"/>
      <c r="JY34" s="12"/>
      <c r="JZ34" s="12"/>
      <c r="KA34" s="12"/>
      <c r="KB34" s="12"/>
      <c r="KC34" s="12"/>
      <c r="KD34" s="12"/>
      <c r="KE34" s="12"/>
      <c r="KF34" s="12"/>
      <c r="KG34" s="12"/>
      <c r="KH34" s="12"/>
      <c r="KI34" s="12"/>
      <c r="KJ34" s="12"/>
      <c r="KK34" s="12"/>
      <c r="KL34" s="12"/>
      <c r="KM34" s="12"/>
      <c r="KN34" s="12"/>
      <c r="KO34" s="12"/>
      <c r="KP34" s="12"/>
      <c r="KQ34" s="12"/>
      <c r="KR34" s="12"/>
      <c r="KS34" s="12"/>
      <c r="KT34" s="12"/>
      <c r="KU34" s="12"/>
      <c r="KV34" s="12"/>
      <c r="KW34" s="12"/>
      <c r="KX34" s="12"/>
      <c r="KY34" s="12"/>
      <c r="KZ34" s="12"/>
      <c r="LA34" s="12"/>
      <c r="LB34" s="12"/>
      <c r="LC34" s="12"/>
      <c r="LD34" s="12"/>
      <c r="LE34" s="12"/>
      <c r="LF34" s="12"/>
      <c r="LG34" s="12"/>
      <c r="LH34" s="12"/>
      <c r="LI34" s="12"/>
      <c r="LJ34" s="12"/>
      <c r="LK34" s="12"/>
      <c r="LL34" s="12"/>
      <c r="LM34" s="12"/>
      <c r="LN34" s="12"/>
      <c r="LO34" s="12"/>
      <c r="LP34" s="12"/>
      <c r="LQ34" s="12"/>
      <c r="LR34" s="12"/>
      <c r="LS34" s="12"/>
      <c r="LT34" s="12"/>
      <c r="LU34" s="12"/>
      <c r="LV34" s="12"/>
      <c r="LW34" s="12"/>
      <c r="LX34" s="12"/>
      <c r="LY34" s="12"/>
      <c r="LZ34" s="12"/>
      <c r="MA34" s="12"/>
      <c r="MB34" s="12"/>
      <c r="MC34" s="12"/>
      <c r="MD34" s="12"/>
      <c r="ME34" s="12"/>
      <c r="MF34" s="12"/>
      <c r="MG34" s="12"/>
      <c r="MH34" s="12"/>
      <c r="MI34" s="12"/>
      <c r="MJ34" s="12"/>
      <c r="MK34" s="12"/>
      <c r="ML34" s="12"/>
      <c r="MM34" s="12"/>
      <c r="MN34" s="12"/>
      <c r="MO34" s="12"/>
      <c r="MP34" s="12"/>
      <c r="MQ34" s="12"/>
      <c r="MR34" s="12"/>
      <c r="MS34" s="12"/>
      <c r="MT34" s="12"/>
      <c r="MU34" s="12"/>
      <c r="MV34" s="12"/>
      <c r="MW34" s="12"/>
      <c r="MX34" s="12"/>
      <c r="MY34" s="12"/>
      <c r="MZ34" s="12"/>
      <c r="NA34" s="12"/>
      <c r="NB34" s="12"/>
      <c r="NC34" s="12"/>
      <c r="ND34" s="12"/>
      <c r="NE34" s="12"/>
      <c r="NF34" s="12"/>
      <c r="NG34" s="12"/>
      <c r="NH34" s="12"/>
      <c r="NI34" s="12"/>
      <c r="NJ34" s="12"/>
      <c r="NK34" s="12"/>
      <c r="NL34" s="12"/>
      <c r="NM34" s="12"/>
      <c r="NN34" s="12"/>
      <c r="NO34" s="12"/>
      <c r="NP34" s="12"/>
      <c r="NQ34" s="12"/>
      <c r="NR34" s="12"/>
      <c r="NS34" s="12"/>
      <c r="NT34" s="12"/>
      <c r="NU34" s="12"/>
      <c r="NV34" s="12"/>
      <c r="NW34" s="12"/>
      <c r="NX34" s="12"/>
      <c r="NY34" s="12"/>
      <c r="NZ34" s="12"/>
      <c r="OA34" s="12"/>
      <c r="OB34" s="12"/>
      <c r="OC34" s="12"/>
      <c r="OD34" s="12"/>
      <c r="OE34" s="12"/>
      <c r="OF34" s="12"/>
      <c r="OG34" s="12"/>
      <c r="OH34" s="12"/>
      <c r="OI34" s="12"/>
      <c r="OJ34" s="12"/>
      <c r="OK34" s="12"/>
      <c r="OL34" s="12"/>
      <c r="OM34" s="12"/>
      <c r="ON34" s="12"/>
      <c r="OO34" s="12"/>
      <c r="OP34" s="12"/>
      <c r="OQ34" s="12"/>
      <c r="OR34" s="12"/>
      <c r="OS34" s="12"/>
      <c r="OT34" s="12"/>
      <c r="OU34" s="12"/>
      <c r="OV34" s="12"/>
      <c r="OW34" s="12"/>
      <c r="OX34" s="12"/>
      <c r="OY34" s="12"/>
      <c r="OZ34" s="12"/>
      <c r="PA34" s="12"/>
      <c r="PB34" s="12"/>
      <c r="PC34" s="12"/>
      <c r="PD34" s="12"/>
      <c r="PE34" s="12"/>
      <c r="PF34" s="12"/>
      <c r="PG34" s="12"/>
      <c r="PH34" s="12"/>
      <c r="PI34" s="12"/>
      <c r="PJ34" s="12"/>
      <c r="PK34" s="12"/>
      <c r="PL34" s="12"/>
      <c r="PM34" s="12"/>
      <c r="PN34" s="12"/>
      <c r="PO34" s="12"/>
      <c r="PP34" s="12"/>
      <c r="PQ34" s="12"/>
      <c r="PR34" s="12"/>
      <c r="PS34" s="12"/>
      <c r="PT34" s="12"/>
      <c r="PU34" s="12"/>
      <c r="PV34" s="12"/>
      <c r="PW34" s="12"/>
      <c r="PX34" s="12"/>
      <c r="PY34" s="12"/>
      <c r="PZ34" s="12"/>
      <c r="QA34" s="12"/>
      <c r="QB34" s="12"/>
      <c r="QC34" s="12"/>
      <c r="QD34" s="12"/>
      <c r="QE34" s="12"/>
      <c r="QF34" s="12"/>
      <c r="QG34" s="12"/>
      <c r="QH34" s="12"/>
      <c r="QI34" s="12"/>
      <c r="QJ34" s="12"/>
      <c r="QK34" s="12"/>
      <c r="QL34" s="12"/>
      <c r="QM34" s="12"/>
      <c r="QN34" s="12"/>
      <c r="QO34" s="12"/>
      <c r="QP34" s="12"/>
      <c r="QQ34" s="12"/>
      <c r="QR34" s="12"/>
      <c r="QS34" s="12"/>
      <c r="QT34" s="12"/>
      <c r="QU34" s="12"/>
      <c r="QV34" s="12"/>
      <c r="QW34" s="12"/>
      <c r="QX34" s="12"/>
      <c r="QY34" s="12"/>
      <c r="QZ34" s="12"/>
      <c r="RA34" s="12"/>
      <c r="RB34" s="12"/>
      <c r="RC34" s="12"/>
      <c r="RD34" s="12"/>
      <c r="RE34" s="12"/>
      <c r="RF34" s="12"/>
      <c r="RG34" s="12"/>
      <c r="RH34" s="12"/>
      <c r="RI34" s="12"/>
      <c r="RJ34" s="12"/>
      <c r="RK34" s="12"/>
      <c r="RL34" s="12"/>
      <c r="RM34" s="12"/>
      <c r="RN34" s="12"/>
      <c r="RO34" s="12"/>
      <c r="RP34" s="12"/>
      <c r="RQ34" s="12"/>
      <c r="RR34" s="12"/>
      <c r="RS34" s="12"/>
      <c r="RT34" s="12"/>
      <c r="RU34" s="12"/>
      <c r="RV34" s="12"/>
      <c r="RW34" s="12"/>
      <c r="RX34" s="12"/>
      <c r="RY34" s="12"/>
      <c r="RZ34" s="12"/>
      <c r="SA34" s="12"/>
      <c r="SB34" s="12"/>
      <c r="SC34" s="12"/>
      <c r="SD34" s="12"/>
      <c r="SE34" s="12"/>
      <c r="SF34" s="12"/>
      <c r="SG34" s="12"/>
      <c r="SH34" s="12"/>
      <c r="SI34" s="12"/>
      <c r="SJ34" s="12"/>
      <c r="SK34" s="12"/>
      <c r="SL34" s="12"/>
      <c r="SM34" s="12"/>
      <c r="SN34" s="12"/>
      <c r="SO34" s="12"/>
      <c r="SP34" s="12"/>
      <c r="SQ34" s="12"/>
      <c r="SR34" s="12"/>
      <c r="SS34" s="12"/>
      <c r="ST34" s="12"/>
      <c r="SU34" s="12"/>
      <c r="SV34" s="12"/>
      <c r="SW34" s="12"/>
      <c r="SX34" s="12"/>
      <c r="SY34" s="12"/>
      <c r="SZ34" s="12"/>
      <c r="TA34" s="12"/>
      <c r="TB34" s="12"/>
      <c r="TC34" s="12"/>
      <c r="TD34" s="12"/>
      <c r="TE34" s="12"/>
      <c r="TF34" s="12"/>
      <c r="TG34" s="12"/>
      <c r="TH34" s="12"/>
      <c r="TI34" s="12"/>
      <c r="TJ34" s="12"/>
      <c r="TK34" s="12"/>
      <c r="TL34" s="12"/>
      <c r="TM34" s="12"/>
      <c r="TN34" s="12"/>
      <c r="TO34" s="12"/>
      <c r="TP34" s="12"/>
      <c r="TQ34" s="12"/>
      <c r="TR34" s="12"/>
      <c r="TS34" s="12"/>
      <c r="TT34" s="12"/>
      <c r="TU34" s="12"/>
      <c r="TV34" s="12"/>
      <c r="TW34" s="12"/>
      <c r="TX34" s="12"/>
      <c r="TY34" s="12"/>
      <c r="TZ34" s="12"/>
      <c r="UA34" s="12"/>
      <c r="UB34" s="12"/>
      <c r="UC34" s="12"/>
      <c r="UD34" s="12"/>
      <c r="UE34" s="12"/>
      <c r="UF34" s="12"/>
      <c r="UG34" s="12"/>
      <c r="UH34" s="12"/>
      <c r="UI34" s="12"/>
      <c r="UJ34" s="12"/>
      <c r="UK34" s="12"/>
      <c r="UL34" s="12"/>
      <c r="UM34" s="12"/>
      <c r="UN34" s="12"/>
      <c r="UO34" s="12"/>
      <c r="UP34" s="12"/>
      <c r="UQ34" s="12"/>
      <c r="UR34" s="12"/>
      <c r="US34" s="12"/>
      <c r="UT34" s="12"/>
      <c r="UU34" s="12"/>
      <c r="UV34" s="12"/>
      <c r="UW34" s="12"/>
      <c r="UX34" s="12"/>
      <c r="UY34" s="12"/>
      <c r="UZ34" s="12"/>
      <c r="VA34" s="12"/>
      <c r="VB34" s="12"/>
      <c r="VC34" s="12"/>
      <c r="VD34" s="12"/>
      <c r="VE34" s="12"/>
      <c r="VF34" s="12"/>
      <c r="VG34" s="12"/>
      <c r="VH34" s="12"/>
      <c r="VI34" s="12"/>
      <c r="VJ34" s="12"/>
      <c r="VK34" s="12"/>
      <c r="VL34" s="12"/>
      <c r="VM34" s="12"/>
      <c r="VN34" s="12"/>
      <c r="VO34" s="12"/>
      <c r="VP34" s="12"/>
      <c r="VQ34" s="12"/>
      <c r="VR34" s="12"/>
      <c r="VS34" s="12"/>
      <c r="VT34" s="12"/>
      <c r="VU34" s="12"/>
      <c r="VV34" s="12"/>
      <c r="VW34" s="12"/>
      <c r="VX34" s="12"/>
      <c r="VY34" s="12"/>
      <c r="VZ34" s="12"/>
      <c r="WA34" s="12"/>
      <c r="WB34" s="12"/>
      <c r="WC34" s="12"/>
      <c r="WD34" s="12"/>
      <c r="WE34" s="12"/>
      <c r="WF34" s="12"/>
      <c r="WG34" s="12"/>
      <c r="WH34" s="12"/>
      <c r="WI34" s="12"/>
      <c r="WJ34" s="12"/>
      <c r="WK34" s="12"/>
      <c r="WL34" s="12"/>
      <c r="WM34" s="12"/>
      <c r="WN34" s="12"/>
      <c r="WO34" s="12"/>
      <c r="WP34" s="12"/>
      <c r="WQ34" s="12"/>
      <c r="WR34" s="12"/>
      <c r="WS34" s="12"/>
      <c r="WT34" s="12"/>
      <c r="WU34" s="12"/>
      <c r="WV34" s="12"/>
      <c r="WW34" s="12"/>
      <c r="WX34" s="12"/>
      <c r="WY34" s="12"/>
      <c r="WZ34" s="12"/>
      <c r="XA34" s="12"/>
      <c r="XB34" s="12"/>
      <c r="XC34" s="12"/>
      <c r="XD34" s="12"/>
      <c r="XE34" s="12"/>
      <c r="XF34" s="12"/>
      <c r="XG34" s="12"/>
      <c r="XH34" s="12"/>
      <c r="XI34" s="12"/>
      <c r="XJ34" s="12"/>
      <c r="XK34" s="12"/>
      <c r="XL34" s="12"/>
      <c r="XM34" s="12"/>
      <c r="XN34" s="12"/>
      <c r="XO34" s="12"/>
      <c r="XP34" s="12"/>
      <c r="XQ34" s="12"/>
      <c r="XR34" s="12"/>
      <c r="XS34" s="12"/>
      <c r="XT34" s="12"/>
      <c r="XU34" s="12"/>
      <c r="XV34" s="12"/>
      <c r="XW34" s="12"/>
      <c r="XX34" s="12"/>
      <c r="XY34" s="12"/>
      <c r="XZ34" s="12"/>
      <c r="YA34" s="12"/>
      <c r="YB34" s="12"/>
      <c r="YC34" s="12"/>
      <c r="YD34" s="12"/>
      <c r="YE34" s="12"/>
      <c r="YF34" s="12"/>
      <c r="YG34" s="12"/>
      <c r="YH34" s="12"/>
      <c r="YI34" s="12"/>
      <c r="YJ34" s="12"/>
      <c r="YK34" s="12"/>
      <c r="YL34" s="12"/>
      <c r="YM34" s="12"/>
      <c r="YN34" s="12"/>
      <c r="YO34" s="12"/>
      <c r="YP34" s="12"/>
      <c r="YQ34" s="12"/>
      <c r="YR34" s="12"/>
      <c r="YS34" s="12"/>
      <c r="YT34" s="12"/>
      <c r="YU34" s="12"/>
      <c r="YV34" s="12"/>
      <c r="YW34" s="12"/>
      <c r="YX34" s="12"/>
      <c r="YY34" s="12"/>
      <c r="YZ34" s="12"/>
      <c r="ZA34" s="12"/>
      <c r="ZB34" s="12"/>
      <c r="ZC34" s="12"/>
      <c r="ZD34" s="12"/>
      <c r="ZE34" s="12"/>
      <c r="ZF34" s="12"/>
      <c r="ZG34" s="12"/>
      <c r="ZH34" s="12"/>
      <c r="ZI34" s="12"/>
      <c r="ZJ34" s="12"/>
      <c r="ZK34" s="12"/>
      <c r="ZL34" s="12"/>
      <c r="ZM34" s="12"/>
      <c r="ZN34" s="12"/>
      <c r="ZO34" s="12"/>
      <c r="ZP34" s="12"/>
      <c r="ZQ34" s="12"/>
      <c r="ZR34" s="12"/>
      <c r="ZS34" s="12"/>
      <c r="ZT34" s="12"/>
      <c r="ZU34" s="12"/>
      <c r="ZV34" s="12"/>
      <c r="ZW34" s="12"/>
      <c r="ZX34" s="12"/>
      <c r="ZY34" s="12"/>
      <c r="ZZ34" s="12"/>
      <c r="AAA34" s="12"/>
      <c r="AAB34" s="12"/>
      <c r="AAC34" s="12"/>
      <c r="AAD34" s="12"/>
      <c r="AAE34" s="12"/>
      <c r="AAF34" s="12"/>
      <c r="AAG34" s="12"/>
      <c r="AAH34" s="12"/>
      <c r="AAI34" s="12"/>
      <c r="AAJ34" s="12"/>
      <c r="AAK34" s="12"/>
      <c r="AAL34" s="12"/>
      <c r="AAM34" s="12"/>
      <c r="AAN34" s="12"/>
      <c r="AAO34" s="12"/>
      <c r="AAP34" s="12"/>
      <c r="AAQ34" s="12"/>
      <c r="AAR34" s="12"/>
      <c r="AAS34" s="12"/>
      <c r="AAT34" s="12"/>
      <c r="AAU34" s="12"/>
      <c r="AAV34" s="12"/>
      <c r="AAW34" s="12"/>
      <c r="AAX34" s="12"/>
      <c r="AAY34" s="12"/>
      <c r="AAZ34" s="12"/>
      <c r="ABA34" s="12"/>
      <c r="ABB34" s="12"/>
      <c r="ABC34" s="12"/>
      <c r="ABD34" s="12"/>
      <c r="ABE34" s="12"/>
      <c r="ABF34" s="12"/>
      <c r="ABG34" s="12"/>
      <c r="ABH34" s="12"/>
      <c r="ABI34" s="12"/>
      <c r="ABJ34" s="12"/>
      <c r="ABK34" s="12"/>
      <c r="ABL34" s="12"/>
      <c r="ABM34" s="12"/>
      <c r="ABN34" s="12"/>
      <c r="ABO34" s="12"/>
      <c r="ABP34" s="12"/>
      <c r="ABQ34" s="12"/>
      <c r="ABR34" s="12"/>
      <c r="ABS34" s="12"/>
      <c r="ABT34" s="12"/>
      <c r="ABU34" s="12"/>
      <c r="ABV34" s="12"/>
      <c r="ABW34" s="12"/>
      <c r="ABX34" s="12"/>
      <c r="ABY34" s="12"/>
      <c r="ABZ34" s="12"/>
      <c r="ACA34" s="12"/>
      <c r="ACB34" s="12"/>
      <c r="ACC34" s="12"/>
      <c r="ACD34" s="12"/>
      <c r="ACE34" s="12"/>
      <c r="ACF34" s="12"/>
      <c r="ACG34" s="12"/>
      <c r="ACH34" s="12"/>
      <c r="ACI34" s="12"/>
      <c r="ACJ34" s="12"/>
      <c r="ACK34" s="12"/>
      <c r="ACL34" s="12"/>
      <c r="ACM34" s="12"/>
      <c r="ACN34" s="12"/>
      <c r="ACO34" s="12"/>
      <c r="ACP34" s="12"/>
      <c r="ACQ34" s="12"/>
      <c r="ACR34" s="12"/>
      <c r="ACS34" s="12"/>
      <c r="ACT34" s="12"/>
      <c r="ACU34" s="12"/>
      <c r="ACV34" s="12"/>
      <c r="ACW34" s="12"/>
      <c r="ACX34" s="12"/>
      <c r="ACY34" s="12"/>
      <c r="ACZ34" s="12"/>
      <c r="ADA34" s="12"/>
      <c r="ADB34" s="12"/>
      <c r="ADC34" s="12"/>
      <c r="ADD34" s="12"/>
      <c r="ADE34" s="12"/>
      <c r="ADF34" s="12"/>
      <c r="ADG34" s="12"/>
      <c r="ADH34" s="12"/>
      <c r="ADI34" s="12"/>
      <c r="ADJ34" s="12"/>
      <c r="ADK34" s="12"/>
      <c r="ADL34" s="12"/>
      <c r="ADM34" s="12"/>
      <c r="ADN34" s="12"/>
      <c r="ADO34" s="12"/>
      <c r="ADP34" s="12"/>
      <c r="ADQ34" s="12"/>
      <c r="ADR34" s="12"/>
      <c r="ADS34" s="12"/>
      <c r="ADT34" s="12"/>
      <c r="ADU34" s="12"/>
      <c r="ADV34" s="12"/>
      <c r="ADW34" s="12"/>
      <c r="ADX34" s="12"/>
      <c r="ADY34" s="12"/>
      <c r="ADZ34" s="12"/>
      <c r="AEA34" s="12"/>
      <c r="AEB34" s="12"/>
      <c r="AEC34" s="12"/>
      <c r="AED34" s="12"/>
      <c r="AEE34" s="12"/>
      <c r="AEF34" s="12"/>
      <c r="AEG34" s="12"/>
      <c r="AEH34" s="12"/>
      <c r="AEI34" s="12"/>
      <c r="AEJ34" s="12"/>
      <c r="AEK34" s="12"/>
      <c r="AEL34" s="12"/>
      <c r="AEM34" s="12"/>
      <c r="AEN34" s="12"/>
      <c r="AEO34" s="12"/>
      <c r="AEP34" s="12"/>
      <c r="AEQ34" s="12"/>
      <c r="AER34" s="12"/>
      <c r="AES34" s="12"/>
      <c r="AET34" s="12"/>
      <c r="AEU34" s="12"/>
      <c r="AEV34" s="12"/>
    </row>
    <row r="35" spans="1:828" s="27" customFormat="1" ht="18" x14ac:dyDescent="0.2">
      <c r="A35" s="49"/>
      <c r="D35" s="29"/>
      <c r="E35" s="23"/>
      <c r="F35" s="23" t="s">
        <v>69</v>
      </c>
      <c r="G35" s="29">
        <v>1625</v>
      </c>
      <c r="H35" s="50"/>
      <c r="I35" s="23"/>
      <c r="J35" s="29"/>
      <c r="K35" s="50"/>
      <c r="L35" s="23" t="s">
        <v>31</v>
      </c>
      <c r="M35" s="29">
        <v>14334</v>
      </c>
      <c r="N35" s="47">
        <f t="shared" ref="N35:N61" si="1">G35/$D$74</f>
        <v>1.50564733569913E-2</v>
      </c>
      <c r="O35" s="47">
        <f t="shared" ref="O35:O61" si="2">M35/$J$74</f>
        <v>0.1362495722596099</v>
      </c>
      <c r="P35" s="48"/>
      <c r="Q35"/>
      <c r="R35"/>
      <c r="S35"/>
      <c r="T35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  <c r="IL35" s="12"/>
      <c r="IM35" s="12"/>
      <c r="IN35" s="12"/>
      <c r="IO35" s="12"/>
      <c r="IP35" s="12"/>
      <c r="IQ35" s="12"/>
      <c r="IR35" s="12"/>
      <c r="IS35" s="12"/>
      <c r="IT35" s="12"/>
      <c r="IU35" s="12"/>
      <c r="IV35" s="12"/>
      <c r="IW35" s="12"/>
      <c r="IX35" s="12"/>
      <c r="IY35" s="12"/>
      <c r="IZ35" s="12"/>
      <c r="JA35" s="12"/>
      <c r="JB35" s="12"/>
      <c r="JC35" s="12"/>
      <c r="JD35" s="12"/>
      <c r="JE35" s="12"/>
      <c r="JF35" s="12"/>
      <c r="JG35" s="12"/>
      <c r="JH35" s="12"/>
      <c r="JI35" s="12"/>
      <c r="JJ35" s="12"/>
      <c r="JK35" s="12"/>
      <c r="JL35" s="12"/>
      <c r="JM35" s="12"/>
      <c r="JN35" s="12"/>
      <c r="JO35" s="12"/>
      <c r="JP35" s="12"/>
      <c r="JQ35" s="12"/>
      <c r="JR35" s="12"/>
      <c r="JS35" s="12"/>
      <c r="JT35" s="12"/>
      <c r="JU35" s="12"/>
      <c r="JV35" s="12"/>
      <c r="JW35" s="12"/>
      <c r="JX35" s="12"/>
      <c r="JY35" s="12"/>
      <c r="JZ35" s="12"/>
      <c r="KA35" s="12"/>
      <c r="KB35" s="12"/>
      <c r="KC35" s="12"/>
      <c r="KD35" s="12"/>
      <c r="KE35" s="12"/>
      <c r="KF35" s="12"/>
      <c r="KG35" s="12"/>
      <c r="KH35" s="12"/>
      <c r="KI35" s="12"/>
      <c r="KJ35" s="12"/>
      <c r="KK35" s="12"/>
      <c r="KL35" s="12"/>
      <c r="KM35" s="12"/>
      <c r="KN35" s="12"/>
      <c r="KO35" s="12"/>
      <c r="KP35" s="12"/>
      <c r="KQ35" s="12"/>
      <c r="KR35" s="12"/>
      <c r="KS35" s="12"/>
      <c r="KT35" s="12"/>
      <c r="KU35" s="12"/>
      <c r="KV35" s="12"/>
      <c r="KW35" s="12"/>
      <c r="KX35" s="12"/>
      <c r="KY35" s="12"/>
      <c r="KZ35" s="12"/>
      <c r="LA35" s="12"/>
      <c r="LB35" s="12"/>
      <c r="LC35" s="12"/>
      <c r="LD35" s="12"/>
      <c r="LE35" s="12"/>
      <c r="LF35" s="12"/>
      <c r="LG35" s="12"/>
      <c r="LH35" s="12"/>
      <c r="LI35" s="12"/>
      <c r="LJ35" s="12"/>
      <c r="LK35" s="12"/>
      <c r="LL35" s="12"/>
      <c r="LM35" s="12"/>
      <c r="LN35" s="12"/>
      <c r="LO35" s="12"/>
      <c r="LP35" s="12"/>
      <c r="LQ35" s="12"/>
      <c r="LR35" s="12"/>
      <c r="LS35" s="12"/>
      <c r="LT35" s="12"/>
      <c r="LU35" s="12"/>
      <c r="LV35" s="12"/>
      <c r="LW35" s="12"/>
      <c r="LX35" s="12"/>
      <c r="LY35" s="12"/>
      <c r="LZ35" s="12"/>
      <c r="MA35" s="12"/>
      <c r="MB35" s="12"/>
      <c r="MC35" s="12"/>
      <c r="MD35" s="12"/>
      <c r="ME35" s="12"/>
      <c r="MF35" s="12"/>
      <c r="MG35" s="12"/>
      <c r="MH35" s="12"/>
      <c r="MI35" s="12"/>
      <c r="MJ35" s="12"/>
      <c r="MK35" s="12"/>
      <c r="ML35" s="12"/>
      <c r="MM35" s="12"/>
      <c r="MN35" s="12"/>
      <c r="MO35" s="12"/>
      <c r="MP35" s="12"/>
      <c r="MQ35" s="12"/>
      <c r="MR35" s="12"/>
      <c r="MS35" s="12"/>
      <c r="MT35" s="12"/>
      <c r="MU35" s="12"/>
      <c r="MV35" s="12"/>
      <c r="MW35" s="12"/>
      <c r="MX35" s="12"/>
      <c r="MY35" s="12"/>
      <c r="MZ35" s="12"/>
      <c r="NA35" s="12"/>
      <c r="NB35" s="12"/>
      <c r="NC35" s="12"/>
      <c r="ND35" s="12"/>
      <c r="NE35" s="12"/>
      <c r="NF35" s="12"/>
      <c r="NG35" s="12"/>
      <c r="NH35" s="12"/>
      <c r="NI35" s="12"/>
      <c r="NJ35" s="12"/>
      <c r="NK35" s="12"/>
      <c r="NL35" s="12"/>
      <c r="NM35" s="12"/>
      <c r="NN35" s="12"/>
      <c r="NO35" s="12"/>
      <c r="NP35" s="12"/>
      <c r="NQ35" s="12"/>
      <c r="NR35" s="12"/>
      <c r="NS35" s="12"/>
      <c r="NT35" s="12"/>
      <c r="NU35" s="12"/>
      <c r="NV35" s="12"/>
      <c r="NW35" s="12"/>
      <c r="NX35" s="12"/>
      <c r="NY35" s="12"/>
      <c r="NZ35" s="12"/>
      <c r="OA35" s="12"/>
      <c r="OB35" s="12"/>
      <c r="OC35" s="12"/>
      <c r="OD35" s="12"/>
      <c r="OE35" s="12"/>
      <c r="OF35" s="12"/>
      <c r="OG35" s="12"/>
      <c r="OH35" s="12"/>
      <c r="OI35" s="12"/>
      <c r="OJ35" s="12"/>
      <c r="OK35" s="12"/>
      <c r="OL35" s="12"/>
      <c r="OM35" s="12"/>
      <c r="ON35" s="12"/>
      <c r="OO35" s="12"/>
      <c r="OP35" s="12"/>
      <c r="OQ35" s="12"/>
      <c r="OR35" s="12"/>
      <c r="OS35" s="12"/>
      <c r="OT35" s="12"/>
      <c r="OU35" s="12"/>
      <c r="OV35" s="12"/>
      <c r="OW35" s="12"/>
      <c r="OX35" s="12"/>
      <c r="OY35" s="12"/>
      <c r="OZ35" s="12"/>
      <c r="PA35" s="12"/>
      <c r="PB35" s="12"/>
      <c r="PC35" s="12"/>
      <c r="PD35" s="12"/>
      <c r="PE35" s="12"/>
      <c r="PF35" s="12"/>
      <c r="PG35" s="12"/>
      <c r="PH35" s="12"/>
      <c r="PI35" s="12"/>
      <c r="PJ35" s="12"/>
      <c r="PK35" s="12"/>
      <c r="PL35" s="12"/>
      <c r="PM35" s="12"/>
      <c r="PN35" s="12"/>
      <c r="PO35" s="12"/>
      <c r="PP35" s="12"/>
      <c r="PQ35" s="12"/>
      <c r="PR35" s="12"/>
      <c r="PS35" s="12"/>
      <c r="PT35" s="12"/>
      <c r="PU35" s="12"/>
      <c r="PV35" s="12"/>
      <c r="PW35" s="12"/>
      <c r="PX35" s="12"/>
      <c r="PY35" s="12"/>
      <c r="PZ35" s="12"/>
      <c r="QA35" s="12"/>
      <c r="QB35" s="12"/>
      <c r="QC35" s="12"/>
      <c r="QD35" s="12"/>
      <c r="QE35" s="12"/>
      <c r="QF35" s="12"/>
      <c r="QG35" s="12"/>
      <c r="QH35" s="12"/>
      <c r="QI35" s="12"/>
      <c r="QJ35" s="12"/>
      <c r="QK35" s="12"/>
      <c r="QL35" s="12"/>
      <c r="QM35" s="12"/>
      <c r="QN35" s="12"/>
      <c r="QO35" s="12"/>
      <c r="QP35" s="12"/>
      <c r="QQ35" s="12"/>
      <c r="QR35" s="12"/>
      <c r="QS35" s="12"/>
      <c r="QT35" s="12"/>
      <c r="QU35" s="12"/>
      <c r="QV35" s="12"/>
      <c r="QW35" s="12"/>
      <c r="QX35" s="12"/>
      <c r="QY35" s="12"/>
      <c r="QZ35" s="12"/>
      <c r="RA35" s="12"/>
      <c r="RB35" s="12"/>
      <c r="RC35" s="12"/>
      <c r="RD35" s="12"/>
      <c r="RE35" s="12"/>
      <c r="RF35" s="12"/>
      <c r="RG35" s="12"/>
      <c r="RH35" s="12"/>
      <c r="RI35" s="12"/>
      <c r="RJ35" s="12"/>
      <c r="RK35" s="12"/>
      <c r="RL35" s="12"/>
      <c r="RM35" s="12"/>
      <c r="RN35" s="12"/>
      <c r="RO35" s="12"/>
      <c r="RP35" s="12"/>
      <c r="RQ35" s="12"/>
      <c r="RR35" s="12"/>
      <c r="RS35" s="12"/>
      <c r="RT35" s="12"/>
      <c r="RU35" s="12"/>
      <c r="RV35" s="12"/>
      <c r="RW35" s="12"/>
      <c r="RX35" s="12"/>
      <c r="RY35" s="12"/>
      <c r="RZ35" s="12"/>
      <c r="SA35" s="12"/>
      <c r="SB35" s="12"/>
      <c r="SC35" s="12"/>
      <c r="SD35" s="12"/>
      <c r="SE35" s="12"/>
      <c r="SF35" s="12"/>
      <c r="SG35" s="12"/>
      <c r="SH35" s="12"/>
      <c r="SI35" s="12"/>
      <c r="SJ35" s="12"/>
      <c r="SK35" s="12"/>
      <c r="SL35" s="12"/>
      <c r="SM35" s="12"/>
      <c r="SN35" s="12"/>
      <c r="SO35" s="12"/>
      <c r="SP35" s="12"/>
      <c r="SQ35" s="12"/>
      <c r="SR35" s="12"/>
      <c r="SS35" s="12"/>
      <c r="ST35" s="12"/>
      <c r="SU35" s="12"/>
      <c r="SV35" s="12"/>
      <c r="SW35" s="12"/>
      <c r="SX35" s="12"/>
      <c r="SY35" s="12"/>
      <c r="SZ35" s="12"/>
      <c r="TA35" s="12"/>
      <c r="TB35" s="12"/>
      <c r="TC35" s="12"/>
      <c r="TD35" s="12"/>
      <c r="TE35" s="12"/>
      <c r="TF35" s="12"/>
      <c r="TG35" s="12"/>
      <c r="TH35" s="12"/>
      <c r="TI35" s="12"/>
      <c r="TJ35" s="12"/>
      <c r="TK35" s="12"/>
      <c r="TL35" s="12"/>
      <c r="TM35" s="12"/>
      <c r="TN35" s="12"/>
      <c r="TO35" s="12"/>
      <c r="TP35" s="12"/>
      <c r="TQ35" s="12"/>
      <c r="TR35" s="12"/>
      <c r="TS35" s="12"/>
      <c r="TT35" s="12"/>
      <c r="TU35" s="12"/>
      <c r="TV35" s="12"/>
      <c r="TW35" s="12"/>
      <c r="TX35" s="12"/>
      <c r="TY35" s="12"/>
      <c r="TZ35" s="12"/>
      <c r="UA35" s="12"/>
      <c r="UB35" s="12"/>
      <c r="UC35" s="12"/>
      <c r="UD35" s="12"/>
      <c r="UE35" s="12"/>
      <c r="UF35" s="12"/>
      <c r="UG35" s="12"/>
      <c r="UH35" s="12"/>
      <c r="UI35" s="12"/>
      <c r="UJ35" s="12"/>
      <c r="UK35" s="12"/>
      <c r="UL35" s="12"/>
      <c r="UM35" s="12"/>
      <c r="UN35" s="12"/>
      <c r="UO35" s="12"/>
      <c r="UP35" s="12"/>
      <c r="UQ35" s="12"/>
      <c r="UR35" s="12"/>
      <c r="US35" s="12"/>
      <c r="UT35" s="12"/>
      <c r="UU35" s="12"/>
      <c r="UV35" s="12"/>
      <c r="UW35" s="12"/>
      <c r="UX35" s="12"/>
      <c r="UY35" s="12"/>
      <c r="UZ35" s="12"/>
      <c r="VA35" s="12"/>
      <c r="VB35" s="12"/>
      <c r="VC35" s="12"/>
      <c r="VD35" s="12"/>
      <c r="VE35" s="12"/>
      <c r="VF35" s="12"/>
      <c r="VG35" s="12"/>
      <c r="VH35" s="12"/>
      <c r="VI35" s="12"/>
      <c r="VJ35" s="12"/>
      <c r="VK35" s="12"/>
      <c r="VL35" s="12"/>
      <c r="VM35" s="12"/>
      <c r="VN35" s="12"/>
      <c r="VO35" s="12"/>
      <c r="VP35" s="12"/>
      <c r="VQ35" s="12"/>
      <c r="VR35" s="12"/>
      <c r="VS35" s="12"/>
      <c r="VT35" s="12"/>
      <c r="VU35" s="12"/>
      <c r="VV35" s="12"/>
      <c r="VW35" s="12"/>
      <c r="VX35" s="12"/>
      <c r="VY35" s="12"/>
      <c r="VZ35" s="12"/>
      <c r="WA35" s="12"/>
      <c r="WB35" s="12"/>
      <c r="WC35" s="12"/>
      <c r="WD35" s="12"/>
      <c r="WE35" s="12"/>
      <c r="WF35" s="12"/>
      <c r="WG35" s="12"/>
      <c r="WH35" s="12"/>
      <c r="WI35" s="12"/>
      <c r="WJ35" s="12"/>
      <c r="WK35" s="12"/>
      <c r="WL35" s="12"/>
      <c r="WM35" s="12"/>
      <c r="WN35" s="12"/>
      <c r="WO35" s="12"/>
      <c r="WP35" s="12"/>
      <c r="WQ35" s="12"/>
      <c r="WR35" s="12"/>
      <c r="WS35" s="12"/>
      <c r="WT35" s="12"/>
      <c r="WU35" s="12"/>
      <c r="WV35" s="12"/>
      <c r="WW35" s="12"/>
      <c r="WX35" s="12"/>
      <c r="WY35" s="12"/>
      <c r="WZ35" s="12"/>
      <c r="XA35" s="12"/>
      <c r="XB35" s="12"/>
      <c r="XC35" s="12"/>
      <c r="XD35" s="12"/>
      <c r="XE35" s="12"/>
      <c r="XF35" s="12"/>
      <c r="XG35" s="12"/>
      <c r="XH35" s="12"/>
      <c r="XI35" s="12"/>
      <c r="XJ35" s="12"/>
      <c r="XK35" s="12"/>
      <c r="XL35" s="12"/>
      <c r="XM35" s="12"/>
      <c r="XN35" s="12"/>
      <c r="XO35" s="12"/>
      <c r="XP35" s="12"/>
      <c r="XQ35" s="12"/>
      <c r="XR35" s="12"/>
      <c r="XS35" s="12"/>
      <c r="XT35" s="12"/>
      <c r="XU35" s="12"/>
      <c r="XV35" s="12"/>
      <c r="XW35" s="12"/>
      <c r="XX35" s="12"/>
      <c r="XY35" s="12"/>
      <c r="XZ35" s="12"/>
      <c r="YA35" s="12"/>
      <c r="YB35" s="12"/>
      <c r="YC35" s="12"/>
      <c r="YD35" s="12"/>
      <c r="YE35" s="12"/>
      <c r="YF35" s="12"/>
      <c r="YG35" s="12"/>
      <c r="YH35" s="12"/>
      <c r="YI35" s="12"/>
      <c r="YJ35" s="12"/>
      <c r="YK35" s="12"/>
      <c r="YL35" s="12"/>
      <c r="YM35" s="12"/>
      <c r="YN35" s="12"/>
      <c r="YO35" s="12"/>
      <c r="YP35" s="12"/>
      <c r="YQ35" s="12"/>
      <c r="YR35" s="12"/>
      <c r="YS35" s="12"/>
      <c r="YT35" s="12"/>
      <c r="YU35" s="12"/>
      <c r="YV35" s="12"/>
      <c r="YW35" s="12"/>
      <c r="YX35" s="12"/>
      <c r="YY35" s="12"/>
      <c r="YZ35" s="12"/>
      <c r="ZA35" s="12"/>
      <c r="ZB35" s="12"/>
      <c r="ZC35" s="12"/>
      <c r="ZD35" s="12"/>
      <c r="ZE35" s="12"/>
      <c r="ZF35" s="12"/>
      <c r="ZG35" s="12"/>
      <c r="ZH35" s="12"/>
      <c r="ZI35" s="12"/>
      <c r="ZJ35" s="12"/>
      <c r="ZK35" s="12"/>
      <c r="ZL35" s="12"/>
      <c r="ZM35" s="12"/>
      <c r="ZN35" s="12"/>
      <c r="ZO35" s="12"/>
      <c r="ZP35" s="12"/>
      <c r="ZQ35" s="12"/>
      <c r="ZR35" s="12"/>
      <c r="ZS35" s="12"/>
      <c r="ZT35" s="12"/>
      <c r="ZU35" s="12"/>
      <c r="ZV35" s="12"/>
      <c r="ZW35" s="12"/>
      <c r="ZX35" s="12"/>
      <c r="ZY35" s="12"/>
      <c r="ZZ35" s="12"/>
      <c r="AAA35" s="12"/>
      <c r="AAB35" s="12"/>
      <c r="AAC35" s="12"/>
      <c r="AAD35" s="12"/>
      <c r="AAE35" s="12"/>
      <c r="AAF35" s="12"/>
      <c r="AAG35" s="12"/>
      <c r="AAH35" s="12"/>
      <c r="AAI35" s="12"/>
      <c r="AAJ35" s="12"/>
      <c r="AAK35" s="12"/>
      <c r="AAL35" s="12"/>
      <c r="AAM35" s="12"/>
      <c r="AAN35" s="12"/>
      <c r="AAO35" s="12"/>
      <c r="AAP35" s="12"/>
      <c r="AAQ35" s="12"/>
      <c r="AAR35" s="12"/>
      <c r="AAS35" s="12"/>
      <c r="AAT35" s="12"/>
      <c r="AAU35" s="12"/>
      <c r="AAV35" s="12"/>
      <c r="AAW35" s="12"/>
      <c r="AAX35" s="12"/>
      <c r="AAY35" s="12"/>
      <c r="AAZ35" s="12"/>
      <c r="ABA35" s="12"/>
      <c r="ABB35" s="12"/>
      <c r="ABC35" s="12"/>
      <c r="ABD35" s="12"/>
      <c r="ABE35" s="12"/>
      <c r="ABF35" s="12"/>
      <c r="ABG35" s="12"/>
      <c r="ABH35" s="12"/>
      <c r="ABI35" s="12"/>
      <c r="ABJ35" s="12"/>
      <c r="ABK35" s="12"/>
      <c r="ABL35" s="12"/>
      <c r="ABM35" s="12"/>
      <c r="ABN35" s="12"/>
      <c r="ABO35" s="12"/>
      <c r="ABP35" s="12"/>
      <c r="ABQ35" s="12"/>
      <c r="ABR35" s="12"/>
      <c r="ABS35" s="12"/>
      <c r="ABT35" s="12"/>
      <c r="ABU35" s="12"/>
      <c r="ABV35" s="12"/>
      <c r="ABW35" s="12"/>
      <c r="ABX35" s="12"/>
      <c r="ABY35" s="12"/>
      <c r="ABZ35" s="12"/>
      <c r="ACA35" s="12"/>
      <c r="ACB35" s="12"/>
      <c r="ACC35" s="12"/>
      <c r="ACD35" s="12"/>
      <c r="ACE35" s="12"/>
      <c r="ACF35" s="12"/>
      <c r="ACG35" s="12"/>
      <c r="ACH35" s="12"/>
      <c r="ACI35" s="12"/>
      <c r="ACJ35" s="12"/>
      <c r="ACK35" s="12"/>
      <c r="ACL35" s="12"/>
      <c r="ACM35" s="12"/>
      <c r="ACN35" s="12"/>
      <c r="ACO35" s="12"/>
      <c r="ACP35" s="12"/>
      <c r="ACQ35" s="12"/>
      <c r="ACR35" s="12"/>
      <c r="ACS35" s="12"/>
      <c r="ACT35" s="12"/>
      <c r="ACU35" s="12"/>
      <c r="ACV35" s="12"/>
      <c r="ACW35" s="12"/>
      <c r="ACX35" s="12"/>
      <c r="ACY35" s="12"/>
      <c r="ACZ35" s="12"/>
      <c r="ADA35" s="12"/>
      <c r="ADB35" s="12"/>
      <c r="ADC35" s="12"/>
      <c r="ADD35" s="12"/>
      <c r="ADE35" s="12"/>
      <c r="ADF35" s="12"/>
      <c r="ADG35" s="12"/>
      <c r="ADH35" s="12"/>
      <c r="ADI35" s="12"/>
      <c r="ADJ35" s="12"/>
      <c r="ADK35" s="12"/>
      <c r="ADL35" s="12"/>
      <c r="ADM35" s="12"/>
      <c r="ADN35" s="12"/>
      <c r="ADO35" s="12"/>
      <c r="ADP35" s="12"/>
      <c r="ADQ35" s="12"/>
      <c r="ADR35" s="12"/>
      <c r="ADS35" s="12"/>
      <c r="ADT35" s="12"/>
      <c r="ADU35" s="12"/>
      <c r="ADV35" s="12"/>
      <c r="ADW35" s="12"/>
      <c r="ADX35" s="12"/>
      <c r="ADY35" s="12"/>
      <c r="ADZ35" s="12"/>
      <c r="AEA35" s="12"/>
      <c r="AEB35" s="12"/>
      <c r="AEC35" s="12"/>
      <c r="AED35" s="12"/>
      <c r="AEE35" s="12"/>
      <c r="AEF35" s="12"/>
      <c r="AEG35" s="12"/>
      <c r="AEH35" s="12"/>
      <c r="AEI35" s="12"/>
      <c r="AEJ35" s="12"/>
      <c r="AEK35" s="12"/>
      <c r="AEL35" s="12"/>
      <c r="AEM35" s="12"/>
      <c r="AEN35" s="12"/>
      <c r="AEO35" s="12"/>
      <c r="AEP35" s="12"/>
      <c r="AEQ35" s="12"/>
      <c r="AER35" s="12"/>
      <c r="AES35" s="12"/>
      <c r="AET35" s="12"/>
      <c r="AEU35" s="12"/>
      <c r="AEV35" s="12"/>
    </row>
    <row r="36" spans="1:828" s="27" customFormat="1" ht="18" x14ac:dyDescent="0.2">
      <c r="A36" s="28"/>
      <c r="D36" s="29"/>
      <c r="E36" s="23"/>
      <c r="F36" s="23" t="s">
        <v>71</v>
      </c>
      <c r="G36" s="29">
        <v>884</v>
      </c>
      <c r="H36" s="30"/>
      <c r="I36" s="23" t="s">
        <v>32</v>
      </c>
      <c r="J36" s="29">
        <v>76</v>
      </c>
      <c r="K36" s="30"/>
      <c r="L36" s="23" t="s">
        <v>33</v>
      </c>
      <c r="M36" s="29">
        <v>140</v>
      </c>
      <c r="N36" s="47">
        <f t="shared" si="1"/>
        <v>8.1907215062032666E-3</v>
      </c>
      <c r="O36" s="47">
        <f t="shared" si="2"/>
        <v>1.3307478803087334E-3</v>
      </c>
      <c r="P36" s="48"/>
      <c r="Q36"/>
      <c r="R36"/>
      <c r="S36"/>
      <c r="T36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/>
      <c r="FL36" s="12"/>
      <c r="FM36" s="12"/>
      <c r="FN36" s="12"/>
      <c r="FO36" s="12"/>
      <c r="FP36" s="12"/>
      <c r="FQ36" s="12"/>
      <c r="FR36" s="12"/>
      <c r="FS36" s="12"/>
      <c r="FT36" s="12"/>
      <c r="FU36" s="12"/>
      <c r="FV36" s="12"/>
      <c r="FW36" s="12"/>
      <c r="FX36" s="12"/>
      <c r="FY36" s="12"/>
      <c r="FZ36" s="12"/>
      <c r="GA36" s="12"/>
      <c r="GB36" s="12"/>
      <c r="GC36" s="12"/>
      <c r="GD36" s="12"/>
      <c r="GE36" s="12"/>
      <c r="GF36" s="12"/>
      <c r="GG36" s="12"/>
      <c r="GH36" s="12"/>
      <c r="GI36" s="12"/>
      <c r="GJ36" s="12"/>
      <c r="GK36" s="12"/>
      <c r="GL36" s="12"/>
      <c r="GM36" s="12"/>
      <c r="GN36" s="12"/>
      <c r="GO36" s="12"/>
      <c r="GP36" s="12"/>
      <c r="GQ36" s="12"/>
      <c r="GR36" s="12"/>
      <c r="GS36" s="12"/>
      <c r="GT36" s="12"/>
      <c r="GU36" s="12"/>
      <c r="GV36" s="12"/>
      <c r="GW36" s="12"/>
      <c r="GX36" s="12"/>
      <c r="GY36" s="12"/>
      <c r="GZ36" s="12"/>
      <c r="HA36" s="12"/>
      <c r="HB36" s="12"/>
      <c r="HC36" s="12"/>
      <c r="HD36" s="12"/>
      <c r="HE36" s="12"/>
      <c r="HF36" s="12"/>
      <c r="HG36" s="12"/>
      <c r="HH36" s="12"/>
      <c r="HI36" s="12"/>
      <c r="HJ36" s="12"/>
      <c r="HK36" s="12"/>
      <c r="HL36" s="12"/>
      <c r="HM36" s="12"/>
      <c r="HN36" s="12"/>
      <c r="HO36" s="12"/>
      <c r="HP36" s="12"/>
      <c r="HQ36" s="12"/>
      <c r="HR36" s="12"/>
      <c r="HS36" s="12"/>
      <c r="HT36" s="12"/>
      <c r="HU36" s="12"/>
      <c r="HV36" s="12"/>
      <c r="HW36" s="12"/>
      <c r="HX36" s="12"/>
      <c r="HY36" s="12"/>
      <c r="HZ36" s="12"/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  <c r="IL36" s="12"/>
      <c r="IM36" s="12"/>
      <c r="IN36" s="12"/>
      <c r="IO36" s="12"/>
      <c r="IP36" s="12"/>
      <c r="IQ36" s="12"/>
      <c r="IR36" s="12"/>
      <c r="IS36" s="12"/>
      <c r="IT36" s="12"/>
      <c r="IU36" s="12"/>
      <c r="IV36" s="12"/>
      <c r="IW36" s="12"/>
      <c r="IX36" s="12"/>
      <c r="IY36" s="12"/>
      <c r="IZ36" s="12"/>
      <c r="JA36" s="12"/>
      <c r="JB36" s="12"/>
      <c r="JC36" s="12"/>
      <c r="JD36" s="12"/>
      <c r="JE36" s="12"/>
      <c r="JF36" s="12"/>
      <c r="JG36" s="12"/>
      <c r="JH36" s="12"/>
      <c r="JI36" s="12"/>
      <c r="JJ36" s="12"/>
      <c r="JK36" s="12"/>
      <c r="JL36" s="12"/>
      <c r="JM36" s="12"/>
      <c r="JN36" s="12"/>
      <c r="JO36" s="12"/>
      <c r="JP36" s="12"/>
      <c r="JQ36" s="12"/>
      <c r="JR36" s="12"/>
      <c r="JS36" s="12"/>
      <c r="JT36" s="12"/>
      <c r="JU36" s="12"/>
      <c r="JV36" s="12"/>
      <c r="JW36" s="12"/>
      <c r="JX36" s="12"/>
      <c r="JY36" s="12"/>
      <c r="JZ36" s="12"/>
      <c r="KA36" s="12"/>
      <c r="KB36" s="12"/>
      <c r="KC36" s="12"/>
      <c r="KD36" s="12"/>
      <c r="KE36" s="12"/>
      <c r="KF36" s="12"/>
      <c r="KG36" s="12"/>
      <c r="KH36" s="12"/>
      <c r="KI36" s="12"/>
      <c r="KJ36" s="12"/>
      <c r="KK36" s="12"/>
      <c r="KL36" s="12"/>
      <c r="KM36" s="12"/>
      <c r="KN36" s="12"/>
      <c r="KO36" s="12"/>
      <c r="KP36" s="12"/>
      <c r="KQ36" s="12"/>
      <c r="KR36" s="12"/>
      <c r="KS36" s="12"/>
      <c r="KT36" s="12"/>
      <c r="KU36" s="12"/>
      <c r="KV36" s="12"/>
      <c r="KW36" s="12"/>
      <c r="KX36" s="12"/>
      <c r="KY36" s="12"/>
      <c r="KZ36" s="12"/>
      <c r="LA36" s="12"/>
      <c r="LB36" s="12"/>
      <c r="LC36" s="12"/>
      <c r="LD36" s="12"/>
      <c r="LE36" s="12"/>
      <c r="LF36" s="12"/>
      <c r="LG36" s="12"/>
      <c r="LH36" s="12"/>
      <c r="LI36" s="12"/>
      <c r="LJ36" s="12"/>
      <c r="LK36" s="12"/>
      <c r="LL36" s="12"/>
      <c r="LM36" s="12"/>
      <c r="LN36" s="12"/>
      <c r="LO36" s="12"/>
      <c r="LP36" s="12"/>
      <c r="LQ36" s="12"/>
      <c r="LR36" s="12"/>
      <c r="LS36" s="12"/>
      <c r="LT36" s="12"/>
      <c r="LU36" s="12"/>
      <c r="LV36" s="12"/>
      <c r="LW36" s="12"/>
      <c r="LX36" s="12"/>
      <c r="LY36" s="12"/>
      <c r="LZ36" s="12"/>
      <c r="MA36" s="12"/>
      <c r="MB36" s="12"/>
      <c r="MC36" s="12"/>
      <c r="MD36" s="12"/>
      <c r="ME36" s="12"/>
      <c r="MF36" s="12"/>
      <c r="MG36" s="12"/>
      <c r="MH36" s="12"/>
      <c r="MI36" s="12"/>
      <c r="MJ36" s="12"/>
      <c r="MK36" s="12"/>
      <c r="ML36" s="12"/>
      <c r="MM36" s="12"/>
      <c r="MN36" s="12"/>
      <c r="MO36" s="12"/>
      <c r="MP36" s="12"/>
      <c r="MQ36" s="12"/>
      <c r="MR36" s="12"/>
      <c r="MS36" s="12"/>
      <c r="MT36" s="12"/>
      <c r="MU36" s="12"/>
      <c r="MV36" s="12"/>
      <c r="MW36" s="12"/>
      <c r="MX36" s="12"/>
      <c r="MY36" s="12"/>
      <c r="MZ36" s="12"/>
      <c r="NA36" s="12"/>
      <c r="NB36" s="12"/>
      <c r="NC36" s="12"/>
      <c r="ND36" s="12"/>
      <c r="NE36" s="12"/>
      <c r="NF36" s="12"/>
      <c r="NG36" s="12"/>
      <c r="NH36" s="12"/>
      <c r="NI36" s="12"/>
      <c r="NJ36" s="12"/>
      <c r="NK36" s="12"/>
      <c r="NL36" s="12"/>
      <c r="NM36" s="12"/>
      <c r="NN36" s="12"/>
      <c r="NO36" s="12"/>
      <c r="NP36" s="12"/>
      <c r="NQ36" s="12"/>
      <c r="NR36" s="12"/>
      <c r="NS36" s="12"/>
      <c r="NT36" s="12"/>
      <c r="NU36" s="12"/>
      <c r="NV36" s="12"/>
      <c r="NW36" s="12"/>
      <c r="NX36" s="12"/>
      <c r="NY36" s="12"/>
      <c r="NZ36" s="12"/>
      <c r="OA36" s="12"/>
      <c r="OB36" s="12"/>
      <c r="OC36" s="12"/>
      <c r="OD36" s="12"/>
      <c r="OE36" s="12"/>
      <c r="OF36" s="12"/>
      <c r="OG36" s="12"/>
      <c r="OH36" s="12"/>
      <c r="OI36" s="12"/>
      <c r="OJ36" s="12"/>
      <c r="OK36" s="12"/>
      <c r="OL36" s="12"/>
      <c r="OM36" s="12"/>
      <c r="ON36" s="12"/>
      <c r="OO36" s="12"/>
      <c r="OP36" s="12"/>
      <c r="OQ36" s="12"/>
      <c r="OR36" s="12"/>
      <c r="OS36" s="12"/>
      <c r="OT36" s="12"/>
      <c r="OU36" s="12"/>
      <c r="OV36" s="12"/>
      <c r="OW36" s="12"/>
      <c r="OX36" s="12"/>
      <c r="OY36" s="12"/>
      <c r="OZ36" s="12"/>
      <c r="PA36" s="12"/>
      <c r="PB36" s="12"/>
      <c r="PC36" s="12"/>
      <c r="PD36" s="12"/>
      <c r="PE36" s="12"/>
      <c r="PF36" s="12"/>
      <c r="PG36" s="12"/>
      <c r="PH36" s="12"/>
      <c r="PI36" s="12"/>
      <c r="PJ36" s="12"/>
      <c r="PK36" s="12"/>
      <c r="PL36" s="12"/>
      <c r="PM36" s="12"/>
      <c r="PN36" s="12"/>
      <c r="PO36" s="12"/>
      <c r="PP36" s="12"/>
      <c r="PQ36" s="12"/>
      <c r="PR36" s="12"/>
      <c r="PS36" s="12"/>
      <c r="PT36" s="12"/>
      <c r="PU36" s="12"/>
      <c r="PV36" s="12"/>
      <c r="PW36" s="12"/>
      <c r="PX36" s="12"/>
      <c r="PY36" s="12"/>
      <c r="PZ36" s="12"/>
      <c r="QA36" s="12"/>
      <c r="QB36" s="12"/>
      <c r="QC36" s="12"/>
      <c r="QD36" s="12"/>
      <c r="QE36" s="12"/>
      <c r="QF36" s="12"/>
      <c r="QG36" s="12"/>
      <c r="QH36" s="12"/>
      <c r="QI36" s="12"/>
      <c r="QJ36" s="12"/>
      <c r="QK36" s="12"/>
      <c r="QL36" s="12"/>
      <c r="QM36" s="12"/>
      <c r="QN36" s="12"/>
      <c r="QO36" s="12"/>
      <c r="QP36" s="12"/>
      <c r="QQ36" s="12"/>
      <c r="QR36" s="12"/>
      <c r="QS36" s="12"/>
      <c r="QT36" s="12"/>
      <c r="QU36" s="12"/>
      <c r="QV36" s="12"/>
      <c r="QW36" s="12"/>
      <c r="QX36" s="12"/>
      <c r="QY36" s="12"/>
      <c r="QZ36" s="12"/>
      <c r="RA36" s="12"/>
      <c r="RB36" s="12"/>
      <c r="RC36" s="12"/>
      <c r="RD36" s="12"/>
      <c r="RE36" s="12"/>
      <c r="RF36" s="12"/>
      <c r="RG36" s="12"/>
      <c r="RH36" s="12"/>
      <c r="RI36" s="12"/>
      <c r="RJ36" s="12"/>
      <c r="RK36" s="12"/>
      <c r="RL36" s="12"/>
      <c r="RM36" s="12"/>
      <c r="RN36" s="12"/>
      <c r="RO36" s="12"/>
      <c r="RP36" s="12"/>
      <c r="RQ36" s="12"/>
      <c r="RR36" s="12"/>
      <c r="RS36" s="12"/>
      <c r="RT36" s="12"/>
      <c r="RU36" s="12"/>
      <c r="RV36" s="12"/>
      <c r="RW36" s="12"/>
      <c r="RX36" s="12"/>
      <c r="RY36" s="12"/>
      <c r="RZ36" s="12"/>
      <c r="SA36" s="12"/>
      <c r="SB36" s="12"/>
      <c r="SC36" s="12"/>
      <c r="SD36" s="12"/>
      <c r="SE36" s="12"/>
      <c r="SF36" s="12"/>
      <c r="SG36" s="12"/>
      <c r="SH36" s="12"/>
      <c r="SI36" s="12"/>
      <c r="SJ36" s="12"/>
      <c r="SK36" s="12"/>
      <c r="SL36" s="12"/>
      <c r="SM36" s="12"/>
      <c r="SN36" s="12"/>
      <c r="SO36" s="12"/>
      <c r="SP36" s="12"/>
      <c r="SQ36" s="12"/>
      <c r="SR36" s="12"/>
      <c r="SS36" s="12"/>
      <c r="ST36" s="12"/>
      <c r="SU36" s="12"/>
      <c r="SV36" s="12"/>
      <c r="SW36" s="12"/>
      <c r="SX36" s="12"/>
      <c r="SY36" s="12"/>
      <c r="SZ36" s="12"/>
      <c r="TA36" s="12"/>
      <c r="TB36" s="12"/>
      <c r="TC36" s="12"/>
      <c r="TD36" s="12"/>
      <c r="TE36" s="12"/>
      <c r="TF36" s="12"/>
      <c r="TG36" s="12"/>
      <c r="TH36" s="12"/>
      <c r="TI36" s="12"/>
      <c r="TJ36" s="12"/>
      <c r="TK36" s="12"/>
      <c r="TL36" s="12"/>
      <c r="TM36" s="12"/>
      <c r="TN36" s="12"/>
      <c r="TO36" s="12"/>
      <c r="TP36" s="12"/>
      <c r="TQ36" s="12"/>
      <c r="TR36" s="12"/>
      <c r="TS36" s="12"/>
      <c r="TT36" s="12"/>
      <c r="TU36" s="12"/>
      <c r="TV36" s="12"/>
      <c r="TW36" s="12"/>
      <c r="TX36" s="12"/>
      <c r="TY36" s="12"/>
      <c r="TZ36" s="12"/>
      <c r="UA36" s="12"/>
      <c r="UB36" s="12"/>
      <c r="UC36" s="12"/>
      <c r="UD36" s="12"/>
      <c r="UE36" s="12"/>
      <c r="UF36" s="12"/>
      <c r="UG36" s="12"/>
      <c r="UH36" s="12"/>
      <c r="UI36" s="12"/>
      <c r="UJ36" s="12"/>
      <c r="UK36" s="12"/>
      <c r="UL36" s="12"/>
      <c r="UM36" s="12"/>
      <c r="UN36" s="12"/>
      <c r="UO36" s="12"/>
      <c r="UP36" s="12"/>
      <c r="UQ36" s="12"/>
      <c r="UR36" s="12"/>
      <c r="US36" s="12"/>
      <c r="UT36" s="12"/>
      <c r="UU36" s="12"/>
      <c r="UV36" s="12"/>
      <c r="UW36" s="12"/>
      <c r="UX36" s="12"/>
      <c r="UY36" s="12"/>
      <c r="UZ36" s="12"/>
      <c r="VA36" s="12"/>
      <c r="VB36" s="12"/>
      <c r="VC36" s="12"/>
      <c r="VD36" s="12"/>
      <c r="VE36" s="12"/>
      <c r="VF36" s="12"/>
      <c r="VG36" s="12"/>
      <c r="VH36" s="12"/>
      <c r="VI36" s="12"/>
      <c r="VJ36" s="12"/>
      <c r="VK36" s="12"/>
      <c r="VL36" s="12"/>
      <c r="VM36" s="12"/>
      <c r="VN36" s="12"/>
      <c r="VO36" s="12"/>
      <c r="VP36" s="12"/>
      <c r="VQ36" s="12"/>
      <c r="VR36" s="12"/>
      <c r="VS36" s="12"/>
      <c r="VT36" s="12"/>
      <c r="VU36" s="12"/>
      <c r="VV36" s="12"/>
      <c r="VW36" s="12"/>
      <c r="VX36" s="12"/>
      <c r="VY36" s="12"/>
      <c r="VZ36" s="12"/>
      <c r="WA36" s="12"/>
      <c r="WB36" s="12"/>
      <c r="WC36" s="12"/>
      <c r="WD36" s="12"/>
      <c r="WE36" s="12"/>
      <c r="WF36" s="12"/>
      <c r="WG36" s="12"/>
      <c r="WH36" s="12"/>
      <c r="WI36" s="12"/>
      <c r="WJ36" s="12"/>
      <c r="WK36" s="12"/>
      <c r="WL36" s="12"/>
      <c r="WM36" s="12"/>
      <c r="WN36" s="12"/>
      <c r="WO36" s="12"/>
      <c r="WP36" s="12"/>
      <c r="WQ36" s="12"/>
      <c r="WR36" s="12"/>
      <c r="WS36" s="12"/>
      <c r="WT36" s="12"/>
      <c r="WU36" s="12"/>
      <c r="WV36" s="12"/>
      <c r="WW36" s="12"/>
      <c r="WX36" s="12"/>
      <c r="WY36" s="12"/>
      <c r="WZ36" s="12"/>
      <c r="XA36" s="12"/>
      <c r="XB36" s="12"/>
      <c r="XC36" s="12"/>
      <c r="XD36" s="12"/>
      <c r="XE36" s="12"/>
      <c r="XF36" s="12"/>
      <c r="XG36" s="12"/>
      <c r="XH36" s="12"/>
      <c r="XI36" s="12"/>
      <c r="XJ36" s="12"/>
      <c r="XK36" s="12"/>
      <c r="XL36" s="12"/>
      <c r="XM36" s="12"/>
      <c r="XN36" s="12"/>
      <c r="XO36" s="12"/>
      <c r="XP36" s="12"/>
      <c r="XQ36" s="12"/>
      <c r="XR36" s="12"/>
      <c r="XS36" s="12"/>
      <c r="XT36" s="12"/>
      <c r="XU36" s="12"/>
      <c r="XV36" s="12"/>
      <c r="XW36" s="12"/>
      <c r="XX36" s="12"/>
      <c r="XY36" s="12"/>
      <c r="XZ36" s="12"/>
      <c r="YA36" s="12"/>
      <c r="YB36" s="12"/>
      <c r="YC36" s="12"/>
      <c r="YD36" s="12"/>
      <c r="YE36" s="12"/>
      <c r="YF36" s="12"/>
      <c r="YG36" s="12"/>
      <c r="YH36" s="12"/>
      <c r="YI36" s="12"/>
      <c r="YJ36" s="12"/>
      <c r="YK36" s="12"/>
      <c r="YL36" s="12"/>
      <c r="YM36" s="12"/>
      <c r="YN36" s="12"/>
      <c r="YO36" s="12"/>
      <c r="YP36" s="12"/>
      <c r="YQ36" s="12"/>
      <c r="YR36" s="12"/>
      <c r="YS36" s="12"/>
      <c r="YT36" s="12"/>
      <c r="YU36" s="12"/>
      <c r="YV36" s="12"/>
      <c r="YW36" s="12"/>
      <c r="YX36" s="12"/>
      <c r="YY36" s="12"/>
      <c r="YZ36" s="12"/>
      <c r="ZA36" s="12"/>
      <c r="ZB36" s="12"/>
      <c r="ZC36" s="12"/>
      <c r="ZD36" s="12"/>
      <c r="ZE36" s="12"/>
      <c r="ZF36" s="12"/>
      <c r="ZG36" s="12"/>
      <c r="ZH36" s="12"/>
      <c r="ZI36" s="12"/>
      <c r="ZJ36" s="12"/>
      <c r="ZK36" s="12"/>
      <c r="ZL36" s="12"/>
      <c r="ZM36" s="12"/>
      <c r="ZN36" s="12"/>
      <c r="ZO36" s="12"/>
      <c r="ZP36" s="12"/>
      <c r="ZQ36" s="12"/>
      <c r="ZR36" s="12"/>
      <c r="ZS36" s="12"/>
      <c r="ZT36" s="12"/>
      <c r="ZU36" s="12"/>
      <c r="ZV36" s="12"/>
      <c r="ZW36" s="12"/>
      <c r="ZX36" s="12"/>
      <c r="ZY36" s="12"/>
      <c r="ZZ36" s="12"/>
      <c r="AAA36" s="12"/>
      <c r="AAB36" s="12"/>
      <c r="AAC36" s="12"/>
      <c r="AAD36" s="12"/>
      <c r="AAE36" s="12"/>
      <c r="AAF36" s="12"/>
      <c r="AAG36" s="12"/>
      <c r="AAH36" s="12"/>
      <c r="AAI36" s="12"/>
      <c r="AAJ36" s="12"/>
      <c r="AAK36" s="12"/>
      <c r="AAL36" s="12"/>
      <c r="AAM36" s="12"/>
      <c r="AAN36" s="12"/>
      <c r="AAO36" s="12"/>
      <c r="AAP36" s="12"/>
      <c r="AAQ36" s="12"/>
      <c r="AAR36" s="12"/>
      <c r="AAS36" s="12"/>
      <c r="AAT36" s="12"/>
      <c r="AAU36" s="12"/>
      <c r="AAV36" s="12"/>
      <c r="AAW36" s="12"/>
      <c r="AAX36" s="12"/>
      <c r="AAY36" s="12"/>
      <c r="AAZ36" s="12"/>
      <c r="ABA36" s="12"/>
      <c r="ABB36" s="12"/>
      <c r="ABC36" s="12"/>
      <c r="ABD36" s="12"/>
      <c r="ABE36" s="12"/>
      <c r="ABF36" s="12"/>
      <c r="ABG36" s="12"/>
      <c r="ABH36" s="12"/>
      <c r="ABI36" s="12"/>
      <c r="ABJ36" s="12"/>
      <c r="ABK36" s="12"/>
      <c r="ABL36" s="12"/>
      <c r="ABM36" s="12"/>
      <c r="ABN36" s="12"/>
      <c r="ABO36" s="12"/>
      <c r="ABP36" s="12"/>
      <c r="ABQ36" s="12"/>
      <c r="ABR36" s="12"/>
      <c r="ABS36" s="12"/>
      <c r="ABT36" s="12"/>
      <c r="ABU36" s="12"/>
      <c r="ABV36" s="12"/>
      <c r="ABW36" s="12"/>
      <c r="ABX36" s="12"/>
      <c r="ABY36" s="12"/>
      <c r="ABZ36" s="12"/>
      <c r="ACA36" s="12"/>
      <c r="ACB36" s="12"/>
      <c r="ACC36" s="12"/>
      <c r="ACD36" s="12"/>
      <c r="ACE36" s="12"/>
      <c r="ACF36" s="12"/>
      <c r="ACG36" s="12"/>
      <c r="ACH36" s="12"/>
      <c r="ACI36" s="12"/>
      <c r="ACJ36" s="12"/>
      <c r="ACK36" s="12"/>
      <c r="ACL36" s="12"/>
      <c r="ACM36" s="12"/>
      <c r="ACN36" s="12"/>
      <c r="ACO36" s="12"/>
      <c r="ACP36" s="12"/>
      <c r="ACQ36" s="12"/>
      <c r="ACR36" s="12"/>
      <c r="ACS36" s="12"/>
      <c r="ACT36" s="12"/>
      <c r="ACU36" s="12"/>
      <c r="ACV36" s="12"/>
      <c r="ACW36" s="12"/>
      <c r="ACX36" s="12"/>
      <c r="ACY36" s="12"/>
      <c r="ACZ36" s="12"/>
      <c r="ADA36" s="12"/>
      <c r="ADB36" s="12"/>
      <c r="ADC36" s="12"/>
      <c r="ADD36" s="12"/>
      <c r="ADE36" s="12"/>
      <c r="ADF36" s="12"/>
      <c r="ADG36" s="12"/>
      <c r="ADH36" s="12"/>
      <c r="ADI36" s="12"/>
      <c r="ADJ36" s="12"/>
      <c r="ADK36" s="12"/>
      <c r="ADL36" s="12"/>
      <c r="ADM36" s="12"/>
      <c r="ADN36" s="12"/>
      <c r="ADO36" s="12"/>
      <c r="ADP36" s="12"/>
      <c r="ADQ36" s="12"/>
      <c r="ADR36" s="12"/>
      <c r="ADS36" s="12"/>
      <c r="ADT36" s="12"/>
      <c r="ADU36" s="12"/>
      <c r="ADV36" s="12"/>
      <c r="ADW36" s="12"/>
      <c r="ADX36" s="12"/>
      <c r="ADY36" s="12"/>
      <c r="ADZ36" s="12"/>
      <c r="AEA36" s="12"/>
      <c r="AEB36" s="12"/>
      <c r="AEC36" s="12"/>
      <c r="AED36" s="12"/>
      <c r="AEE36" s="12"/>
      <c r="AEF36" s="12"/>
      <c r="AEG36" s="12"/>
      <c r="AEH36" s="12"/>
      <c r="AEI36" s="12"/>
      <c r="AEJ36" s="12"/>
      <c r="AEK36" s="12"/>
      <c r="AEL36" s="12"/>
      <c r="AEM36" s="12"/>
      <c r="AEN36" s="12"/>
      <c r="AEO36" s="12"/>
      <c r="AEP36" s="12"/>
      <c r="AEQ36" s="12"/>
      <c r="AER36" s="12"/>
      <c r="AES36" s="12"/>
      <c r="AET36" s="12"/>
      <c r="AEU36" s="12"/>
      <c r="AEV36" s="12"/>
    </row>
    <row r="37" spans="1:828" s="27" customFormat="1" ht="18" x14ac:dyDescent="0.2">
      <c r="A37" s="28"/>
      <c r="D37" s="29"/>
      <c r="E37" s="23"/>
      <c r="F37" s="23" t="s">
        <v>72</v>
      </c>
      <c r="G37" s="29">
        <v>835</v>
      </c>
      <c r="H37" s="30"/>
      <c r="I37" s="23" t="s">
        <v>34</v>
      </c>
      <c r="J37" s="29">
        <v>1</v>
      </c>
      <c r="K37" s="30"/>
      <c r="L37" s="23"/>
      <c r="M37" s="29"/>
      <c r="N37" s="47">
        <f t="shared" si="1"/>
        <v>7.736710924977068E-3</v>
      </c>
      <c r="O37" s="47">
        <f t="shared" si="2"/>
        <v>0</v>
      </c>
      <c r="P37" s="48"/>
      <c r="Q37" s="51"/>
      <c r="R37"/>
      <c r="S37"/>
      <c r="T37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2"/>
      <c r="FJ37" s="12"/>
      <c r="FK37" s="12"/>
      <c r="FL37" s="12"/>
      <c r="FM37" s="12"/>
      <c r="FN37" s="12"/>
      <c r="FO37" s="12"/>
      <c r="FP37" s="12"/>
      <c r="FQ37" s="12"/>
      <c r="FR37" s="12"/>
      <c r="FS37" s="12"/>
      <c r="FT37" s="12"/>
      <c r="FU37" s="12"/>
      <c r="FV37" s="12"/>
      <c r="FW37" s="12"/>
      <c r="FX37" s="12"/>
      <c r="FY37" s="12"/>
      <c r="FZ37" s="12"/>
      <c r="GA37" s="12"/>
      <c r="GB37" s="12"/>
      <c r="GC37" s="12"/>
      <c r="GD37" s="12"/>
      <c r="GE37" s="12"/>
      <c r="GF37" s="12"/>
      <c r="GG37" s="12"/>
      <c r="GH37" s="12"/>
      <c r="GI37" s="12"/>
      <c r="GJ37" s="12"/>
      <c r="GK37" s="12"/>
      <c r="GL37" s="12"/>
      <c r="GM37" s="12"/>
      <c r="GN37" s="12"/>
      <c r="GO37" s="12"/>
      <c r="GP37" s="12"/>
      <c r="GQ37" s="12"/>
      <c r="GR37" s="12"/>
      <c r="GS37" s="12"/>
      <c r="GT37" s="12"/>
      <c r="GU37" s="12"/>
      <c r="GV37" s="12"/>
      <c r="GW37" s="12"/>
      <c r="GX37" s="12"/>
      <c r="GY37" s="12"/>
      <c r="GZ37" s="12"/>
      <c r="HA37" s="12"/>
      <c r="HB37" s="12"/>
      <c r="HC37" s="12"/>
      <c r="HD37" s="12"/>
      <c r="HE37" s="12"/>
      <c r="HF37" s="12"/>
      <c r="HG37" s="12"/>
      <c r="HH37" s="12"/>
      <c r="HI37" s="12"/>
      <c r="HJ37" s="12"/>
      <c r="HK37" s="12"/>
      <c r="HL37" s="12"/>
      <c r="HM37" s="12"/>
      <c r="HN37" s="12"/>
      <c r="HO37" s="12"/>
      <c r="HP37" s="12"/>
      <c r="HQ37" s="12"/>
      <c r="HR37" s="12"/>
      <c r="HS37" s="12"/>
      <c r="HT37" s="12"/>
      <c r="HU37" s="12"/>
      <c r="HV37" s="12"/>
      <c r="HW37" s="12"/>
      <c r="HX37" s="12"/>
      <c r="HY37" s="12"/>
      <c r="HZ37" s="12"/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  <c r="IL37" s="12"/>
      <c r="IM37" s="12"/>
      <c r="IN37" s="12"/>
      <c r="IO37" s="12"/>
      <c r="IP37" s="12"/>
      <c r="IQ37" s="12"/>
      <c r="IR37" s="12"/>
      <c r="IS37" s="12"/>
      <c r="IT37" s="12"/>
      <c r="IU37" s="12"/>
      <c r="IV37" s="12"/>
      <c r="IW37" s="12"/>
      <c r="IX37" s="12"/>
      <c r="IY37" s="12"/>
      <c r="IZ37" s="12"/>
      <c r="JA37" s="12"/>
      <c r="JB37" s="12"/>
      <c r="JC37" s="12"/>
      <c r="JD37" s="12"/>
      <c r="JE37" s="12"/>
      <c r="JF37" s="12"/>
      <c r="JG37" s="12"/>
      <c r="JH37" s="12"/>
      <c r="JI37" s="12"/>
      <c r="JJ37" s="12"/>
      <c r="JK37" s="12"/>
      <c r="JL37" s="12"/>
      <c r="JM37" s="12"/>
      <c r="JN37" s="12"/>
      <c r="JO37" s="12"/>
      <c r="JP37" s="12"/>
      <c r="JQ37" s="12"/>
      <c r="JR37" s="12"/>
      <c r="JS37" s="12"/>
      <c r="JT37" s="12"/>
      <c r="JU37" s="12"/>
      <c r="JV37" s="12"/>
      <c r="JW37" s="12"/>
      <c r="JX37" s="12"/>
      <c r="JY37" s="12"/>
      <c r="JZ37" s="12"/>
      <c r="KA37" s="12"/>
      <c r="KB37" s="12"/>
      <c r="KC37" s="12"/>
      <c r="KD37" s="12"/>
      <c r="KE37" s="12"/>
      <c r="KF37" s="12"/>
      <c r="KG37" s="12"/>
      <c r="KH37" s="12"/>
      <c r="KI37" s="12"/>
      <c r="KJ37" s="12"/>
      <c r="KK37" s="12"/>
      <c r="KL37" s="12"/>
      <c r="KM37" s="12"/>
      <c r="KN37" s="12"/>
      <c r="KO37" s="12"/>
      <c r="KP37" s="12"/>
      <c r="KQ37" s="12"/>
      <c r="KR37" s="12"/>
      <c r="KS37" s="12"/>
      <c r="KT37" s="12"/>
      <c r="KU37" s="12"/>
      <c r="KV37" s="12"/>
      <c r="KW37" s="12"/>
      <c r="KX37" s="12"/>
      <c r="KY37" s="12"/>
      <c r="KZ37" s="12"/>
      <c r="LA37" s="12"/>
      <c r="LB37" s="12"/>
      <c r="LC37" s="12"/>
      <c r="LD37" s="12"/>
      <c r="LE37" s="12"/>
      <c r="LF37" s="12"/>
      <c r="LG37" s="12"/>
      <c r="LH37" s="12"/>
      <c r="LI37" s="12"/>
      <c r="LJ37" s="12"/>
      <c r="LK37" s="12"/>
      <c r="LL37" s="12"/>
      <c r="LM37" s="12"/>
      <c r="LN37" s="12"/>
      <c r="LO37" s="12"/>
      <c r="LP37" s="12"/>
      <c r="LQ37" s="12"/>
      <c r="LR37" s="12"/>
      <c r="LS37" s="12"/>
      <c r="LT37" s="12"/>
      <c r="LU37" s="12"/>
      <c r="LV37" s="12"/>
      <c r="LW37" s="12"/>
      <c r="LX37" s="12"/>
      <c r="LY37" s="12"/>
      <c r="LZ37" s="12"/>
      <c r="MA37" s="12"/>
      <c r="MB37" s="12"/>
      <c r="MC37" s="12"/>
      <c r="MD37" s="12"/>
      <c r="ME37" s="12"/>
      <c r="MF37" s="12"/>
      <c r="MG37" s="12"/>
      <c r="MH37" s="12"/>
      <c r="MI37" s="12"/>
      <c r="MJ37" s="12"/>
      <c r="MK37" s="12"/>
      <c r="ML37" s="12"/>
      <c r="MM37" s="12"/>
      <c r="MN37" s="12"/>
      <c r="MO37" s="12"/>
      <c r="MP37" s="12"/>
      <c r="MQ37" s="12"/>
      <c r="MR37" s="12"/>
      <c r="MS37" s="12"/>
      <c r="MT37" s="12"/>
      <c r="MU37" s="12"/>
      <c r="MV37" s="12"/>
      <c r="MW37" s="12"/>
      <c r="MX37" s="12"/>
      <c r="MY37" s="12"/>
      <c r="MZ37" s="12"/>
      <c r="NA37" s="12"/>
      <c r="NB37" s="12"/>
      <c r="NC37" s="12"/>
      <c r="ND37" s="12"/>
      <c r="NE37" s="12"/>
      <c r="NF37" s="12"/>
      <c r="NG37" s="12"/>
      <c r="NH37" s="12"/>
      <c r="NI37" s="12"/>
      <c r="NJ37" s="12"/>
      <c r="NK37" s="12"/>
      <c r="NL37" s="12"/>
      <c r="NM37" s="12"/>
      <c r="NN37" s="12"/>
      <c r="NO37" s="12"/>
      <c r="NP37" s="12"/>
      <c r="NQ37" s="12"/>
      <c r="NR37" s="12"/>
      <c r="NS37" s="12"/>
      <c r="NT37" s="12"/>
      <c r="NU37" s="12"/>
      <c r="NV37" s="12"/>
      <c r="NW37" s="12"/>
      <c r="NX37" s="12"/>
      <c r="NY37" s="12"/>
      <c r="NZ37" s="12"/>
      <c r="OA37" s="12"/>
      <c r="OB37" s="12"/>
      <c r="OC37" s="12"/>
      <c r="OD37" s="12"/>
      <c r="OE37" s="12"/>
      <c r="OF37" s="12"/>
      <c r="OG37" s="12"/>
      <c r="OH37" s="12"/>
      <c r="OI37" s="12"/>
      <c r="OJ37" s="12"/>
      <c r="OK37" s="12"/>
      <c r="OL37" s="12"/>
      <c r="OM37" s="12"/>
      <c r="ON37" s="12"/>
      <c r="OO37" s="12"/>
      <c r="OP37" s="12"/>
      <c r="OQ37" s="12"/>
      <c r="OR37" s="12"/>
      <c r="OS37" s="12"/>
      <c r="OT37" s="12"/>
      <c r="OU37" s="12"/>
      <c r="OV37" s="12"/>
      <c r="OW37" s="12"/>
      <c r="OX37" s="12"/>
      <c r="OY37" s="12"/>
      <c r="OZ37" s="12"/>
      <c r="PA37" s="12"/>
      <c r="PB37" s="12"/>
      <c r="PC37" s="12"/>
      <c r="PD37" s="12"/>
      <c r="PE37" s="12"/>
      <c r="PF37" s="12"/>
      <c r="PG37" s="12"/>
      <c r="PH37" s="12"/>
      <c r="PI37" s="12"/>
      <c r="PJ37" s="12"/>
      <c r="PK37" s="12"/>
      <c r="PL37" s="12"/>
      <c r="PM37" s="12"/>
      <c r="PN37" s="12"/>
      <c r="PO37" s="12"/>
      <c r="PP37" s="12"/>
      <c r="PQ37" s="12"/>
      <c r="PR37" s="12"/>
      <c r="PS37" s="12"/>
      <c r="PT37" s="12"/>
      <c r="PU37" s="12"/>
      <c r="PV37" s="12"/>
      <c r="PW37" s="12"/>
      <c r="PX37" s="12"/>
      <c r="PY37" s="12"/>
      <c r="PZ37" s="12"/>
      <c r="QA37" s="12"/>
      <c r="QB37" s="12"/>
      <c r="QC37" s="12"/>
      <c r="QD37" s="12"/>
      <c r="QE37" s="12"/>
      <c r="QF37" s="12"/>
      <c r="QG37" s="12"/>
      <c r="QH37" s="12"/>
      <c r="QI37" s="12"/>
      <c r="QJ37" s="12"/>
      <c r="QK37" s="12"/>
      <c r="QL37" s="12"/>
      <c r="QM37" s="12"/>
      <c r="QN37" s="12"/>
      <c r="QO37" s="12"/>
      <c r="QP37" s="12"/>
      <c r="QQ37" s="12"/>
      <c r="QR37" s="12"/>
      <c r="QS37" s="12"/>
      <c r="QT37" s="12"/>
      <c r="QU37" s="12"/>
      <c r="QV37" s="12"/>
      <c r="QW37" s="12"/>
      <c r="QX37" s="12"/>
      <c r="QY37" s="12"/>
      <c r="QZ37" s="12"/>
      <c r="RA37" s="12"/>
      <c r="RB37" s="12"/>
      <c r="RC37" s="12"/>
      <c r="RD37" s="12"/>
      <c r="RE37" s="12"/>
      <c r="RF37" s="12"/>
      <c r="RG37" s="12"/>
      <c r="RH37" s="12"/>
      <c r="RI37" s="12"/>
      <c r="RJ37" s="12"/>
      <c r="RK37" s="12"/>
      <c r="RL37" s="12"/>
      <c r="RM37" s="12"/>
      <c r="RN37" s="12"/>
      <c r="RO37" s="12"/>
      <c r="RP37" s="12"/>
      <c r="RQ37" s="12"/>
      <c r="RR37" s="12"/>
      <c r="RS37" s="12"/>
      <c r="RT37" s="12"/>
      <c r="RU37" s="12"/>
      <c r="RV37" s="12"/>
      <c r="RW37" s="12"/>
      <c r="RX37" s="12"/>
      <c r="RY37" s="12"/>
      <c r="RZ37" s="12"/>
      <c r="SA37" s="12"/>
      <c r="SB37" s="12"/>
      <c r="SC37" s="12"/>
      <c r="SD37" s="12"/>
      <c r="SE37" s="12"/>
      <c r="SF37" s="12"/>
      <c r="SG37" s="12"/>
      <c r="SH37" s="12"/>
      <c r="SI37" s="12"/>
      <c r="SJ37" s="12"/>
      <c r="SK37" s="12"/>
      <c r="SL37" s="12"/>
      <c r="SM37" s="12"/>
      <c r="SN37" s="12"/>
      <c r="SO37" s="12"/>
      <c r="SP37" s="12"/>
      <c r="SQ37" s="12"/>
      <c r="SR37" s="12"/>
      <c r="SS37" s="12"/>
      <c r="ST37" s="12"/>
      <c r="SU37" s="12"/>
      <c r="SV37" s="12"/>
      <c r="SW37" s="12"/>
      <c r="SX37" s="12"/>
      <c r="SY37" s="12"/>
      <c r="SZ37" s="12"/>
      <c r="TA37" s="12"/>
      <c r="TB37" s="12"/>
      <c r="TC37" s="12"/>
      <c r="TD37" s="12"/>
      <c r="TE37" s="12"/>
      <c r="TF37" s="12"/>
      <c r="TG37" s="12"/>
      <c r="TH37" s="12"/>
      <c r="TI37" s="12"/>
      <c r="TJ37" s="12"/>
      <c r="TK37" s="12"/>
      <c r="TL37" s="12"/>
      <c r="TM37" s="12"/>
      <c r="TN37" s="12"/>
      <c r="TO37" s="12"/>
      <c r="TP37" s="12"/>
      <c r="TQ37" s="12"/>
      <c r="TR37" s="12"/>
      <c r="TS37" s="12"/>
      <c r="TT37" s="12"/>
      <c r="TU37" s="12"/>
      <c r="TV37" s="12"/>
      <c r="TW37" s="12"/>
      <c r="TX37" s="12"/>
      <c r="TY37" s="12"/>
      <c r="TZ37" s="12"/>
      <c r="UA37" s="12"/>
      <c r="UB37" s="12"/>
      <c r="UC37" s="12"/>
      <c r="UD37" s="12"/>
      <c r="UE37" s="12"/>
      <c r="UF37" s="12"/>
      <c r="UG37" s="12"/>
      <c r="UH37" s="12"/>
      <c r="UI37" s="12"/>
      <c r="UJ37" s="12"/>
      <c r="UK37" s="12"/>
      <c r="UL37" s="12"/>
      <c r="UM37" s="12"/>
      <c r="UN37" s="12"/>
      <c r="UO37" s="12"/>
      <c r="UP37" s="12"/>
      <c r="UQ37" s="12"/>
      <c r="UR37" s="12"/>
      <c r="US37" s="12"/>
      <c r="UT37" s="12"/>
      <c r="UU37" s="12"/>
      <c r="UV37" s="12"/>
      <c r="UW37" s="12"/>
      <c r="UX37" s="12"/>
      <c r="UY37" s="12"/>
      <c r="UZ37" s="12"/>
      <c r="VA37" s="12"/>
      <c r="VB37" s="12"/>
      <c r="VC37" s="12"/>
      <c r="VD37" s="12"/>
      <c r="VE37" s="12"/>
      <c r="VF37" s="12"/>
      <c r="VG37" s="12"/>
      <c r="VH37" s="12"/>
      <c r="VI37" s="12"/>
      <c r="VJ37" s="12"/>
      <c r="VK37" s="12"/>
      <c r="VL37" s="12"/>
      <c r="VM37" s="12"/>
      <c r="VN37" s="12"/>
      <c r="VO37" s="12"/>
      <c r="VP37" s="12"/>
      <c r="VQ37" s="12"/>
      <c r="VR37" s="12"/>
      <c r="VS37" s="12"/>
      <c r="VT37" s="12"/>
      <c r="VU37" s="12"/>
      <c r="VV37" s="12"/>
      <c r="VW37" s="12"/>
      <c r="VX37" s="12"/>
      <c r="VY37" s="12"/>
      <c r="VZ37" s="12"/>
      <c r="WA37" s="12"/>
      <c r="WB37" s="12"/>
      <c r="WC37" s="12"/>
      <c r="WD37" s="12"/>
      <c r="WE37" s="12"/>
      <c r="WF37" s="12"/>
      <c r="WG37" s="12"/>
      <c r="WH37" s="12"/>
      <c r="WI37" s="12"/>
      <c r="WJ37" s="12"/>
      <c r="WK37" s="12"/>
      <c r="WL37" s="12"/>
      <c r="WM37" s="12"/>
      <c r="WN37" s="12"/>
      <c r="WO37" s="12"/>
      <c r="WP37" s="12"/>
      <c r="WQ37" s="12"/>
      <c r="WR37" s="12"/>
      <c r="WS37" s="12"/>
      <c r="WT37" s="12"/>
      <c r="WU37" s="12"/>
      <c r="WV37" s="12"/>
      <c r="WW37" s="12"/>
      <c r="WX37" s="12"/>
      <c r="WY37" s="12"/>
      <c r="WZ37" s="12"/>
      <c r="XA37" s="12"/>
      <c r="XB37" s="12"/>
      <c r="XC37" s="12"/>
      <c r="XD37" s="12"/>
      <c r="XE37" s="12"/>
      <c r="XF37" s="12"/>
      <c r="XG37" s="12"/>
      <c r="XH37" s="12"/>
      <c r="XI37" s="12"/>
      <c r="XJ37" s="12"/>
      <c r="XK37" s="12"/>
      <c r="XL37" s="12"/>
      <c r="XM37" s="12"/>
      <c r="XN37" s="12"/>
      <c r="XO37" s="12"/>
      <c r="XP37" s="12"/>
      <c r="XQ37" s="12"/>
      <c r="XR37" s="12"/>
      <c r="XS37" s="12"/>
      <c r="XT37" s="12"/>
      <c r="XU37" s="12"/>
      <c r="XV37" s="12"/>
      <c r="XW37" s="12"/>
      <c r="XX37" s="12"/>
      <c r="XY37" s="12"/>
      <c r="XZ37" s="12"/>
      <c r="YA37" s="12"/>
      <c r="YB37" s="12"/>
      <c r="YC37" s="12"/>
      <c r="YD37" s="12"/>
      <c r="YE37" s="12"/>
      <c r="YF37" s="12"/>
      <c r="YG37" s="12"/>
      <c r="YH37" s="12"/>
      <c r="YI37" s="12"/>
      <c r="YJ37" s="12"/>
      <c r="YK37" s="12"/>
      <c r="YL37" s="12"/>
      <c r="YM37" s="12"/>
      <c r="YN37" s="12"/>
      <c r="YO37" s="12"/>
      <c r="YP37" s="12"/>
      <c r="YQ37" s="12"/>
      <c r="YR37" s="12"/>
      <c r="YS37" s="12"/>
      <c r="YT37" s="12"/>
      <c r="YU37" s="12"/>
      <c r="YV37" s="12"/>
      <c r="YW37" s="12"/>
      <c r="YX37" s="12"/>
      <c r="YY37" s="12"/>
      <c r="YZ37" s="12"/>
      <c r="ZA37" s="12"/>
      <c r="ZB37" s="12"/>
      <c r="ZC37" s="12"/>
      <c r="ZD37" s="12"/>
      <c r="ZE37" s="12"/>
      <c r="ZF37" s="12"/>
      <c r="ZG37" s="12"/>
      <c r="ZH37" s="12"/>
      <c r="ZI37" s="12"/>
      <c r="ZJ37" s="12"/>
      <c r="ZK37" s="12"/>
      <c r="ZL37" s="12"/>
      <c r="ZM37" s="12"/>
      <c r="ZN37" s="12"/>
      <c r="ZO37" s="12"/>
      <c r="ZP37" s="12"/>
      <c r="ZQ37" s="12"/>
      <c r="ZR37" s="12"/>
      <c r="ZS37" s="12"/>
      <c r="ZT37" s="12"/>
      <c r="ZU37" s="12"/>
      <c r="ZV37" s="12"/>
      <c r="ZW37" s="12"/>
      <c r="ZX37" s="12"/>
      <c r="ZY37" s="12"/>
      <c r="ZZ37" s="12"/>
      <c r="AAA37" s="12"/>
      <c r="AAB37" s="12"/>
      <c r="AAC37" s="12"/>
      <c r="AAD37" s="12"/>
      <c r="AAE37" s="12"/>
      <c r="AAF37" s="12"/>
      <c r="AAG37" s="12"/>
      <c r="AAH37" s="12"/>
      <c r="AAI37" s="12"/>
      <c r="AAJ37" s="12"/>
      <c r="AAK37" s="12"/>
      <c r="AAL37" s="12"/>
      <c r="AAM37" s="12"/>
      <c r="AAN37" s="12"/>
      <c r="AAO37" s="12"/>
      <c r="AAP37" s="12"/>
      <c r="AAQ37" s="12"/>
      <c r="AAR37" s="12"/>
      <c r="AAS37" s="12"/>
      <c r="AAT37" s="12"/>
      <c r="AAU37" s="12"/>
      <c r="AAV37" s="12"/>
      <c r="AAW37" s="12"/>
      <c r="AAX37" s="12"/>
      <c r="AAY37" s="12"/>
      <c r="AAZ37" s="12"/>
      <c r="ABA37" s="12"/>
      <c r="ABB37" s="12"/>
      <c r="ABC37" s="12"/>
      <c r="ABD37" s="12"/>
      <c r="ABE37" s="12"/>
      <c r="ABF37" s="12"/>
      <c r="ABG37" s="12"/>
      <c r="ABH37" s="12"/>
      <c r="ABI37" s="12"/>
      <c r="ABJ37" s="12"/>
      <c r="ABK37" s="12"/>
      <c r="ABL37" s="12"/>
      <c r="ABM37" s="12"/>
      <c r="ABN37" s="12"/>
      <c r="ABO37" s="12"/>
      <c r="ABP37" s="12"/>
      <c r="ABQ37" s="12"/>
      <c r="ABR37" s="12"/>
      <c r="ABS37" s="12"/>
      <c r="ABT37" s="12"/>
      <c r="ABU37" s="12"/>
      <c r="ABV37" s="12"/>
      <c r="ABW37" s="12"/>
      <c r="ABX37" s="12"/>
      <c r="ABY37" s="12"/>
      <c r="ABZ37" s="12"/>
      <c r="ACA37" s="12"/>
      <c r="ACB37" s="12"/>
      <c r="ACC37" s="12"/>
      <c r="ACD37" s="12"/>
      <c r="ACE37" s="12"/>
      <c r="ACF37" s="12"/>
      <c r="ACG37" s="12"/>
      <c r="ACH37" s="12"/>
      <c r="ACI37" s="12"/>
      <c r="ACJ37" s="12"/>
      <c r="ACK37" s="12"/>
      <c r="ACL37" s="12"/>
      <c r="ACM37" s="12"/>
      <c r="ACN37" s="12"/>
      <c r="ACO37" s="12"/>
      <c r="ACP37" s="12"/>
      <c r="ACQ37" s="12"/>
      <c r="ACR37" s="12"/>
      <c r="ACS37" s="12"/>
      <c r="ACT37" s="12"/>
      <c r="ACU37" s="12"/>
      <c r="ACV37" s="12"/>
      <c r="ACW37" s="12"/>
      <c r="ACX37" s="12"/>
      <c r="ACY37" s="12"/>
      <c r="ACZ37" s="12"/>
      <c r="ADA37" s="12"/>
      <c r="ADB37" s="12"/>
      <c r="ADC37" s="12"/>
      <c r="ADD37" s="12"/>
      <c r="ADE37" s="12"/>
      <c r="ADF37" s="12"/>
      <c r="ADG37" s="12"/>
      <c r="ADH37" s="12"/>
      <c r="ADI37" s="12"/>
      <c r="ADJ37" s="12"/>
      <c r="ADK37" s="12"/>
      <c r="ADL37" s="12"/>
      <c r="ADM37" s="12"/>
      <c r="ADN37" s="12"/>
      <c r="ADO37" s="12"/>
      <c r="ADP37" s="12"/>
      <c r="ADQ37" s="12"/>
      <c r="ADR37" s="12"/>
      <c r="ADS37" s="12"/>
      <c r="ADT37" s="12"/>
      <c r="ADU37" s="12"/>
      <c r="ADV37" s="12"/>
      <c r="ADW37" s="12"/>
      <c r="ADX37" s="12"/>
      <c r="ADY37" s="12"/>
      <c r="ADZ37" s="12"/>
      <c r="AEA37" s="12"/>
      <c r="AEB37" s="12"/>
      <c r="AEC37" s="12"/>
      <c r="AED37" s="12"/>
      <c r="AEE37" s="12"/>
      <c r="AEF37" s="12"/>
      <c r="AEG37" s="12"/>
      <c r="AEH37" s="12"/>
      <c r="AEI37" s="12"/>
      <c r="AEJ37" s="12"/>
      <c r="AEK37" s="12"/>
      <c r="AEL37" s="12"/>
      <c r="AEM37" s="12"/>
      <c r="AEN37" s="12"/>
      <c r="AEO37" s="12"/>
      <c r="AEP37" s="12"/>
      <c r="AEQ37" s="12"/>
      <c r="AER37" s="12"/>
      <c r="AES37" s="12"/>
      <c r="AET37" s="12"/>
      <c r="AEU37" s="12"/>
      <c r="AEV37" s="12"/>
    </row>
    <row r="38" spans="1:828" s="27" customFormat="1" ht="18" x14ac:dyDescent="0.2">
      <c r="A38" s="28"/>
      <c r="D38" s="29"/>
      <c r="E38" s="23"/>
      <c r="F38" s="27" t="s">
        <v>35</v>
      </c>
      <c r="G38" s="29">
        <v>230</v>
      </c>
      <c r="H38" s="30"/>
      <c r="I38" s="23" t="s">
        <v>36</v>
      </c>
      <c r="J38" s="29">
        <v>0</v>
      </c>
      <c r="K38" s="30"/>
      <c r="L38" s="23" t="s">
        <v>37</v>
      </c>
      <c r="M38" s="29">
        <v>772</v>
      </c>
      <c r="N38" s="47">
        <f t="shared" si="1"/>
        <v>2.1310700751433838E-3</v>
      </c>
      <c r="O38" s="47">
        <f t="shared" si="2"/>
        <v>7.3381240257024451E-3</v>
      </c>
      <c r="P38" s="48"/>
      <c r="Q38"/>
      <c r="R38"/>
      <c r="S38"/>
      <c r="T38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/>
      <c r="FL38" s="12"/>
      <c r="FM38" s="12"/>
      <c r="FN38" s="12"/>
      <c r="FO38" s="12"/>
      <c r="FP38" s="12"/>
      <c r="FQ38" s="12"/>
      <c r="FR38" s="12"/>
      <c r="FS38" s="12"/>
      <c r="FT38" s="12"/>
      <c r="FU38" s="12"/>
      <c r="FV38" s="12"/>
      <c r="FW38" s="12"/>
      <c r="FX38" s="12"/>
      <c r="FY38" s="12"/>
      <c r="FZ38" s="12"/>
      <c r="GA38" s="12"/>
      <c r="GB38" s="12"/>
      <c r="GC38" s="12"/>
      <c r="GD38" s="12"/>
      <c r="GE38" s="12"/>
      <c r="GF38" s="12"/>
      <c r="GG38" s="12"/>
      <c r="GH38" s="12"/>
      <c r="GI38" s="12"/>
      <c r="GJ38" s="12"/>
      <c r="GK38" s="12"/>
      <c r="GL38" s="12"/>
      <c r="GM38" s="12"/>
      <c r="GN38" s="12"/>
      <c r="GO38" s="12"/>
      <c r="GP38" s="12"/>
      <c r="GQ38" s="12"/>
      <c r="GR38" s="12"/>
      <c r="GS38" s="12"/>
      <c r="GT38" s="12"/>
      <c r="GU38" s="12"/>
      <c r="GV38" s="12"/>
      <c r="GW38" s="12"/>
      <c r="GX38" s="12"/>
      <c r="GY38" s="12"/>
      <c r="GZ38" s="12"/>
      <c r="HA38" s="12"/>
      <c r="HB38" s="12"/>
      <c r="HC38" s="12"/>
      <c r="HD38" s="12"/>
      <c r="HE38" s="12"/>
      <c r="HF38" s="12"/>
      <c r="HG38" s="12"/>
      <c r="HH38" s="12"/>
      <c r="HI38" s="12"/>
      <c r="HJ38" s="12"/>
      <c r="HK38" s="12"/>
      <c r="HL38" s="12"/>
      <c r="HM38" s="12"/>
      <c r="HN38" s="12"/>
      <c r="HO38" s="12"/>
      <c r="HP38" s="12"/>
      <c r="HQ38" s="12"/>
      <c r="HR38" s="12"/>
      <c r="HS38" s="12"/>
      <c r="HT38" s="12"/>
      <c r="HU38" s="12"/>
      <c r="HV38" s="12"/>
      <c r="HW38" s="12"/>
      <c r="HX38" s="12"/>
      <c r="HY38" s="12"/>
      <c r="HZ38" s="12"/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  <c r="IL38" s="12"/>
      <c r="IM38" s="12"/>
      <c r="IN38" s="12"/>
      <c r="IO38" s="12"/>
      <c r="IP38" s="12"/>
      <c r="IQ38" s="12"/>
      <c r="IR38" s="12"/>
      <c r="IS38" s="12"/>
      <c r="IT38" s="12"/>
      <c r="IU38" s="12"/>
      <c r="IV38" s="12"/>
      <c r="IW38" s="12"/>
      <c r="IX38" s="12"/>
      <c r="IY38" s="12"/>
      <c r="IZ38" s="12"/>
      <c r="JA38" s="12"/>
      <c r="JB38" s="12"/>
      <c r="JC38" s="12"/>
      <c r="JD38" s="12"/>
      <c r="JE38" s="12"/>
      <c r="JF38" s="12"/>
      <c r="JG38" s="12"/>
      <c r="JH38" s="12"/>
      <c r="JI38" s="12"/>
      <c r="JJ38" s="12"/>
      <c r="JK38" s="12"/>
      <c r="JL38" s="12"/>
      <c r="JM38" s="12"/>
      <c r="JN38" s="12"/>
      <c r="JO38" s="12"/>
      <c r="JP38" s="12"/>
      <c r="JQ38" s="12"/>
      <c r="JR38" s="12"/>
      <c r="JS38" s="12"/>
      <c r="JT38" s="12"/>
      <c r="JU38" s="12"/>
      <c r="JV38" s="12"/>
      <c r="JW38" s="12"/>
      <c r="JX38" s="12"/>
      <c r="JY38" s="12"/>
      <c r="JZ38" s="12"/>
      <c r="KA38" s="12"/>
      <c r="KB38" s="12"/>
      <c r="KC38" s="12"/>
      <c r="KD38" s="12"/>
      <c r="KE38" s="12"/>
      <c r="KF38" s="12"/>
      <c r="KG38" s="12"/>
      <c r="KH38" s="12"/>
      <c r="KI38" s="12"/>
      <c r="KJ38" s="12"/>
      <c r="KK38" s="12"/>
      <c r="KL38" s="12"/>
      <c r="KM38" s="12"/>
      <c r="KN38" s="12"/>
      <c r="KO38" s="12"/>
      <c r="KP38" s="12"/>
      <c r="KQ38" s="12"/>
      <c r="KR38" s="12"/>
      <c r="KS38" s="12"/>
      <c r="KT38" s="12"/>
      <c r="KU38" s="12"/>
      <c r="KV38" s="12"/>
      <c r="KW38" s="12"/>
      <c r="KX38" s="12"/>
      <c r="KY38" s="12"/>
      <c r="KZ38" s="12"/>
      <c r="LA38" s="12"/>
      <c r="LB38" s="12"/>
      <c r="LC38" s="12"/>
      <c r="LD38" s="12"/>
      <c r="LE38" s="12"/>
      <c r="LF38" s="12"/>
      <c r="LG38" s="12"/>
      <c r="LH38" s="12"/>
      <c r="LI38" s="12"/>
      <c r="LJ38" s="12"/>
      <c r="LK38" s="12"/>
      <c r="LL38" s="12"/>
      <c r="LM38" s="12"/>
      <c r="LN38" s="12"/>
      <c r="LO38" s="12"/>
      <c r="LP38" s="12"/>
      <c r="LQ38" s="12"/>
      <c r="LR38" s="12"/>
      <c r="LS38" s="12"/>
      <c r="LT38" s="12"/>
      <c r="LU38" s="12"/>
      <c r="LV38" s="12"/>
      <c r="LW38" s="12"/>
      <c r="LX38" s="12"/>
      <c r="LY38" s="12"/>
      <c r="LZ38" s="12"/>
      <c r="MA38" s="12"/>
      <c r="MB38" s="12"/>
      <c r="MC38" s="12"/>
      <c r="MD38" s="12"/>
      <c r="ME38" s="12"/>
      <c r="MF38" s="12"/>
      <c r="MG38" s="12"/>
      <c r="MH38" s="12"/>
      <c r="MI38" s="12"/>
      <c r="MJ38" s="12"/>
      <c r="MK38" s="12"/>
      <c r="ML38" s="12"/>
      <c r="MM38" s="12"/>
      <c r="MN38" s="12"/>
      <c r="MO38" s="12"/>
      <c r="MP38" s="12"/>
      <c r="MQ38" s="12"/>
      <c r="MR38" s="12"/>
      <c r="MS38" s="12"/>
      <c r="MT38" s="12"/>
      <c r="MU38" s="12"/>
      <c r="MV38" s="12"/>
      <c r="MW38" s="12"/>
      <c r="MX38" s="12"/>
      <c r="MY38" s="12"/>
      <c r="MZ38" s="12"/>
      <c r="NA38" s="12"/>
      <c r="NB38" s="12"/>
      <c r="NC38" s="12"/>
      <c r="ND38" s="12"/>
      <c r="NE38" s="12"/>
      <c r="NF38" s="12"/>
      <c r="NG38" s="12"/>
      <c r="NH38" s="12"/>
      <c r="NI38" s="12"/>
      <c r="NJ38" s="12"/>
      <c r="NK38" s="12"/>
      <c r="NL38" s="12"/>
      <c r="NM38" s="12"/>
      <c r="NN38" s="12"/>
      <c r="NO38" s="12"/>
      <c r="NP38" s="12"/>
      <c r="NQ38" s="12"/>
      <c r="NR38" s="12"/>
      <c r="NS38" s="12"/>
      <c r="NT38" s="12"/>
      <c r="NU38" s="12"/>
      <c r="NV38" s="12"/>
      <c r="NW38" s="12"/>
      <c r="NX38" s="12"/>
      <c r="NY38" s="12"/>
      <c r="NZ38" s="12"/>
      <c r="OA38" s="12"/>
      <c r="OB38" s="12"/>
      <c r="OC38" s="12"/>
      <c r="OD38" s="12"/>
      <c r="OE38" s="12"/>
      <c r="OF38" s="12"/>
      <c r="OG38" s="12"/>
      <c r="OH38" s="12"/>
      <c r="OI38" s="12"/>
      <c r="OJ38" s="12"/>
      <c r="OK38" s="12"/>
      <c r="OL38" s="12"/>
      <c r="OM38" s="12"/>
      <c r="ON38" s="12"/>
      <c r="OO38" s="12"/>
      <c r="OP38" s="12"/>
      <c r="OQ38" s="12"/>
      <c r="OR38" s="12"/>
      <c r="OS38" s="12"/>
      <c r="OT38" s="12"/>
      <c r="OU38" s="12"/>
      <c r="OV38" s="12"/>
      <c r="OW38" s="12"/>
      <c r="OX38" s="12"/>
      <c r="OY38" s="12"/>
      <c r="OZ38" s="12"/>
      <c r="PA38" s="12"/>
      <c r="PB38" s="12"/>
      <c r="PC38" s="12"/>
      <c r="PD38" s="12"/>
      <c r="PE38" s="12"/>
      <c r="PF38" s="12"/>
      <c r="PG38" s="12"/>
      <c r="PH38" s="12"/>
      <c r="PI38" s="12"/>
      <c r="PJ38" s="12"/>
      <c r="PK38" s="12"/>
      <c r="PL38" s="12"/>
      <c r="PM38" s="12"/>
      <c r="PN38" s="12"/>
      <c r="PO38" s="12"/>
      <c r="PP38" s="12"/>
      <c r="PQ38" s="12"/>
      <c r="PR38" s="12"/>
      <c r="PS38" s="12"/>
      <c r="PT38" s="12"/>
      <c r="PU38" s="12"/>
      <c r="PV38" s="12"/>
      <c r="PW38" s="12"/>
      <c r="PX38" s="12"/>
      <c r="PY38" s="12"/>
      <c r="PZ38" s="12"/>
      <c r="QA38" s="12"/>
      <c r="QB38" s="12"/>
      <c r="QC38" s="12"/>
      <c r="QD38" s="12"/>
      <c r="QE38" s="12"/>
      <c r="QF38" s="12"/>
      <c r="QG38" s="12"/>
      <c r="QH38" s="12"/>
      <c r="QI38" s="12"/>
      <c r="QJ38" s="12"/>
      <c r="QK38" s="12"/>
      <c r="QL38" s="12"/>
      <c r="QM38" s="12"/>
      <c r="QN38" s="12"/>
      <c r="QO38" s="12"/>
      <c r="QP38" s="12"/>
      <c r="QQ38" s="12"/>
      <c r="QR38" s="12"/>
      <c r="QS38" s="12"/>
      <c r="QT38" s="12"/>
      <c r="QU38" s="12"/>
      <c r="QV38" s="12"/>
      <c r="QW38" s="12"/>
      <c r="QX38" s="12"/>
      <c r="QY38" s="12"/>
      <c r="QZ38" s="12"/>
      <c r="RA38" s="12"/>
      <c r="RB38" s="12"/>
      <c r="RC38" s="12"/>
      <c r="RD38" s="12"/>
      <c r="RE38" s="12"/>
      <c r="RF38" s="12"/>
      <c r="RG38" s="12"/>
      <c r="RH38" s="12"/>
      <c r="RI38" s="12"/>
      <c r="RJ38" s="12"/>
      <c r="RK38" s="12"/>
      <c r="RL38" s="12"/>
      <c r="RM38" s="12"/>
      <c r="RN38" s="12"/>
      <c r="RO38" s="12"/>
      <c r="RP38" s="12"/>
      <c r="RQ38" s="12"/>
      <c r="RR38" s="12"/>
      <c r="RS38" s="12"/>
      <c r="RT38" s="12"/>
      <c r="RU38" s="12"/>
      <c r="RV38" s="12"/>
      <c r="RW38" s="12"/>
      <c r="RX38" s="12"/>
      <c r="RY38" s="12"/>
      <c r="RZ38" s="12"/>
      <c r="SA38" s="12"/>
      <c r="SB38" s="12"/>
      <c r="SC38" s="12"/>
      <c r="SD38" s="12"/>
      <c r="SE38" s="12"/>
      <c r="SF38" s="12"/>
      <c r="SG38" s="12"/>
      <c r="SH38" s="12"/>
      <c r="SI38" s="12"/>
      <c r="SJ38" s="12"/>
      <c r="SK38" s="12"/>
      <c r="SL38" s="12"/>
      <c r="SM38" s="12"/>
      <c r="SN38" s="12"/>
      <c r="SO38" s="12"/>
      <c r="SP38" s="12"/>
      <c r="SQ38" s="12"/>
      <c r="SR38" s="12"/>
      <c r="SS38" s="12"/>
      <c r="ST38" s="12"/>
      <c r="SU38" s="12"/>
      <c r="SV38" s="12"/>
      <c r="SW38" s="12"/>
      <c r="SX38" s="12"/>
      <c r="SY38" s="12"/>
      <c r="SZ38" s="12"/>
      <c r="TA38" s="12"/>
      <c r="TB38" s="12"/>
      <c r="TC38" s="12"/>
      <c r="TD38" s="12"/>
      <c r="TE38" s="12"/>
      <c r="TF38" s="12"/>
      <c r="TG38" s="12"/>
      <c r="TH38" s="12"/>
      <c r="TI38" s="12"/>
      <c r="TJ38" s="12"/>
      <c r="TK38" s="12"/>
      <c r="TL38" s="12"/>
      <c r="TM38" s="12"/>
      <c r="TN38" s="12"/>
      <c r="TO38" s="12"/>
      <c r="TP38" s="12"/>
      <c r="TQ38" s="12"/>
      <c r="TR38" s="12"/>
      <c r="TS38" s="12"/>
      <c r="TT38" s="12"/>
      <c r="TU38" s="12"/>
      <c r="TV38" s="12"/>
      <c r="TW38" s="12"/>
      <c r="TX38" s="12"/>
      <c r="TY38" s="12"/>
      <c r="TZ38" s="12"/>
      <c r="UA38" s="12"/>
      <c r="UB38" s="12"/>
      <c r="UC38" s="12"/>
      <c r="UD38" s="12"/>
      <c r="UE38" s="12"/>
      <c r="UF38" s="12"/>
      <c r="UG38" s="12"/>
      <c r="UH38" s="12"/>
      <c r="UI38" s="12"/>
      <c r="UJ38" s="12"/>
      <c r="UK38" s="12"/>
      <c r="UL38" s="12"/>
      <c r="UM38" s="12"/>
      <c r="UN38" s="12"/>
      <c r="UO38" s="12"/>
      <c r="UP38" s="12"/>
      <c r="UQ38" s="12"/>
      <c r="UR38" s="12"/>
      <c r="US38" s="12"/>
      <c r="UT38" s="12"/>
      <c r="UU38" s="12"/>
      <c r="UV38" s="12"/>
      <c r="UW38" s="12"/>
      <c r="UX38" s="12"/>
      <c r="UY38" s="12"/>
      <c r="UZ38" s="12"/>
      <c r="VA38" s="12"/>
      <c r="VB38" s="12"/>
      <c r="VC38" s="12"/>
      <c r="VD38" s="12"/>
      <c r="VE38" s="12"/>
      <c r="VF38" s="12"/>
      <c r="VG38" s="12"/>
      <c r="VH38" s="12"/>
      <c r="VI38" s="12"/>
      <c r="VJ38" s="12"/>
      <c r="VK38" s="12"/>
      <c r="VL38" s="12"/>
      <c r="VM38" s="12"/>
      <c r="VN38" s="12"/>
      <c r="VO38" s="12"/>
      <c r="VP38" s="12"/>
      <c r="VQ38" s="12"/>
      <c r="VR38" s="12"/>
      <c r="VS38" s="12"/>
      <c r="VT38" s="12"/>
      <c r="VU38" s="12"/>
      <c r="VV38" s="12"/>
      <c r="VW38" s="12"/>
      <c r="VX38" s="12"/>
      <c r="VY38" s="12"/>
      <c r="VZ38" s="12"/>
      <c r="WA38" s="12"/>
      <c r="WB38" s="12"/>
      <c r="WC38" s="12"/>
      <c r="WD38" s="12"/>
      <c r="WE38" s="12"/>
      <c r="WF38" s="12"/>
      <c r="WG38" s="12"/>
      <c r="WH38" s="12"/>
      <c r="WI38" s="12"/>
      <c r="WJ38" s="12"/>
      <c r="WK38" s="12"/>
      <c r="WL38" s="12"/>
      <c r="WM38" s="12"/>
      <c r="WN38" s="12"/>
      <c r="WO38" s="12"/>
      <c r="WP38" s="12"/>
      <c r="WQ38" s="12"/>
      <c r="WR38" s="12"/>
      <c r="WS38" s="12"/>
      <c r="WT38" s="12"/>
      <c r="WU38" s="12"/>
      <c r="WV38" s="12"/>
      <c r="WW38" s="12"/>
      <c r="WX38" s="12"/>
      <c r="WY38" s="12"/>
      <c r="WZ38" s="12"/>
      <c r="XA38" s="12"/>
      <c r="XB38" s="12"/>
      <c r="XC38" s="12"/>
      <c r="XD38" s="12"/>
      <c r="XE38" s="12"/>
      <c r="XF38" s="12"/>
      <c r="XG38" s="12"/>
      <c r="XH38" s="12"/>
      <c r="XI38" s="12"/>
      <c r="XJ38" s="12"/>
      <c r="XK38" s="12"/>
      <c r="XL38" s="12"/>
      <c r="XM38" s="12"/>
      <c r="XN38" s="12"/>
      <c r="XO38" s="12"/>
      <c r="XP38" s="12"/>
      <c r="XQ38" s="12"/>
      <c r="XR38" s="12"/>
      <c r="XS38" s="12"/>
      <c r="XT38" s="12"/>
      <c r="XU38" s="12"/>
      <c r="XV38" s="12"/>
      <c r="XW38" s="12"/>
      <c r="XX38" s="12"/>
      <c r="XY38" s="12"/>
      <c r="XZ38" s="12"/>
      <c r="YA38" s="12"/>
      <c r="YB38" s="12"/>
      <c r="YC38" s="12"/>
      <c r="YD38" s="12"/>
      <c r="YE38" s="12"/>
      <c r="YF38" s="12"/>
      <c r="YG38" s="12"/>
      <c r="YH38" s="12"/>
      <c r="YI38" s="12"/>
      <c r="YJ38" s="12"/>
      <c r="YK38" s="12"/>
      <c r="YL38" s="12"/>
      <c r="YM38" s="12"/>
      <c r="YN38" s="12"/>
      <c r="YO38" s="12"/>
      <c r="YP38" s="12"/>
      <c r="YQ38" s="12"/>
      <c r="YR38" s="12"/>
      <c r="YS38" s="12"/>
      <c r="YT38" s="12"/>
      <c r="YU38" s="12"/>
      <c r="YV38" s="12"/>
      <c r="YW38" s="12"/>
      <c r="YX38" s="12"/>
      <c r="YY38" s="12"/>
      <c r="YZ38" s="12"/>
      <c r="ZA38" s="12"/>
      <c r="ZB38" s="12"/>
      <c r="ZC38" s="12"/>
      <c r="ZD38" s="12"/>
      <c r="ZE38" s="12"/>
      <c r="ZF38" s="12"/>
      <c r="ZG38" s="12"/>
      <c r="ZH38" s="12"/>
      <c r="ZI38" s="12"/>
      <c r="ZJ38" s="12"/>
      <c r="ZK38" s="12"/>
      <c r="ZL38" s="12"/>
      <c r="ZM38" s="12"/>
      <c r="ZN38" s="12"/>
      <c r="ZO38" s="12"/>
      <c r="ZP38" s="12"/>
      <c r="ZQ38" s="12"/>
      <c r="ZR38" s="12"/>
      <c r="ZS38" s="12"/>
      <c r="ZT38" s="12"/>
      <c r="ZU38" s="12"/>
      <c r="ZV38" s="12"/>
      <c r="ZW38" s="12"/>
      <c r="ZX38" s="12"/>
      <c r="ZY38" s="12"/>
      <c r="ZZ38" s="12"/>
      <c r="AAA38" s="12"/>
      <c r="AAB38" s="12"/>
      <c r="AAC38" s="12"/>
      <c r="AAD38" s="12"/>
      <c r="AAE38" s="12"/>
      <c r="AAF38" s="12"/>
      <c r="AAG38" s="12"/>
      <c r="AAH38" s="12"/>
      <c r="AAI38" s="12"/>
      <c r="AAJ38" s="12"/>
      <c r="AAK38" s="12"/>
      <c r="AAL38" s="12"/>
      <c r="AAM38" s="12"/>
      <c r="AAN38" s="12"/>
      <c r="AAO38" s="12"/>
      <c r="AAP38" s="12"/>
      <c r="AAQ38" s="12"/>
      <c r="AAR38" s="12"/>
      <c r="AAS38" s="12"/>
      <c r="AAT38" s="12"/>
      <c r="AAU38" s="12"/>
      <c r="AAV38" s="12"/>
      <c r="AAW38" s="12"/>
      <c r="AAX38" s="12"/>
      <c r="AAY38" s="12"/>
      <c r="AAZ38" s="12"/>
      <c r="ABA38" s="12"/>
      <c r="ABB38" s="12"/>
      <c r="ABC38" s="12"/>
      <c r="ABD38" s="12"/>
      <c r="ABE38" s="12"/>
      <c r="ABF38" s="12"/>
      <c r="ABG38" s="12"/>
      <c r="ABH38" s="12"/>
      <c r="ABI38" s="12"/>
      <c r="ABJ38" s="12"/>
      <c r="ABK38" s="12"/>
      <c r="ABL38" s="12"/>
      <c r="ABM38" s="12"/>
      <c r="ABN38" s="12"/>
      <c r="ABO38" s="12"/>
      <c r="ABP38" s="12"/>
      <c r="ABQ38" s="12"/>
      <c r="ABR38" s="12"/>
      <c r="ABS38" s="12"/>
      <c r="ABT38" s="12"/>
      <c r="ABU38" s="12"/>
      <c r="ABV38" s="12"/>
      <c r="ABW38" s="12"/>
      <c r="ABX38" s="12"/>
      <c r="ABY38" s="12"/>
      <c r="ABZ38" s="12"/>
      <c r="ACA38" s="12"/>
      <c r="ACB38" s="12"/>
      <c r="ACC38" s="12"/>
      <c r="ACD38" s="12"/>
      <c r="ACE38" s="12"/>
      <c r="ACF38" s="12"/>
      <c r="ACG38" s="12"/>
      <c r="ACH38" s="12"/>
      <c r="ACI38" s="12"/>
      <c r="ACJ38" s="12"/>
      <c r="ACK38" s="12"/>
      <c r="ACL38" s="12"/>
      <c r="ACM38" s="12"/>
      <c r="ACN38" s="12"/>
      <c r="ACO38" s="12"/>
      <c r="ACP38" s="12"/>
      <c r="ACQ38" s="12"/>
      <c r="ACR38" s="12"/>
      <c r="ACS38" s="12"/>
      <c r="ACT38" s="12"/>
      <c r="ACU38" s="12"/>
      <c r="ACV38" s="12"/>
      <c r="ACW38" s="12"/>
      <c r="ACX38" s="12"/>
      <c r="ACY38" s="12"/>
      <c r="ACZ38" s="12"/>
      <c r="ADA38" s="12"/>
      <c r="ADB38" s="12"/>
      <c r="ADC38" s="12"/>
      <c r="ADD38" s="12"/>
      <c r="ADE38" s="12"/>
      <c r="ADF38" s="12"/>
      <c r="ADG38" s="12"/>
      <c r="ADH38" s="12"/>
      <c r="ADI38" s="12"/>
      <c r="ADJ38" s="12"/>
      <c r="ADK38" s="12"/>
      <c r="ADL38" s="12"/>
      <c r="ADM38" s="12"/>
      <c r="ADN38" s="12"/>
      <c r="ADO38" s="12"/>
      <c r="ADP38" s="12"/>
      <c r="ADQ38" s="12"/>
      <c r="ADR38" s="12"/>
      <c r="ADS38" s="12"/>
      <c r="ADT38" s="12"/>
      <c r="ADU38" s="12"/>
      <c r="ADV38" s="12"/>
      <c r="ADW38" s="12"/>
      <c r="ADX38" s="12"/>
      <c r="ADY38" s="12"/>
      <c r="ADZ38" s="12"/>
      <c r="AEA38" s="12"/>
      <c r="AEB38" s="12"/>
      <c r="AEC38" s="12"/>
      <c r="AED38" s="12"/>
      <c r="AEE38" s="12"/>
      <c r="AEF38" s="12"/>
      <c r="AEG38" s="12"/>
      <c r="AEH38" s="12"/>
      <c r="AEI38" s="12"/>
      <c r="AEJ38" s="12"/>
      <c r="AEK38" s="12"/>
      <c r="AEL38" s="12"/>
      <c r="AEM38" s="12"/>
      <c r="AEN38" s="12"/>
      <c r="AEO38" s="12"/>
      <c r="AEP38" s="12"/>
      <c r="AEQ38" s="12"/>
      <c r="AER38" s="12"/>
      <c r="AES38" s="12"/>
      <c r="AET38" s="12"/>
      <c r="AEU38" s="12"/>
      <c r="AEV38" s="12"/>
    </row>
    <row r="39" spans="1:828" s="27" customFormat="1" ht="18" x14ac:dyDescent="0.2">
      <c r="A39" s="28"/>
      <c r="D39" s="29"/>
      <c r="E39" s="23"/>
      <c r="F39" s="27" t="s">
        <v>30</v>
      </c>
      <c r="G39" s="29">
        <v>197</v>
      </c>
      <c r="H39" s="30"/>
      <c r="I39" s="23"/>
      <c r="J39" s="29"/>
      <c r="K39" s="30"/>
      <c r="L39" s="23" t="s">
        <v>38</v>
      </c>
      <c r="M39" s="29">
        <v>467</v>
      </c>
      <c r="N39" s="47">
        <f t="shared" si="1"/>
        <v>1.8253078469706375E-3</v>
      </c>
      <c r="O39" s="47">
        <f t="shared" si="2"/>
        <v>4.4389947150298469E-3</v>
      </c>
      <c r="P39" s="48"/>
      <c r="Q39"/>
      <c r="R39"/>
      <c r="S39"/>
      <c r="T39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2"/>
      <c r="FJ39" s="12"/>
      <c r="FK39" s="12"/>
      <c r="FL39" s="12"/>
      <c r="FM39" s="12"/>
      <c r="FN39" s="12"/>
      <c r="FO39" s="12"/>
      <c r="FP39" s="12"/>
      <c r="FQ39" s="12"/>
      <c r="FR39" s="12"/>
      <c r="FS39" s="12"/>
      <c r="FT39" s="12"/>
      <c r="FU39" s="12"/>
      <c r="FV39" s="12"/>
      <c r="FW39" s="12"/>
      <c r="FX39" s="12"/>
      <c r="FY39" s="12"/>
      <c r="FZ39" s="12"/>
      <c r="GA39" s="12"/>
      <c r="GB39" s="12"/>
      <c r="GC39" s="12"/>
      <c r="GD39" s="12"/>
      <c r="GE39" s="12"/>
      <c r="GF39" s="12"/>
      <c r="GG39" s="12"/>
      <c r="GH39" s="12"/>
      <c r="GI39" s="12"/>
      <c r="GJ39" s="12"/>
      <c r="GK39" s="12"/>
      <c r="GL39" s="12"/>
      <c r="GM39" s="12"/>
      <c r="GN39" s="12"/>
      <c r="GO39" s="12"/>
      <c r="GP39" s="12"/>
      <c r="GQ39" s="12"/>
      <c r="GR39" s="12"/>
      <c r="GS39" s="12"/>
      <c r="GT39" s="12"/>
      <c r="GU39" s="12"/>
      <c r="GV39" s="12"/>
      <c r="GW39" s="12"/>
      <c r="GX39" s="12"/>
      <c r="GY39" s="12"/>
      <c r="GZ39" s="12"/>
      <c r="HA39" s="12"/>
      <c r="HB39" s="12"/>
      <c r="HC39" s="12"/>
      <c r="HD39" s="12"/>
      <c r="HE39" s="12"/>
      <c r="HF39" s="12"/>
      <c r="HG39" s="12"/>
      <c r="HH39" s="12"/>
      <c r="HI39" s="12"/>
      <c r="HJ39" s="12"/>
      <c r="HK39" s="12"/>
      <c r="HL39" s="12"/>
      <c r="HM39" s="12"/>
      <c r="HN39" s="12"/>
      <c r="HO39" s="12"/>
      <c r="HP39" s="12"/>
      <c r="HQ39" s="12"/>
      <c r="HR39" s="12"/>
      <c r="HS39" s="12"/>
      <c r="HT39" s="12"/>
      <c r="HU39" s="12"/>
      <c r="HV39" s="12"/>
      <c r="HW39" s="12"/>
      <c r="HX39" s="12"/>
      <c r="HY39" s="12"/>
      <c r="HZ39" s="12"/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  <c r="IL39" s="12"/>
      <c r="IM39" s="12"/>
      <c r="IN39" s="12"/>
      <c r="IO39" s="12"/>
      <c r="IP39" s="12"/>
      <c r="IQ39" s="12"/>
      <c r="IR39" s="12"/>
      <c r="IS39" s="12"/>
      <c r="IT39" s="12"/>
      <c r="IU39" s="12"/>
      <c r="IV39" s="12"/>
      <c r="IW39" s="12"/>
      <c r="IX39" s="12"/>
      <c r="IY39" s="12"/>
      <c r="IZ39" s="12"/>
      <c r="JA39" s="12"/>
      <c r="JB39" s="12"/>
      <c r="JC39" s="12"/>
      <c r="JD39" s="12"/>
      <c r="JE39" s="12"/>
      <c r="JF39" s="12"/>
      <c r="JG39" s="12"/>
      <c r="JH39" s="12"/>
      <c r="JI39" s="12"/>
      <c r="JJ39" s="12"/>
      <c r="JK39" s="12"/>
      <c r="JL39" s="12"/>
      <c r="JM39" s="12"/>
      <c r="JN39" s="12"/>
      <c r="JO39" s="12"/>
      <c r="JP39" s="12"/>
      <c r="JQ39" s="12"/>
      <c r="JR39" s="12"/>
      <c r="JS39" s="12"/>
      <c r="JT39" s="12"/>
      <c r="JU39" s="12"/>
      <c r="JV39" s="12"/>
      <c r="JW39" s="12"/>
      <c r="JX39" s="12"/>
      <c r="JY39" s="12"/>
      <c r="JZ39" s="12"/>
      <c r="KA39" s="12"/>
      <c r="KB39" s="12"/>
      <c r="KC39" s="12"/>
      <c r="KD39" s="12"/>
      <c r="KE39" s="12"/>
      <c r="KF39" s="12"/>
      <c r="KG39" s="12"/>
      <c r="KH39" s="12"/>
      <c r="KI39" s="12"/>
      <c r="KJ39" s="12"/>
      <c r="KK39" s="12"/>
      <c r="KL39" s="12"/>
      <c r="KM39" s="12"/>
      <c r="KN39" s="12"/>
      <c r="KO39" s="12"/>
      <c r="KP39" s="12"/>
      <c r="KQ39" s="12"/>
      <c r="KR39" s="12"/>
      <c r="KS39" s="12"/>
      <c r="KT39" s="12"/>
      <c r="KU39" s="12"/>
      <c r="KV39" s="12"/>
      <c r="KW39" s="12"/>
      <c r="KX39" s="12"/>
      <c r="KY39" s="12"/>
      <c r="KZ39" s="12"/>
      <c r="LA39" s="12"/>
      <c r="LB39" s="12"/>
      <c r="LC39" s="12"/>
      <c r="LD39" s="12"/>
      <c r="LE39" s="12"/>
      <c r="LF39" s="12"/>
      <c r="LG39" s="12"/>
      <c r="LH39" s="12"/>
      <c r="LI39" s="12"/>
      <c r="LJ39" s="12"/>
      <c r="LK39" s="12"/>
      <c r="LL39" s="12"/>
      <c r="LM39" s="12"/>
      <c r="LN39" s="12"/>
      <c r="LO39" s="12"/>
      <c r="LP39" s="12"/>
      <c r="LQ39" s="12"/>
      <c r="LR39" s="12"/>
      <c r="LS39" s="12"/>
      <c r="LT39" s="12"/>
      <c r="LU39" s="12"/>
      <c r="LV39" s="12"/>
      <c r="LW39" s="12"/>
      <c r="LX39" s="12"/>
      <c r="LY39" s="12"/>
      <c r="LZ39" s="12"/>
      <c r="MA39" s="12"/>
      <c r="MB39" s="12"/>
      <c r="MC39" s="12"/>
      <c r="MD39" s="12"/>
      <c r="ME39" s="12"/>
      <c r="MF39" s="12"/>
      <c r="MG39" s="12"/>
      <c r="MH39" s="12"/>
      <c r="MI39" s="12"/>
      <c r="MJ39" s="12"/>
      <c r="MK39" s="12"/>
      <c r="ML39" s="12"/>
      <c r="MM39" s="12"/>
      <c r="MN39" s="12"/>
      <c r="MO39" s="12"/>
      <c r="MP39" s="12"/>
      <c r="MQ39" s="12"/>
      <c r="MR39" s="12"/>
      <c r="MS39" s="12"/>
      <c r="MT39" s="12"/>
      <c r="MU39" s="12"/>
      <c r="MV39" s="12"/>
      <c r="MW39" s="12"/>
      <c r="MX39" s="12"/>
      <c r="MY39" s="12"/>
      <c r="MZ39" s="12"/>
      <c r="NA39" s="12"/>
      <c r="NB39" s="12"/>
      <c r="NC39" s="12"/>
      <c r="ND39" s="12"/>
      <c r="NE39" s="12"/>
      <c r="NF39" s="12"/>
      <c r="NG39" s="12"/>
      <c r="NH39" s="12"/>
      <c r="NI39" s="12"/>
      <c r="NJ39" s="12"/>
      <c r="NK39" s="12"/>
      <c r="NL39" s="12"/>
      <c r="NM39" s="12"/>
      <c r="NN39" s="12"/>
      <c r="NO39" s="12"/>
      <c r="NP39" s="12"/>
      <c r="NQ39" s="12"/>
      <c r="NR39" s="12"/>
      <c r="NS39" s="12"/>
      <c r="NT39" s="12"/>
      <c r="NU39" s="12"/>
      <c r="NV39" s="12"/>
      <c r="NW39" s="12"/>
      <c r="NX39" s="12"/>
      <c r="NY39" s="12"/>
      <c r="NZ39" s="12"/>
      <c r="OA39" s="12"/>
      <c r="OB39" s="12"/>
      <c r="OC39" s="12"/>
      <c r="OD39" s="12"/>
      <c r="OE39" s="12"/>
      <c r="OF39" s="12"/>
      <c r="OG39" s="12"/>
      <c r="OH39" s="12"/>
      <c r="OI39" s="12"/>
      <c r="OJ39" s="12"/>
      <c r="OK39" s="12"/>
      <c r="OL39" s="12"/>
      <c r="OM39" s="12"/>
      <c r="ON39" s="12"/>
      <c r="OO39" s="12"/>
      <c r="OP39" s="12"/>
      <c r="OQ39" s="12"/>
      <c r="OR39" s="12"/>
      <c r="OS39" s="12"/>
      <c r="OT39" s="12"/>
      <c r="OU39" s="12"/>
      <c r="OV39" s="12"/>
      <c r="OW39" s="12"/>
      <c r="OX39" s="12"/>
      <c r="OY39" s="12"/>
      <c r="OZ39" s="12"/>
      <c r="PA39" s="12"/>
      <c r="PB39" s="12"/>
      <c r="PC39" s="12"/>
      <c r="PD39" s="12"/>
      <c r="PE39" s="12"/>
      <c r="PF39" s="12"/>
      <c r="PG39" s="12"/>
      <c r="PH39" s="12"/>
      <c r="PI39" s="12"/>
      <c r="PJ39" s="12"/>
      <c r="PK39" s="12"/>
      <c r="PL39" s="12"/>
      <c r="PM39" s="12"/>
      <c r="PN39" s="12"/>
      <c r="PO39" s="12"/>
      <c r="PP39" s="12"/>
      <c r="PQ39" s="12"/>
      <c r="PR39" s="12"/>
      <c r="PS39" s="12"/>
      <c r="PT39" s="12"/>
      <c r="PU39" s="12"/>
      <c r="PV39" s="12"/>
      <c r="PW39" s="12"/>
      <c r="PX39" s="12"/>
      <c r="PY39" s="12"/>
      <c r="PZ39" s="12"/>
      <c r="QA39" s="12"/>
      <c r="QB39" s="12"/>
      <c r="QC39" s="12"/>
      <c r="QD39" s="12"/>
      <c r="QE39" s="12"/>
      <c r="QF39" s="12"/>
      <c r="QG39" s="12"/>
      <c r="QH39" s="12"/>
      <c r="QI39" s="12"/>
      <c r="QJ39" s="12"/>
      <c r="QK39" s="12"/>
      <c r="QL39" s="12"/>
      <c r="QM39" s="12"/>
      <c r="QN39" s="12"/>
      <c r="QO39" s="12"/>
      <c r="QP39" s="12"/>
      <c r="QQ39" s="12"/>
      <c r="QR39" s="12"/>
      <c r="QS39" s="12"/>
      <c r="QT39" s="12"/>
      <c r="QU39" s="12"/>
      <c r="QV39" s="12"/>
      <c r="QW39" s="12"/>
      <c r="QX39" s="12"/>
      <c r="QY39" s="12"/>
      <c r="QZ39" s="12"/>
      <c r="RA39" s="12"/>
      <c r="RB39" s="12"/>
      <c r="RC39" s="12"/>
      <c r="RD39" s="12"/>
      <c r="RE39" s="12"/>
      <c r="RF39" s="12"/>
      <c r="RG39" s="12"/>
      <c r="RH39" s="12"/>
      <c r="RI39" s="12"/>
      <c r="RJ39" s="12"/>
      <c r="RK39" s="12"/>
      <c r="RL39" s="12"/>
      <c r="RM39" s="12"/>
      <c r="RN39" s="12"/>
      <c r="RO39" s="12"/>
      <c r="RP39" s="12"/>
      <c r="RQ39" s="12"/>
      <c r="RR39" s="12"/>
      <c r="RS39" s="12"/>
      <c r="RT39" s="12"/>
      <c r="RU39" s="12"/>
      <c r="RV39" s="12"/>
      <c r="RW39" s="12"/>
      <c r="RX39" s="12"/>
      <c r="RY39" s="12"/>
      <c r="RZ39" s="12"/>
      <c r="SA39" s="12"/>
      <c r="SB39" s="12"/>
      <c r="SC39" s="12"/>
      <c r="SD39" s="12"/>
      <c r="SE39" s="12"/>
      <c r="SF39" s="12"/>
      <c r="SG39" s="12"/>
      <c r="SH39" s="12"/>
      <c r="SI39" s="12"/>
      <c r="SJ39" s="12"/>
      <c r="SK39" s="12"/>
      <c r="SL39" s="12"/>
      <c r="SM39" s="12"/>
      <c r="SN39" s="12"/>
      <c r="SO39" s="12"/>
      <c r="SP39" s="12"/>
      <c r="SQ39" s="12"/>
      <c r="SR39" s="12"/>
      <c r="SS39" s="12"/>
      <c r="ST39" s="12"/>
      <c r="SU39" s="12"/>
      <c r="SV39" s="12"/>
      <c r="SW39" s="12"/>
      <c r="SX39" s="12"/>
      <c r="SY39" s="12"/>
      <c r="SZ39" s="12"/>
      <c r="TA39" s="12"/>
      <c r="TB39" s="12"/>
      <c r="TC39" s="12"/>
      <c r="TD39" s="12"/>
      <c r="TE39" s="12"/>
      <c r="TF39" s="12"/>
      <c r="TG39" s="12"/>
      <c r="TH39" s="12"/>
      <c r="TI39" s="12"/>
      <c r="TJ39" s="12"/>
      <c r="TK39" s="12"/>
      <c r="TL39" s="12"/>
      <c r="TM39" s="12"/>
      <c r="TN39" s="12"/>
      <c r="TO39" s="12"/>
      <c r="TP39" s="12"/>
      <c r="TQ39" s="12"/>
      <c r="TR39" s="12"/>
      <c r="TS39" s="12"/>
      <c r="TT39" s="12"/>
      <c r="TU39" s="12"/>
      <c r="TV39" s="12"/>
      <c r="TW39" s="12"/>
      <c r="TX39" s="12"/>
      <c r="TY39" s="12"/>
      <c r="TZ39" s="12"/>
      <c r="UA39" s="12"/>
      <c r="UB39" s="12"/>
      <c r="UC39" s="12"/>
      <c r="UD39" s="12"/>
      <c r="UE39" s="12"/>
      <c r="UF39" s="12"/>
      <c r="UG39" s="12"/>
      <c r="UH39" s="12"/>
      <c r="UI39" s="12"/>
      <c r="UJ39" s="12"/>
      <c r="UK39" s="12"/>
      <c r="UL39" s="12"/>
      <c r="UM39" s="12"/>
      <c r="UN39" s="12"/>
      <c r="UO39" s="12"/>
      <c r="UP39" s="12"/>
      <c r="UQ39" s="12"/>
      <c r="UR39" s="12"/>
      <c r="US39" s="12"/>
      <c r="UT39" s="12"/>
      <c r="UU39" s="12"/>
      <c r="UV39" s="12"/>
      <c r="UW39" s="12"/>
      <c r="UX39" s="12"/>
      <c r="UY39" s="12"/>
      <c r="UZ39" s="12"/>
      <c r="VA39" s="12"/>
      <c r="VB39" s="12"/>
      <c r="VC39" s="12"/>
      <c r="VD39" s="12"/>
      <c r="VE39" s="12"/>
      <c r="VF39" s="12"/>
      <c r="VG39" s="12"/>
      <c r="VH39" s="12"/>
      <c r="VI39" s="12"/>
      <c r="VJ39" s="12"/>
      <c r="VK39" s="12"/>
      <c r="VL39" s="12"/>
      <c r="VM39" s="12"/>
      <c r="VN39" s="12"/>
      <c r="VO39" s="12"/>
      <c r="VP39" s="12"/>
      <c r="VQ39" s="12"/>
      <c r="VR39" s="12"/>
      <c r="VS39" s="12"/>
      <c r="VT39" s="12"/>
      <c r="VU39" s="12"/>
      <c r="VV39" s="12"/>
      <c r="VW39" s="12"/>
      <c r="VX39" s="12"/>
      <c r="VY39" s="12"/>
      <c r="VZ39" s="12"/>
      <c r="WA39" s="12"/>
      <c r="WB39" s="12"/>
      <c r="WC39" s="12"/>
      <c r="WD39" s="12"/>
      <c r="WE39" s="12"/>
      <c r="WF39" s="12"/>
      <c r="WG39" s="12"/>
      <c r="WH39" s="12"/>
      <c r="WI39" s="12"/>
      <c r="WJ39" s="12"/>
      <c r="WK39" s="12"/>
      <c r="WL39" s="12"/>
      <c r="WM39" s="12"/>
      <c r="WN39" s="12"/>
      <c r="WO39" s="12"/>
      <c r="WP39" s="12"/>
      <c r="WQ39" s="12"/>
      <c r="WR39" s="12"/>
      <c r="WS39" s="12"/>
      <c r="WT39" s="12"/>
      <c r="WU39" s="12"/>
      <c r="WV39" s="12"/>
      <c r="WW39" s="12"/>
      <c r="WX39" s="12"/>
      <c r="WY39" s="12"/>
      <c r="WZ39" s="12"/>
      <c r="XA39" s="12"/>
      <c r="XB39" s="12"/>
      <c r="XC39" s="12"/>
      <c r="XD39" s="12"/>
      <c r="XE39" s="12"/>
      <c r="XF39" s="12"/>
      <c r="XG39" s="12"/>
      <c r="XH39" s="12"/>
      <c r="XI39" s="12"/>
      <c r="XJ39" s="12"/>
      <c r="XK39" s="12"/>
      <c r="XL39" s="12"/>
      <c r="XM39" s="12"/>
      <c r="XN39" s="12"/>
      <c r="XO39" s="12"/>
      <c r="XP39" s="12"/>
      <c r="XQ39" s="12"/>
      <c r="XR39" s="12"/>
      <c r="XS39" s="12"/>
      <c r="XT39" s="12"/>
      <c r="XU39" s="12"/>
      <c r="XV39" s="12"/>
      <c r="XW39" s="12"/>
      <c r="XX39" s="12"/>
      <c r="XY39" s="12"/>
      <c r="XZ39" s="12"/>
      <c r="YA39" s="12"/>
      <c r="YB39" s="12"/>
      <c r="YC39" s="12"/>
      <c r="YD39" s="12"/>
      <c r="YE39" s="12"/>
      <c r="YF39" s="12"/>
      <c r="YG39" s="12"/>
      <c r="YH39" s="12"/>
      <c r="YI39" s="12"/>
      <c r="YJ39" s="12"/>
      <c r="YK39" s="12"/>
      <c r="YL39" s="12"/>
      <c r="YM39" s="12"/>
      <c r="YN39" s="12"/>
      <c r="YO39" s="12"/>
      <c r="YP39" s="12"/>
      <c r="YQ39" s="12"/>
      <c r="YR39" s="12"/>
      <c r="YS39" s="12"/>
      <c r="YT39" s="12"/>
      <c r="YU39" s="12"/>
      <c r="YV39" s="12"/>
      <c r="YW39" s="12"/>
      <c r="YX39" s="12"/>
      <c r="YY39" s="12"/>
      <c r="YZ39" s="12"/>
      <c r="ZA39" s="12"/>
      <c r="ZB39" s="12"/>
      <c r="ZC39" s="12"/>
      <c r="ZD39" s="12"/>
      <c r="ZE39" s="12"/>
      <c r="ZF39" s="12"/>
      <c r="ZG39" s="12"/>
      <c r="ZH39" s="12"/>
      <c r="ZI39" s="12"/>
      <c r="ZJ39" s="12"/>
      <c r="ZK39" s="12"/>
      <c r="ZL39" s="12"/>
      <c r="ZM39" s="12"/>
      <c r="ZN39" s="12"/>
      <c r="ZO39" s="12"/>
      <c r="ZP39" s="12"/>
      <c r="ZQ39" s="12"/>
      <c r="ZR39" s="12"/>
      <c r="ZS39" s="12"/>
      <c r="ZT39" s="12"/>
      <c r="ZU39" s="12"/>
      <c r="ZV39" s="12"/>
      <c r="ZW39" s="12"/>
      <c r="ZX39" s="12"/>
      <c r="ZY39" s="12"/>
      <c r="ZZ39" s="12"/>
      <c r="AAA39" s="12"/>
      <c r="AAB39" s="12"/>
      <c r="AAC39" s="12"/>
      <c r="AAD39" s="12"/>
      <c r="AAE39" s="12"/>
      <c r="AAF39" s="12"/>
      <c r="AAG39" s="12"/>
      <c r="AAH39" s="12"/>
      <c r="AAI39" s="12"/>
      <c r="AAJ39" s="12"/>
      <c r="AAK39" s="12"/>
      <c r="AAL39" s="12"/>
      <c r="AAM39" s="12"/>
      <c r="AAN39" s="12"/>
      <c r="AAO39" s="12"/>
      <c r="AAP39" s="12"/>
      <c r="AAQ39" s="12"/>
      <c r="AAR39" s="12"/>
      <c r="AAS39" s="12"/>
      <c r="AAT39" s="12"/>
      <c r="AAU39" s="12"/>
      <c r="AAV39" s="12"/>
      <c r="AAW39" s="12"/>
      <c r="AAX39" s="12"/>
      <c r="AAY39" s="12"/>
      <c r="AAZ39" s="12"/>
      <c r="ABA39" s="12"/>
      <c r="ABB39" s="12"/>
      <c r="ABC39" s="12"/>
      <c r="ABD39" s="12"/>
      <c r="ABE39" s="12"/>
      <c r="ABF39" s="12"/>
      <c r="ABG39" s="12"/>
      <c r="ABH39" s="12"/>
      <c r="ABI39" s="12"/>
      <c r="ABJ39" s="12"/>
      <c r="ABK39" s="12"/>
      <c r="ABL39" s="12"/>
      <c r="ABM39" s="12"/>
      <c r="ABN39" s="12"/>
      <c r="ABO39" s="12"/>
      <c r="ABP39" s="12"/>
      <c r="ABQ39" s="12"/>
      <c r="ABR39" s="12"/>
      <c r="ABS39" s="12"/>
      <c r="ABT39" s="12"/>
      <c r="ABU39" s="12"/>
      <c r="ABV39" s="12"/>
      <c r="ABW39" s="12"/>
      <c r="ABX39" s="12"/>
      <c r="ABY39" s="12"/>
      <c r="ABZ39" s="12"/>
      <c r="ACA39" s="12"/>
      <c r="ACB39" s="12"/>
      <c r="ACC39" s="12"/>
      <c r="ACD39" s="12"/>
      <c r="ACE39" s="12"/>
      <c r="ACF39" s="12"/>
      <c r="ACG39" s="12"/>
      <c r="ACH39" s="12"/>
      <c r="ACI39" s="12"/>
      <c r="ACJ39" s="12"/>
      <c r="ACK39" s="12"/>
      <c r="ACL39" s="12"/>
      <c r="ACM39" s="12"/>
      <c r="ACN39" s="12"/>
      <c r="ACO39" s="12"/>
      <c r="ACP39" s="12"/>
      <c r="ACQ39" s="12"/>
      <c r="ACR39" s="12"/>
      <c r="ACS39" s="12"/>
      <c r="ACT39" s="12"/>
      <c r="ACU39" s="12"/>
      <c r="ACV39" s="12"/>
      <c r="ACW39" s="12"/>
      <c r="ACX39" s="12"/>
      <c r="ACY39" s="12"/>
      <c r="ACZ39" s="12"/>
      <c r="ADA39" s="12"/>
      <c r="ADB39" s="12"/>
      <c r="ADC39" s="12"/>
      <c r="ADD39" s="12"/>
      <c r="ADE39" s="12"/>
      <c r="ADF39" s="12"/>
      <c r="ADG39" s="12"/>
      <c r="ADH39" s="12"/>
      <c r="ADI39" s="12"/>
      <c r="ADJ39" s="12"/>
      <c r="ADK39" s="12"/>
      <c r="ADL39" s="12"/>
      <c r="ADM39" s="12"/>
      <c r="ADN39" s="12"/>
      <c r="ADO39" s="12"/>
      <c r="ADP39" s="12"/>
      <c r="ADQ39" s="12"/>
      <c r="ADR39" s="12"/>
      <c r="ADS39" s="12"/>
      <c r="ADT39" s="12"/>
      <c r="ADU39" s="12"/>
      <c r="ADV39" s="12"/>
      <c r="ADW39" s="12"/>
      <c r="ADX39" s="12"/>
      <c r="ADY39" s="12"/>
      <c r="ADZ39" s="12"/>
      <c r="AEA39" s="12"/>
      <c r="AEB39" s="12"/>
      <c r="AEC39" s="12"/>
      <c r="AED39" s="12"/>
      <c r="AEE39" s="12"/>
      <c r="AEF39" s="12"/>
      <c r="AEG39" s="12"/>
      <c r="AEH39" s="12"/>
      <c r="AEI39" s="12"/>
      <c r="AEJ39" s="12"/>
      <c r="AEK39" s="12"/>
      <c r="AEL39" s="12"/>
      <c r="AEM39" s="12"/>
      <c r="AEN39" s="12"/>
      <c r="AEO39" s="12"/>
      <c r="AEP39" s="12"/>
      <c r="AEQ39" s="12"/>
      <c r="AER39" s="12"/>
      <c r="AES39" s="12"/>
      <c r="AET39" s="12"/>
      <c r="AEU39" s="12"/>
      <c r="AEV39" s="12"/>
    </row>
    <row r="40" spans="1:828" s="27" customFormat="1" ht="18" x14ac:dyDescent="0.2">
      <c r="A40" s="28"/>
      <c r="D40" s="29"/>
      <c r="E40" s="23"/>
      <c r="F40" s="23" t="s">
        <v>74</v>
      </c>
      <c r="G40" s="29">
        <v>17</v>
      </c>
      <c r="H40" s="30"/>
      <c r="I40" s="23"/>
      <c r="K40" s="30"/>
      <c r="L40" s="23" t="s">
        <v>39</v>
      </c>
      <c r="M40" s="29">
        <v>59</v>
      </c>
      <c r="N40" s="47">
        <f t="shared" si="1"/>
        <v>1.5751387511929359E-4</v>
      </c>
      <c r="O40" s="47">
        <f t="shared" si="2"/>
        <v>5.6081517813010907E-4</v>
      </c>
      <c r="P40" s="48"/>
      <c r="Q40"/>
      <c r="R40"/>
      <c r="S40"/>
      <c r="T40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2"/>
      <c r="FJ40" s="12"/>
      <c r="FK40" s="12"/>
      <c r="FL40" s="12"/>
      <c r="FM40" s="12"/>
      <c r="FN40" s="12"/>
      <c r="FO40" s="12"/>
      <c r="FP40" s="12"/>
      <c r="FQ40" s="12"/>
      <c r="FR40" s="12"/>
      <c r="FS40" s="12"/>
      <c r="FT40" s="12"/>
      <c r="FU40" s="12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2"/>
      <c r="GG40" s="12"/>
      <c r="GH40" s="12"/>
      <c r="GI40" s="12"/>
      <c r="GJ40" s="12"/>
      <c r="GK40" s="12"/>
      <c r="GL40" s="12"/>
      <c r="GM40" s="12"/>
      <c r="GN40" s="12"/>
      <c r="GO40" s="12"/>
      <c r="GP40" s="12"/>
      <c r="GQ40" s="12"/>
      <c r="GR40" s="12"/>
      <c r="GS40" s="12"/>
      <c r="GT40" s="12"/>
      <c r="GU40" s="12"/>
      <c r="GV40" s="12"/>
      <c r="GW40" s="12"/>
      <c r="GX40" s="12"/>
      <c r="GY40" s="12"/>
      <c r="GZ40" s="12"/>
      <c r="HA40" s="12"/>
      <c r="HB40" s="12"/>
      <c r="HC40" s="12"/>
      <c r="HD40" s="12"/>
      <c r="HE40" s="12"/>
      <c r="HF40" s="12"/>
      <c r="HG40" s="12"/>
      <c r="HH40" s="12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2"/>
      <c r="HT40" s="12"/>
      <c r="HU40" s="12"/>
      <c r="HV40" s="12"/>
      <c r="HW40" s="12"/>
      <c r="HX40" s="12"/>
      <c r="HY40" s="12"/>
      <c r="HZ40" s="12"/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  <c r="IL40" s="12"/>
      <c r="IM40" s="12"/>
      <c r="IN40" s="12"/>
      <c r="IO40" s="12"/>
      <c r="IP40" s="12"/>
      <c r="IQ40" s="12"/>
      <c r="IR40" s="12"/>
      <c r="IS40" s="12"/>
      <c r="IT40" s="12"/>
      <c r="IU40" s="12"/>
      <c r="IV40" s="12"/>
      <c r="IW40" s="12"/>
      <c r="IX40" s="12"/>
      <c r="IY40" s="12"/>
      <c r="IZ40" s="12"/>
      <c r="JA40" s="12"/>
      <c r="JB40" s="12"/>
      <c r="JC40" s="12"/>
      <c r="JD40" s="12"/>
      <c r="JE40" s="12"/>
      <c r="JF40" s="12"/>
      <c r="JG40" s="12"/>
      <c r="JH40" s="12"/>
      <c r="JI40" s="12"/>
      <c r="JJ40" s="12"/>
      <c r="JK40" s="12"/>
      <c r="JL40" s="12"/>
      <c r="JM40" s="12"/>
      <c r="JN40" s="12"/>
      <c r="JO40" s="12"/>
      <c r="JP40" s="12"/>
      <c r="JQ40" s="12"/>
      <c r="JR40" s="12"/>
      <c r="JS40" s="12"/>
      <c r="JT40" s="12"/>
      <c r="JU40" s="12"/>
      <c r="JV40" s="12"/>
      <c r="JW40" s="12"/>
      <c r="JX40" s="12"/>
      <c r="JY40" s="12"/>
      <c r="JZ40" s="12"/>
      <c r="KA40" s="12"/>
      <c r="KB40" s="12"/>
      <c r="KC40" s="12"/>
      <c r="KD40" s="12"/>
      <c r="KE40" s="12"/>
      <c r="KF40" s="12"/>
      <c r="KG40" s="12"/>
      <c r="KH40" s="12"/>
      <c r="KI40" s="12"/>
      <c r="KJ40" s="12"/>
      <c r="KK40" s="12"/>
      <c r="KL40" s="12"/>
      <c r="KM40" s="12"/>
      <c r="KN40" s="12"/>
      <c r="KO40" s="12"/>
      <c r="KP40" s="12"/>
      <c r="KQ40" s="12"/>
      <c r="KR40" s="12"/>
      <c r="KS40" s="12"/>
      <c r="KT40" s="12"/>
      <c r="KU40" s="12"/>
      <c r="KV40" s="12"/>
      <c r="KW40" s="12"/>
      <c r="KX40" s="12"/>
      <c r="KY40" s="12"/>
      <c r="KZ40" s="12"/>
      <c r="LA40" s="12"/>
      <c r="LB40" s="12"/>
      <c r="LC40" s="12"/>
      <c r="LD40" s="12"/>
      <c r="LE40" s="12"/>
      <c r="LF40" s="12"/>
      <c r="LG40" s="12"/>
      <c r="LH40" s="12"/>
      <c r="LI40" s="12"/>
      <c r="LJ40" s="12"/>
      <c r="LK40" s="12"/>
      <c r="LL40" s="12"/>
      <c r="LM40" s="12"/>
      <c r="LN40" s="12"/>
      <c r="LO40" s="12"/>
      <c r="LP40" s="12"/>
      <c r="LQ40" s="12"/>
      <c r="LR40" s="12"/>
      <c r="LS40" s="12"/>
      <c r="LT40" s="12"/>
      <c r="LU40" s="12"/>
      <c r="LV40" s="12"/>
      <c r="LW40" s="12"/>
      <c r="LX40" s="12"/>
      <c r="LY40" s="12"/>
      <c r="LZ40" s="12"/>
      <c r="MA40" s="12"/>
      <c r="MB40" s="12"/>
      <c r="MC40" s="12"/>
      <c r="MD40" s="12"/>
      <c r="ME40" s="12"/>
      <c r="MF40" s="12"/>
      <c r="MG40" s="12"/>
      <c r="MH40" s="12"/>
      <c r="MI40" s="12"/>
      <c r="MJ40" s="12"/>
      <c r="MK40" s="12"/>
      <c r="ML40" s="12"/>
      <c r="MM40" s="12"/>
      <c r="MN40" s="12"/>
      <c r="MO40" s="12"/>
      <c r="MP40" s="12"/>
      <c r="MQ40" s="12"/>
      <c r="MR40" s="12"/>
      <c r="MS40" s="12"/>
      <c r="MT40" s="12"/>
      <c r="MU40" s="12"/>
      <c r="MV40" s="12"/>
      <c r="MW40" s="12"/>
      <c r="MX40" s="12"/>
      <c r="MY40" s="12"/>
      <c r="MZ40" s="12"/>
      <c r="NA40" s="12"/>
      <c r="NB40" s="12"/>
      <c r="NC40" s="12"/>
      <c r="ND40" s="12"/>
      <c r="NE40" s="12"/>
      <c r="NF40" s="12"/>
      <c r="NG40" s="12"/>
      <c r="NH40" s="12"/>
      <c r="NI40" s="12"/>
      <c r="NJ40" s="12"/>
      <c r="NK40" s="12"/>
      <c r="NL40" s="12"/>
      <c r="NM40" s="12"/>
      <c r="NN40" s="12"/>
      <c r="NO40" s="12"/>
      <c r="NP40" s="12"/>
      <c r="NQ40" s="12"/>
      <c r="NR40" s="12"/>
      <c r="NS40" s="12"/>
      <c r="NT40" s="12"/>
      <c r="NU40" s="12"/>
      <c r="NV40" s="12"/>
      <c r="NW40" s="12"/>
      <c r="NX40" s="12"/>
      <c r="NY40" s="12"/>
      <c r="NZ40" s="12"/>
      <c r="OA40" s="12"/>
      <c r="OB40" s="12"/>
      <c r="OC40" s="12"/>
      <c r="OD40" s="12"/>
      <c r="OE40" s="12"/>
      <c r="OF40" s="12"/>
      <c r="OG40" s="12"/>
      <c r="OH40" s="12"/>
      <c r="OI40" s="12"/>
      <c r="OJ40" s="12"/>
      <c r="OK40" s="12"/>
      <c r="OL40" s="12"/>
      <c r="OM40" s="12"/>
      <c r="ON40" s="12"/>
      <c r="OO40" s="12"/>
      <c r="OP40" s="12"/>
      <c r="OQ40" s="12"/>
      <c r="OR40" s="12"/>
      <c r="OS40" s="12"/>
      <c r="OT40" s="12"/>
      <c r="OU40" s="12"/>
      <c r="OV40" s="12"/>
      <c r="OW40" s="12"/>
      <c r="OX40" s="12"/>
      <c r="OY40" s="12"/>
      <c r="OZ40" s="12"/>
      <c r="PA40" s="12"/>
      <c r="PB40" s="12"/>
      <c r="PC40" s="12"/>
      <c r="PD40" s="12"/>
      <c r="PE40" s="12"/>
      <c r="PF40" s="12"/>
      <c r="PG40" s="12"/>
      <c r="PH40" s="12"/>
      <c r="PI40" s="12"/>
      <c r="PJ40" s="12"/>
      <c r="PK40" s="12"/>
      <c r="PL40" s="12"/>
      <c r="PM40" s="12"/>
      <c r="PN40" s="12"/>
      <c r="PO40" s="12"/>
      <c r="PP40" s="12"/>
      <c r="PQ40" s="12"/>
      <c r="PR40" s="12"/>
      <c r="PS40" s="12"/>
      <c r="PT40" s="12"/>
      <c r="PU40" s="12"/>
      <c r="PV40" s="12"/>
      <c r="PW40" s="12"/>
      <c r="PX40" s="12"/>
      <c r="PY40" s="12"/>
      <c r="PZ40" s="12"/>
      <c r="QA40" s="12"/>
      <c r="QB40" s="12"/>
      <c r="QC40" s="12"/>
      <c r="QD40" s="12"/>
      <c r="QE40" s="12"/>
      <c r="QF40" s="12"/>
      <c r="QG40" s="12"/>
      <c r="QH40" s="12"/>
      <c r="QI40" s="12"/>
      <c r="QJ40" s="12"/>
      <c r="QK40" s="12"/>
      <c r="QL40" s="12"/>
      <c r="QM40" s="12"/>
      <c r="QN40" s="12"/>
      <c r="QO40" s="12"/>
      <c r="QP40" s="12"/>
      <c r="QQ40" s="12"/>
      <c r="QR40" s="12"/>
      <c r="QS40" s="12"/>
      <c r="QT40" s="12"/>
      <c r="QU40" s="12"/>
      <c r="QV40" s="12"/>
      <c r="QW40" s="12"/>
      <c r="QX40" s="12"/>
      <c r="QY40" s="12"/>
      <c r="QZ40" s="12"/>
      <c r="RA40" s="12"/>
      <c r="RB40" s="12"/>
      <c r="RC40" s="12"/>
      <c r="RD40" s="12"/>
      <c r="RE40" s="12"/>
      <c r="RF40" s="12"/>
      <c r="RG40" s="12"/>
      <c r="RH40" s="12"/>
      <c r="RI40" s="12"/>
      <c r="RJ40" s="12"/>
      <c r="RK40" s="12"/>
      <c r="RL40" s="12"/>
      <c r="RM40" s="12"/>
      <c r="RN40" s="12"/>
      <c r="RO40" s="12"/>
      <c r="RP40" s="12"/>
      <c r="RQ40" s="12"/>
      <c r="RR40" s="12"/>
      <c r="RS40" s="12"/>
      <c r="RT40" s="12"/>
      <c r="RU40" s="12"/>
      <c r="RV40" s="12"/>
      <c r="RW40" s="12"/>
      <c r="RX40" s="12"/>
      <c r="RY40" s="12"/>
      <c r="RZ40" s="12"/>
      <c r="SA40" s="12"/>
      <c r="SB40" s="12"/>
      <c r="SC40" s="12"/>
      <c r="SD40" s="12"/>
      <c r="SE40" s="12"/>
      <c r="SF40" s="12"/>
      <c r="SG40" s="12"/>
      <c r="SH40" s="12"/>
      <c r="SI40" s="12"/>
      <c r="SJ40" s="12"/>
      <c r="SK40" s="12"/>
      <c r="SL40" s="12"/>
      <c r="SM40" s="12"/>
      <c r="SN40" s="12"/>
      <c r="SO40" s="12"/>
      <c r="SP40" s="12"/>
      <c r="SQ40" s="12"/>
      <c r="SR40" s="12"/>
      <c r="SS40" s="12"/>
      <c r="ST40" s="12"/>
      <c r="SU40" s="12"/>
      <c r="SV40" s="12"/>
      <c r="SW40" s="12"/>
      <c r="SX40" s="12"/>
      <c r="SY40" s="12"/>
      <c r="SZ40" s="12"/>
      <c r="TA40" s="12"/>
      <c r="TB40" s="12"/>
      <c r="TC40" s="12"/>
      <c r="TD40" s="12"/>
      <c r="TE40" s="12"/>
      <c r="TF40" s="12"/>
      <c r="TG40" s="12"/>
      <c r="TH40" s="12"/>
      <c r="TI40" s="12"/>
      <c r="TJ40" s="12"/>
      <c r="TK40" s="12"/>
      <c r="TL40" s="12"/>
      <c r="TM40" s="12"/>
      <c r="TN40" s="12"/>
      <c r="TO40" s="12"/>
      <c r="TP40" s="12"/>
      <c r="TQ40" s="12"/>
      <c r="TR40" s="12"/>
      <c r="TS40" s="12"/>
      <c r="TT40" s="12"/>
      <c r="TU40" s="12"/>
      <c r="TV40" s="12"/>
      <c r="TW40" s="12"/>
      <c r="TX40" s="12"/>
      <c r="TY40" s="12"/>
      <c r="TZ40" s="12"/>
      <c r="UA40" s="12"/>
      <c r="UB40" s="12"/>
      <c r="UC40" s="12"/>
      <c r="UD40" s="12"/>
      <c r="UE40" s="12"/>
      <c r="UF40" s="12"/>
      <c r="UG40" s="12"/>
      <c r="UH40" s="12"/>
      <c r="UI40" s="12"/>
      <c r="UJ40" s="12"/>
      <c r="UK40" s="12"/>
      <c r="UL40" s="12"/>
      <c r="UM40" s="12"/>
      <c r="UN40" s="12"/>
      <c r="UO40" s="12"/>
      <c r="UP40" s="12"/>
      <c r="UQ40" s="12"/>
      <c r="UR40" s="12"/>
      <c r="US40" s="12"/>
      <c r="UT40" s="12"/>
      <c r="UU40" s="12"/>
      <c r="UV40" s="12"/>
      <c r="UW40" s="12"/>
      <c r="UX40" s="12"/>
      <c r="UY40" s="12"/>
      <c r="UZ40" s="12"/>
      <c r="VA40" s="12"/>
      <c r="VB40" s="12"/>
      <c r="VC40" s="12"/>
      <c r="VD40" s="12"/>
      <c r="VE40" s="12"/>
      <c r="VF40" s="12"/>
      <c r="VG40" s="12"/>
      <c r="VH40" s="12"/>
      <c r="VI40" s="12"/>
      <c r="VJ40" s="12"/>
      <c r="VK40" s="12"/>
      <c r="VL40" s="12"/>
      <c r="VM40" s="12"/>
      <c r="VN40" s="12"/>
      <c r="VO40" s="12"/>
      <c r="VP40" s="12"/>
      <c r="VQ40" s="12"/>
      <c r="VR40" s="12"/>
      <c r="VS40" s="12"/>
      <c r="VT40" s="12"/>
      <c r="VU40" s="12"/>
      <c r="VV40" s="12"/>
      <c r="VW40" s="12"/>
      <c r="VX40" s="12"/>
      <c r="VY40" s="12"/>
      <c r="VZ40" s="12"/>
      <c r="WA40" s="12"/>
      <c r="WB40" s="12"/>
      <c r="WC40" s="12"/>
      <c r="WD40" s="12"/>
      <c r="WE40" s="12"/>
      <c r="WF40" s="12"/>
      <c r="WG40" s="12"/>
      <c r="WH40" s="12"/>
      <c r="WI40" s="12"/>
      <c r="WJ40" s="12"/>
      <c r="WK40" s="12"/>
      <c r="WL40" s="12"/>
      <c r="WM40" s="12"/>
      <c r="WN40" s="12"/>
      <c r="WO40" s="12"/>
      <c r="WP40" s="12"/>
      <c r="WQ40" s="12"/>
      <c r="WR40" s="12"/>
      <c r="WS40" s="12"/>
      <c r="WT40" s="12"/>
      <c r="WU40" s="12"/>
      <c r="WV40" s="12"/>
      <c r="WW40" s="12"/>
      <c r="WX40" s="12"/>
      <c r="WY40" s="12"/>
      <c r="WZ40" s="12"/>
      <c r="XA40" s="12"/>
      <c r="XB40" s="12"/>
      <c r="XC40" s="12"/>
      <c r="XD40" s="12"/>
      <c r="XE40" s="12"/>
      <c r="XF40" s="12"/>
      <c r="XG40" s="12"/>
      <c r="XH40" s="12"/>
      <c r="XI40" s="12"/>
      <c r="XJ40" s="12"/>
      <c r="XK40" s="12"/>
      <c r="XL40" s="12"/>
      <c r="XM40" s="12"/>
      <c r="XN40" s="12"/>
      <c r="XO40" s="12"/>
      <c r="XP40" s="12"/>
      <c r="XQ40" s="12"/>
      <c r="XR40" s="12"/>
      <c r="XS40" s="12"/>
      <c r="XT40" s="12"/>
      <c r="XU40" s="12"/>
      <c r="XV40" s="12"/>
      <c r="XW40" s="12"/>
      <c r="XX40" s="12"/>
      <c r="XY40" s="12"/>
      <c r="XZ40" s="12"/>
      <c r="YA40" s="12"/>
      <c r="YB40" s="12"/>
      <c r="YC40" s="12"/>
      <c r="YD40" s="12"/>
      <c r="YE40" s="12"/>
      <c r="YF40" s="12"/>
      <c r="YG40" s="12"/>
      <c r="YH40" s="12"/>
      <c r="YI40" s="12"/>
      <c r="YJ40" s="12"/>
      <c r="YK40" s="12"/>
      <c r="YL40" s="12"/>
      <c r="YM40" s="12"/>
      <c r="YN40" s="12"/>
      <c r="YO40" s="12"/>
      <c r="YP40" s="12"/>
      <c r="YQ40" s="12"/>
      <c r="YR40" s="12"/>
      <c r="YS40" s="12"/>
      <c r="YT40" s="12"/>
      <c r="YU40" s="12"/>
      <c r="YV40" s="12"/>
      <c r="YW40" s="12"/>
      <c r="YX40" s="12"/>
      <c r="YY40" s="12"/>
      <c r="YZ40" s="12"/>
      <c r="ZA40" s="12"/>
      <c r="ZB40" s="12"/>
      <c r="ZC40" s="12"/>
      <c r="ZD40" s="12"/>
      <c r="ZE40" s="12"/>
      <c r="ZF40" s="12"/>
      <c r="ZG40" s="12"/>
      <c r="ZH40" s="12"/>
      <c r="ZI40" s="12"/>
      <c r="ZJ40" s="12"/>
      <c r="ZK40" s="12"/>
      <c r="ZL40" s="12"/>
      <c r="ZM40" s="12"/>
      <c r="ZN40" s="12"/>
      <c r="ZO40" s="12"/>
      <c r="ZP40" s="12"/>
      <c r="ZQ40" s="12"/>
      <c r="ZR40" s="12"/>
      <c r="ZS40" s="12"/>
      <c r="ZT40" s="12"/>
      <c r="ZU40" s="12"/>
      <c r="ZV40" s="12"/>
      <c r="ZW40" s="12"/>
      <c r="ZX40" s="12"/>
      <c r="ZY40" s="12"/>
      <c r="ZZ40" s="12"/>
      <c r="AAA40" s="12"/>
      <c r="AAB40" s="12"/>
      <c r="AAC40" s="12"/>
      <c r="AAD40" s="12"/>
      <c r="AAE40" s="12"/>
      <c r="AAF40" s="12"/>
      <c r="AAG40" s="12"/>
      <c r="AAH40" s="12"/>
      <c r="AAI40" s="12"/>
      <c r="AAJ40" s="12"/>
      <c r="AAK40" s="12"/>
      <c r="AAL40" s="12"/>
      <c r="AAM40" s="12"/>
      <c r="AAN40" s="12"/>
      <c r="AAO40" s="12"/>
      <c r="AAP40" s="12"/>
      <c r="AAQ40" s="12"/>
      <c r="AAR40" s="12"/>
      <c r="AAS40" s="12"/>
      <c r="AAT40" s="12"/>
      <c r="AAU40" s="12"/>
      <c r="AAV40" s="12"/>
      <c r="AAW40" s="12"/>
      <c r="AAX40" s="12"/>
      <c r="AAY40" s="12"/>
      <c r="AAZ40" s="12"/>
      <c r="ABA40" s="12"/>
      <c r="ABB40" s="12"/>
      <c r="ABC40" s="12"/>
      <c r="ABD40" s="12"/>
      <c r="ABE40" s="12"/>
      <c r="ABF40" s="12"/>
      <c r="ABG40" s="12"/>
      <c r="ABH40" s="12"/>
      <c r="ABI40" s="12"/>
      <c r="ABJ40" s="12"/>
      <c r="ABK40" s="12"/>
      <c r="ABL40" s="12"/>
      <c r="ABM40" s="12"/>
      <c r="ABN40" s="12"/>
      <c r="ABO40" s="12"/>
      <c r="ABP40" s="12"/>
      <c r="ABQ40" s="12"/>
      <c r="ABR40" s="12"/>
      <c r="ABS40" s="12"/>
      <c r="ABT40" s="12"/>
      <c r="ABU40" s="12"/>
      <c r="ABV40" s="12"/>
      <c r="ABW40" s="12"/>
      <c r="ABX40" s="12"/>
      <c r="ABY40" s="12"/>
      <c r="ABZ40" s="12"/>
      <c r="ACA40" s="12"/>
      <c r="ACB40" s="12"/>
      <c r="ACC40" s="12"/>
      <c r="ACD40" s="12"/>
      <c r="ACE40" s="12"/>
      <c r="ACF40" s="12"/>
      <c r="ACG40" s="12"/>
      <c r="ACH40" s="12"/>
      <c r="ACI40" s="12"/>
      <c r="ACJ40" s="12"/>
      <c r="ACK40" s="12"/>
      <c r="ACL40" s="12"/>
      <c r="ACM40" s="12"/>
      <c r="ACN40" s="12"/>
      <c r="ACO40" s="12"/>
      <c r="ACP40" s="12"/>
      <c r="ACQ40" s="12"/>
      <c r="ACR40" s="12"/>
      <c r="ACS40" s="12"/>
      <c r="ACT40" s="12"/>
      <c r="ACU40" s="12"/>
      <c r="ACV40" s="12"/>
      <c r="ACW40" s="12"/>
      <c r="ACX40" s="12"/>
      <c r="ACY40" s="12"/>
      <c r="ACZ40" s="12"/>
      <c r="ADA40" s="12"/>
      <c r="ADB40" s="12"/>
      <c r="ADC40" s="12"/>
      <c r="ADD40" s="12"/>
      <c r="ADE40" s="12"/>
      <c r="ADF40" s="12"/>
      <c r="ADG40" s="12"/>
      <c r="ADH40" s="12"/>
      <c r="ADI40" s="12"/>
      <c r="ADJ40" s="12"/>
      <c r="ADK40" s="12"/>
      <c r="ADL40" s="12"/>
      <c r="ADM40" s="12"/>
      <c r="ADN40" s="12"/>
      <c r="ADO40" s="12"/>
      <c r="ADP40" s="12"/>
      <c r="ADQ40" s="12"/>
      <c r="ADR40" s="12"/>
      <c r="ADS40" s="12"/>
      <c r="ADT40" s="12"/>
      <c r="ADU40" s="12"/>
      <c r="ADV40" s="12"/>
      <c r="ADW40" s="12"/>
      <c r="ADX40" s="12"/>
      <c r="ADY40" s="12"/>
      <c r="ADZ40" s="12"/>
      <c r="AEA40" s="12"/>
      <c r="AEB40" s="12"/>
      <c r="AEC40" s="12"/>
      <c r="AED40" s="12"/>
      <c r="AEE40" s="12"/>
      <c r="AEF40" s="12"/>
      <c r="AEG40" s="12"/>
      <c r="AEH40" s="12"/>
      <c r="AEI40" s="12"/>
      <c r="AEJ40" s="12"/>
      <c r="AEK40" s="12"/>
      <c r="AEL40" s="12"/>
      <c r="AEM40" s="12"/>
      <c r="AEN40" s="12"/>
      <c r="AEO40" s="12"/>
      <c r="AEP40" s="12"/>
      <c r="AEQ40" s="12"/>
      <c r="AER40" s="12"/>
      <c r="AES40" s="12"/>
      <c r="AET40" s="12"/>
      <c r="AEU40" s="12"/>
      <c r="AEV40" s="12"/>
    </row>
    <row r="41" spans="1:828" s="27" customFormat="1" ht="18" x14ac:dyDescent="0.2">
      <c r="A41" s="28"/>
      <c r="D41" s="29"/>
      <c r="E41" s="23"/>
      <c r="F41" s="23" t="s">
        <v>40</v>
      </c>
      <c r="G41" s="29">
        <v>7</v>
      </c>
      <c r="H41" s="30"/>
      <c r="I41" s="23"/>
      <c r="J41" s="29"/>
      <c r="K41" s="30"/>
      <c r="L41" s="23" t="s">
        <v>41</v>
      </c>
      <c r="M41" s="29">
        <v>490</v>
      </c>
      <c r="N41" s="47">
        <f t="shared" si="1"/>
        <v>6.4858654460885599E-5</v>
      </c>
      <c r="O41" s="47">
        <f t="shared" si="2"/>
        <v>4.6576175810805675E-3</v>
      </c>
      <c r="P41" s="48"/>
      <c r="Q41"/>
      <c r="R41"/>
      <c r="S41"/>
      <c r="T41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2"/>
      <c r="FJ41" s="12"/>
      <c r="FK41" s="12"/>
      <c r="FL41" s="12"/>
      <c r="FM41" s="12"/>
      <c r="FN41" s="12"/>
      <c r="FO41" s="12"/>
      <c r="FP41" s="12"/>
      <c r="FQ41" s="12"/>
      <c r="FR41" s="12"/>
      <c r="FS41" s="12"/>
      <c r="FT41" s="12"/>
      <c r="FU41" s="12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2"/>
      <c r="GG41" s="12"/>
      <c r="GH41" s="12"/>
      <c r="GI41" s="12"/>
      <c r="GJ41" s="12"/>
      <c r="GK41" s="12"/>
      <c r="GL41" s="12"/>
      <c r="GM41" s="12"/>
      <c r="GN41" s="12"/>
      <c r="GO41" s="12"/>
      <c r="GP41" s="12"/>
      <c r="GQ41" s="12"/>
      <c r="GR41" s="12"/>
      <c r="GS41" s="12"/>
      <c r="GT41" s="12"/>
      <c r="GU41" s="12"/>
      <c r="GV41" s="12"/>
      <c r="GW41" s="12"/>
      <c r="GX41" s="12"/>
      <c r="GY41" s="12"/>
      <c r="GZ41" s="12"/>
      <c r="HA41" s="12"/>
      <c r="HB41" s="12"/>
      <c r="HC41" s="12"/>
      <c r="HD41" s="12"/>
      <c r="HE41" s="12"/>
      <c r="HF41" s="12"/>
      <c r="HG41" s="12"/>
      <c r="HH41" s="12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2"/>
      <c r="HT41" s="12"/>
      <c r="HU41" s="12"/>
      <c r="HV41" s="12"/>
      <c r="HW41" s="12"/>
      <c r="HX41" s="12"/>
      <c r="HY41" s="12"/>
      <c r="HZ41" s="12"/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  <c r="IL41" s="12"/>
      <c r="IM41" s="12"/>
      <c r="IN41" s="12"/>
      <c r="IO41" s="12"/>
      <c r="IP41" s="12"/>
      <c r="IQ41" s="12"/>
      <c r="IR41" s="12"/>
      <c r="IS41" s="12"/>
      <c r="IT41" s="12"/>
      <c r="IU41" s="12"/>
      <c r="IV41" s="12"/>
      <c r="IW41" s="12"/>
      <c r="IX41" s="12"/>
      <c r="IY41" s="12"/>
      <c r="IZ41" s="12"/>
      <c r="JA41" s="12"/>
      <c r="JB41" s="12"/>
      <c r="JC41" s="12"/>
      <c r="JD41" s="12"/>
      <c r="JE41" s="12"/>
      <c r="JF41" s="12"/>
      <c r="JG41" s="12"/>
      <c r="JH41" s="12"/>
      <c r="JI41" s="12"/>
      <c r="JJ41" s="12"/>
      <c r="JK41" s="12"/>
      <c r="JL41" s="12"/>
      <c r="JM41" s="12"/>
      <c r="JN41" s="12"/>
      <c r="JO41" s="12"/>
      <c r="JP41" s="12"/>
      <c r="JQ41" s="12"/>
      <c r="JR41" s="12"/>
      <c r="JS41" s="12"/>
      <c r="JT41" s="12"/>
      <c r="JU41" s="12"/>
      <c r="JV41" s="12"/>
      <c r="JW41" s="12"/>
      <c r="JX41" s="12"/>
      <c r="JY41" s="12"/>
      <c r="JZ41" s="12"/>
      <c r="KA41" s="12"/>
      <c r="KB41" s="12"/>
      <c r="KC41" s="12"/>
      <c r="KD41" s="12"/>
      <c r="KE41" s="12"/>
      <c r="KF41" s="12"/>
      <c r="KG41" s="12"/>
      <c r="KH41" s="12"/>
      <c r="KI41" s="12"/>
      <c r="KJ41" s="12"/>
      <c r="KK41" s="12"/>
      <c r="KL41" s="12"/>
      <c r="KM41" s="12"/>
      <c r="KN41" s="12"/>
      <c r="KO41" s="12"/>
      <c r="KP41" s="12"/>
      <c r="KQ41" s="12"/>
      <c r="KR41" s="12"/>
      <c r="KS41" s="12"/>
      <c r="KT41" s="12"/>
      <c r="KU41" s="12"/>
      <c r="KV41" s="12"/>
      <c r="KW41" s="12"/>
      <c r="KX41" s="12"/>
      <c r="KY41" s="12"/>
      <c r="KZ41" s="12"/>
      <c r="LA41" s="12"/>
      <c r="LB41" s="12"/>
      <c r="LC41" s="12"/>
      <c r="LD41" s="12"/>
      <c r="LE41" s="12"/>
      <c r="LF41" s="12"/>
      <c r="LG41" s="12"/>
      <c r="LH41" s="12"/>
      <c r="LI41" s="12"/>
      <c r="LJ41" s="12"/>
      <c r="LK41" s="12"/>
      <c r="LL41" s="12"/>
      <c r="LM41" s="12"/>
      <c r="LN41" s="12"/>
      <c r="LO41" s="12"/>
      <c r="LP41" s="12"/>
      <c r="LQ41" s="12"/>
      <c r="LR41" s="12"/>
      <c r="LS41" s="12"/>
      <c r="LT41" s="12"/>
      <c r="LU41" s="12"/>
      <c r="LV41" s="12"/>
      <c r="LW41" s="12"/>
      <c r="LX41" s="12"/>
      <c r="LY41" s="12"/>
      <c r="LZ41" s="12"/>
      <c r="MA41" s="12"/>
      <c r="MB41" s="12"/>
      <c r="MC41" s="12"/>
      <c r="MD41" s="12"/>
      <c r="ME41" s="12"/>
      <c r="MF41" s="12"/>
      <c r="MG41" s="12"/>
      <c r="MH41" s="12"/>
      <c r="MI41" s="12"/>
      <c r="MJ41" s="12"/>
      <c r="MK41" s="12"/>
      <c r="ML41" s="12"/>
      <c r="MM41" s="12"/>
      <c r="MN41" s="12"/>
      <c r="MO41" s="12"/>
      <c r="MP41" s="12"/>
      <c r="MQ41" s="12"/>
      <c r="MR41" s="12"/>
      <c r="MS41" s="12"/>
      <c r="MT41" s="12"/>
      <c r="MU41" s="12"/>
      <c r="MV41" s="12"/>
      <c r="MW41" s="12"/>
      <c r="MX41" s="12"/>
      <c r="MY41" s="12"/>
      <c r="MZ41" s="12"/>
      <c r="NA41" s="12"/>
      <c r="NB41" s="12"/>
      <c r="NC41" s="12"/>
      <c r="ND41" s="12"/>
      <c r="NE41" s="12"/>
      <c r="NF41" s="12"/>
      <c r="NG41" s="12"/>
      <c r="NH41" s="12"/>
      <c r="NI41" s="12"/>
      <c r="NJ41" s="12"/>
      <c r="NK41" s="12"/>
      <c r="NL41" s="12"/>
      <c r="NM41" s="12"/>
      <c r="NN41" s="12"/>
      <c r="NO41" s="12"/>
      <c r="NP41" s="12"/>
      <c r="NQ41" s="12"/>
      <c r="NR41" s="12"/>
      <c r="NS41" s="12"/>
      <c r="NT41" s="12"/>
      <c r="NU41" s="12"/>
      <c r="NV41" s="12"/>
      <c r="NW41" s="12"/>
      <c r="NX41" s="12"/>
      <c r="NY41" s="12"/>
      <c r="NZ41" s="12"/>
      <c r="OA41" s="12"/>
      <c r="OB41" s="12"/>
      <c r="OC41" s="12"/>
      <c r="OD41" s="12"/>
      <c r="OE41" s="12"/>
      <c r="OF41" s="12"/>
      <c r="OG41" s="12"/>
      <c r="OH41" s="12"/>
      <c r="OI41" s="12"/>
      <c r="OJ41" s="12"/>
      <c r="OK41" s="12"/>
      <c r="OL41" s="12"/>
      <c r="OM41" s="12"/>
      <c r="ON41" s="12"/>
      <c r="OO41" s="12"/>
      <c r="OP41" s="12"/>
      <c r="OQ41" s="12"/>
      <c r="OR41" s="12"/>
      <c r="OS41" s="12"/>
      <c r="OT41" s="12"/>
      <c r="OU41" s="12"/>
      <c r="OV41" s="12"/>
      <c r="OW41" s="12"/>
      <c r="OX41" s="12"/>
      <c r="OY41" s="12"/>
      <c r="OZ41" s="12"/>
      <c r="PA41" s="12"/>
      <c r="PB41" s="12"/>
      <c r="PC41" s="12"/>
      <c r="PD41" s="12"/>
      <c r="PE41" s="12"/>
      <c r="PF41" s="12"/>
      <c r="PG41" s="12"/>
      <c r="PH41" s="12"/>
      <c r="PI41" s="12"/>
      <c r="PJ41" s="12"/>
      <c r="PK41" s="12"/>
      <c r="PL41" s="12"/>
      <c r="PM41" s="12"/>
      <c r="PN41" s="12"/>
      <c r="PO41" s="12"/>
      <c r="PP41" s="12"/>
      <c r="PQ41" s="12"/>
      <c r="PR41" s="12"/>
      <c r="PS41" s="12"/>
      <c r="PT41" s="12"/>
      <c r="PU41" s="12"/>
      <c r="PV41" s="12"/>
      <c r="PW41" s="12"/>
      <c r="PX41" s="12"/>
      <c r="PY41" s="12"/>
      <c r="PZ41" s="12"/>
      <c r="QA41" s="12"/>
      <c r="QB41" s="12"/>
      <c r="QC41" s="12"/>
      <c r="QD41" s="12"/>
      <c r="QE41" s="12"/>
      <c r="QF41" s="12"/>
      <c r="QG41" s="12"/>
      <c r="QH41" s="12"/>
      <c r="QI41" s="12"/>
      <c r="QJ41" s="12"/>
      <c r="QK41" s="12"/>
      <c r="QL41" s="12"/>
      <c r="QM41" s="12"/>
      <c r="QN41" s="12"/>
      <c r="QO41" s="12"/>
      <c r="QP41" s="12"/>
      <c r="QQ41" s="12"/>
      <c r="QR41" s="12"/>
      <c r="QS41" s="12"/>
      <c r="QT41" s="12"/>
      <c r="QU41" s="12"/>
      <c r="QV41" s="12"/>
      <c r="QW41" s="12"/>
      <c r="QX41" s="12"/>
      <c r="QY41" s="12"/>
      <c r="QZ41" s="12"/>
      <c r="RA41" s="12"/>
      <c r="RB41" s="12"/>
      <c r="RC41" s="12"/>
      <c r="RD41" s="12"/>
      <c r="RE41" s="12"/>
      <c r="RF41" s="12"/>
      <c r="RG41" s="12"/>
      <c r="RH41" s="12"/>
      <c r="RI41" s="12"/>
      <c r="RJ41" s="12"/>
      <c r="RK41" s="12"/>
      <c r="RL41" s="12"/>
      <c r="RM41" s="12"/>
      <c r="RN41" s="12"/>
      <c r="RO41" s="12"/>
      <c r="RP41" s="12"/>
      <c r="RQ41" s="12"/>
      <c r="RR41" s="12"/>
      <c r="RS41" s="12"/>
      <c r="RT41" s="12"/>
      <c r="RU41" s="12"/>
      <c r="RV41" s="12"/>
      <c r="RW41" s="12"/>
      <c r="RX41" s="12"/>
      <c r="RY41" s="12"/>
      <c r="RZ41" s="12"/>
      <c r="SA41" s="12"/>
      <c r="SB41" s="12"/>
      <c r="SC41" s="12"/>
      <c r="SD41" s="12"/>
      <c r="SE41" s="12"/>
      <c r="SF41" s="12"/>
      <c r="SG41" s="12"/>
      <c r="SH41" s="12"/>
      <c r="SI41" s="12"/>
      <c r="SJ41" s="12"/>
      <c r="SK41" s="12"/>
      <c r="SL41" s="12"/>
      <c r="SM41" s="12"/>
      <c r="SN41" s="12"/>
      <c r="SO41" s="12"/>
      <c r="SP41" s="12"/>
      <c r="SQ41" s="12"/>
      <c r="SR41" s="12"/>
      <c r="SS41" s="12"/>
      <c r="ST41" s="12"/>
      <c r="SU41" s="12"/>
      <c r="SV41" s="12"/>
      <c r="SW41" s="12"/>
      <c r="SX41" s="12"/>
      <c r="SY41" s="12"/>
      <c r="SZ41" s="12"/>
      <c r="TA41" s="12"/>
      <c r="TB41" s="12"/>
      <c r="TC41" s="12"/>
      <c r="TD41" s="12"/>
      <c r="TE41" s="12"/>
      <c r="TF41" s="12"/>
      <c r="TG41" s="12"/>
      <c r="TH41" s="12"/>
      <c r="TI41" s="12"/>
      <c r="TJ41" s="12"/>
      <c r="TK41" s="12"/>
      <c r="TL41" s="12"/>
      <c r="TM41" s="12"/>
      <c r="TN41" s="12"/>
      <c r="TO41" s="12"/>
      <c r="TP41" s="12"/>
      <c r="TQ41" s="12"/>
      <c r="TR41" s="12"/>
      <c r="TS41" s="12"/>
      <c r="TT41" s="12"/>
      <c r="TU41" s="12"/>
      <c r="TV41" s="12"/>
      <c r="TW41" s="12"/>
      <c r="TX41" s="12"/>
      <c r="TY41" s="12"/>
      <c r="TZ41" s="12"/>
      <c r="UA41" s="12"/>
      <c r="UB41" s="12"/>
      <c r="UC41" s="12"/>
      <c r="UD41" s="12"/>
      <c r="UE41" s="12"/>
      <c r="UF41" s="12"/>
      <c r="UG41" s="12"/>
      <c r="UH41" s="12"/>
      <c r="UI41" s="12"/>
      <c r="UJ41" s="12"/>
      <c r="UK41" s="12"/>
      <c r="UL41" s="12"/>
      <c r="UM41" s="12"/>
      <c r="UN41" s="12"/>
      <c r="UO41" s="12"/>
      <c r="UP41" s="12"/>
      <c r="UQ41" s="12"/>
      <c r="UR41" s="12"/>
      <c r="US41" s="12"/>
      <c r="UT41" s="12"/>
      <c r="UU41" s="12"/>
      <c r="UV41" s="12"/>
      <c r="UW41" s="12"/>
      <c r="UX41" s="12"/>
      <c r="UY41" s="12"/>
      <c r="UZ41" s="12"/>
      <c r="VA41" s="12"/>
      <c r="VB41" s="12"/>
      <c r="VC41" s="12"/>
      <c r="VD41" s="12"/>
      <c r="VE41" s="12"/>
      <c r="VF41" s="12"/>
      <c r="VG41" s="12"/>
      <c r="VH41" s="12"/>
      <c r="VI41" s="12"/>
      <c r="VJ41" s="12"/>
      <c r="VK41" s="12"/>
      <c r="VL41" s="12"/>
      <c r="VM41" s="12"/>
      <c r="VN41" s="12"/>
      <c r="VO41" s="12"/>
      <c r="VP41" s="12"/>
      <c r="VQ41" s="12"/>
      <c r="VR41" s="12"/>
      <c r="VS41" s="12"/>
      <c r="VT41" s="12"/>
      <c r="VU41" s="12"/>
      <c r="VV41" s="12"/>
      <c r="VW41" s="12"/>
      <c r="VX41" s="12"/>
      <c r="VY41" s="12"/>
      <c r="VZ41" s="12"/>
      <c r="WA41" s="12"/>
      <c r="WB41" s="12"/>
      <c r="WC41" s="12"/>
      <c r="WD41" s="12"/>
      <c r="WE41" s="12"/>
      <c r="WF41" s="12"/>
      <c r="WG41" s="12"/>
      <c r="WH41" s="12"/>
      <c r="WI41" s="12"/>
      <c r="WJ41" s="12"/>
      <c r="WK41" s="12"/>
      <c r="WL41" s="12"/>
      <c r="WM41" s="12"/>
      <c r="WN41" s="12"/>
      <c r="WO41" s="12"/>
      <c r="WP41" s="12"/>
      <c r="WQ41" s="12"/>
      <c r="WR41" s="12"/>
      <c r="WS41" s="12"/>
      <c r="WT41" s="12"/>
      <c r="WU41" s="12"/>
      <c r="WV41" s="12"/>
      <c r="WW41" s="12"/>
      <c r="WX41" s="12"/>
      <c r="WY41" s="12"/>
      <c r="WZ41" s="12"/>
      <c r="XA41" s="12"/>
      <c r="XB41" s="12"/>
      <c r="XC41" s="12"/>
      <c r="XD41" s="12"/>
      <c r="XE41" s="12"/>
      <c r="XF41" s="12"/>
      <c r="XG41" s="12"/>
      <c r="XH41" s="12"/>
      <c r="XI41" s="12"/>
      <c r="XJ41" s="12"/>
      <c r="XK41" s="12"/>
      <c r="XL41" s="12"/>
      <c r="XM41" s="12"/>
      <c r="XN41" s="12"/>
      <c r="XO41" s="12"/>
      <c r="XP41" s="12"/>
      <c r="XQ41" s="12"/>
      <c r="XR41" s="12"/>
      <c r="XS41" s="12"/>
      <c r="XT41" s="12"/>
      <c r="XU41" s="12"/>
      <c r="XV41" s="12"/>
      <c r="XW41" s="12"/>
      <c r="XX41" s="12"/>
      <c r="XY41" s="12"/>
      <c r="XZ41" s="12"/>
      <c r="YA41" s="12"/>
      <c r="YB41" s="12"/>
      <c r="YC41" s="12"/>
      <c r="YD41" s="12"/>
      <c r="YE41" s="12"/>
      <c r="YF41" s="12"/>
      <c r="YG41" s="12"/>
      <c r="YH41" s="12"/>
      <c r="YI41" s="12"/>
      <c r="YJ41" s="12"/>
      <c r="YK41" s="12"/>
      <c r="YL41" s="12"/>
      <c r="YM41" s="12"/>
      <c r="YN41" s="12"/>
      <c r="YO41" s="12"/>
      <c r="YP41" s="12"/>
      <c r="YQ41" s="12"/>
      <c r="YR41" s="12"/>
      <c r="YS41" s="12"/>
      <c r="YT41" s="12"/>
      <c r="YU41" s="12"/>
      <c r="YV41" s="12"/>
      <c r="YW41" s="12"/>
      <c r="YX41" s="12"/>
      <c r="YY41" s="12"/>
      <c r="YZ41" s="12"/>
      <c r="ZA41" s="12"/>
      <c r="ZB41" s="12"/>
      <c r="ZC41" s="12"/>
      <c r="ZD41" s="12"/>
      <c r="ZE41" s="12"/>
      <c r="ZF41" s="12"/>
      <c r="ZG41" s="12"/>
      <c r="ZH41" s="12"/>
      <c r="ZI41" s="12"/>
      <c r="ZJ41" s="12"/>
      <c r="ZK41" s="12"/>
      <c r="ZL41" s="12"/>
      <c r="ZM41" s="12"/>
      <c r="ZN41" s="12"/>
      <c r="ZO41" s="12"/>
      <c r="ZP41" s="12"/>
      <c r="ZQ41" s="12"/>
      <c r="ZR41" s="12"/>
      <c r="ZS41" s="12"/>
      <c r="ZT41" s="12"/>
      <c r="ZU41" s="12"/>
      <c r="ZV41" s="12"/>
      <c r="ZW41" s="12"/>
      <c r="ZX41" s="12"/>
      <c r="ZY41" s="12"/>
      <c r="ZZ41" s="12"/>
      <c r="AAA41" s="12"/>
      <c r="AAB41" s="12"/>
      <c r="AAC41" s="12"/>
      <c r="AAD41" s="12"/>
      <c r="AAE41" s="12"/>
      <c r="AAF41" s="12"/>
      <c r="AAG41" s="12"/>
      <c r="AAH41" s="12"/>
      <c r="AAI41" s="12"/>
      <c r="AAJ41" s="12"/>
      <c r="AAK41" s="12"/>
      <c r="AAL41" s="12"/>
      <c r="AAM41" s="12"/>
      <c r="AAN41" s="12"/>
      <c r="AAO41" s="12"/>
      <c r="AAP41" s="12"/>
      <c r="AAQ41" s="12"/>
      <c r="AAR41" s="12"/>
      <c r="AAS41" s="12"/>
      <c r="AAT41" s="12"/>
      <c r="AAU41" s="12"/>
      <c r="AAV41" s="12"/>
      <c r="AAW41" s="12"/>
      <c r="AAX41" s="12"/>
      <c r="AAY41" s="12"/>
      <c r="AAZ41" s="12"/>
      <c r="ABA41" s="12"/>
      <c r="ABB41" s="12"/>
      <c r="ABC41" s="12"/>
      <c r="ABD41" s="12"/>
      <c r="ABE41" s="12"/>
      <c r="ABF41" s="12"/>
      <c r="ABG41" s="12"/>
      <c r="ABH41" s="12"/>
      <c r="ABI41" s="12"/>
      <c r="ABJ41" s="12"/>
      <c r="ABK41" s="12"/>
      <c r="ABL41" s="12"/>
      <c r="ABM41" s="12"/>
      <c r="ABN41" s="12"/>
      <c r="ABO41" s="12"/>
      <c r="ABP41" s="12"/>
      <c r="ABQ41" s="12"/>
      <c r="ABR41" s="12"/>
      <c r="ABS41" s="12"/>
      <c r="ABT41" s="12"/>
      <c r="ABU41" s="12"/>
      <c r="ABV41" s="12"/>
      <c r="ABW41" s="12"/>
      <c r="ABX41" s="12"/>
      <c r="ABY41" s="12"/>
      <c r="ABZ41" s="12"/>
      <c r="ACA41" s="12"/>
      <c r="ACB41" s="12"/>
      <c r="ACC41" s="12"/>
      <c r="ACD41" s="12"/>
      <c r="ACE41" s="12"/>
      <c r="ACF41" s="12"/>
      <c r="ACG41" s="12"/>
      <c r="ACH41" s="12"/>
      <c r="ACI41" s="12"/>
      <c r="ACJ41" s="12"/>
      <c r="ACK41" s="12"/>
      <c r="ACL41" s="12"/>
      <c r="ACM41" s="12"/>
      <c r="ACN41" s="12"/>
      <c r="ACO41" s="12"/>
      <c r="ACP41" s="12"/>
      <c r="ACQ41" s="12"/>
      <c r="ACR41" s="12"/>
      <c r="ACS41" s="12"/>
      <c r="ACT41" s="12"/>
      <c r="ACU41" s="12"/>
      <c r="ACV41" s="12"/>
      <c r="ACW41" s="12"/>
      <c r="ACX41" s="12"/>
      <c r="ACY41" s="12"/>
      <c r="ACZ41" s="12"/>
      <c r="ADA41" s="12"/>
      <c r="ADB41" s="12"/>
      <c r="ADC41" s="12"/>
      <c r="ADD41" s="12"/>
      <c r="ADE41" s="12"/>
      <c r="ADF41" s="12"/>
      <c r="ADG41" s="12"/>
      <c r="ADH41" s="12"/>
      <c r="ADI41" s="12"/>
      <c r="ADJ41" s="12"/>
      <c r="ADK41" s="12"/>
      <c r="ADL41" s="12"/>
      <c r="ADM41" s="12"/>
      <c r="ADN41" s="12"/>
      <c r="ADO41" s="12"/>
      <c r="ADP41" s="12"/>
      <c r="ADQ41" s="12"/>
      <c r="ADR41" s="12"/>
      <c r="ADS41" s="12"/>
      <c r="ADT41" s="12"/>
      <c r="ADU41" s="12"/>
      <c r="ADV41" s="12"/>
      <c r="ADW41" s="12"/>
      <c r="ADX41" s="12"/>
      <c r="ADY41" s="12"/>
      <c r="ADZ41" s="12"/>
      <c r="AEA41" s="12"/>
      <c r="AEB41" s="12"/>
      <c r="AEC41" s="12"/>
      <c r="AED41" s="12"/>
      <c r="AEE41" s="12"/>
      <c r="AEF41" s="12"/>
      <c r="AEG41" s="12"/>
      <c r="AEH41" s="12"/>
      <c r="AEI41" s="12"/>
      <c r="AEJ41" s="12"/>
      <c r="AEK41" s="12"/>
      <c r="AEL41" s="12"/>
      <c r="AEM41" s="12"/>
      <c r="AEN41" s="12"/>
      <c r="AEO41" s="12"/>
      <c r="AEP41" s="12"/>
      <c r="AEQ41" s="12"/>
      <c r="AER41" s="12"/>
      <c r="AES41" s="12"/>
      <c r="AET41" s="12"/>
      <c r="AEU41" s="12"/>
      <c r="AEV41" s="12"/>
    </row>
    <row r="42" spans="1:828" s="27" customFormat="1" ht="18" x14ac:dyDescent="0.2">
      <c r="A42" s="28"/>
      <c r="D42" s="29"/>
      <c r="E42" s="23"/>
      <c r="F42" s="23"/>
      <c r="G42" s="23"/>
      <c r="H42" s="30"/>
      <c r="I42" s="23"/>
      <c r="J42" s="29"/>
      <c r="K42" s="30"/>
      <c r="L42" s="23" t="s">
        <v>42</v>
      </c>
      <c r="M42" s="29">
        <v>22</v>
      </c>
      <c r="N42" s="47">
        <f t="shared" si="1"/>
        <v>0</v>
      </c>
      <c r="O42" s="47">
        <f t="shared" si="2"/>
        <v>2.0911752404851526E-4</v>
      </c>
      <c r="P42" s="48"/>
      <c r="Q42"/>
      <c r="R42"/>
      <c r="S42"/>
      <c r="T4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2"/>
      <c r="DG42" s="12"/>
      <c r="DH42" s="12"/>
      <c r="DI42" s="12"/>
      <c r="DJ42" s="12"/>
      <c r="DK42" s="12"/>
      <c r="DL42" s="12"/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2"/>
      <c r="EJ42" s="12"/>
      <c r="EK42" s="12"/>
      <c r="EL42" s="12"/>
      <c r="EM42" s="12"/>
      <c r="EN42" s="12"/>
      <c r="EO42" s="12"/>
      <c r="EP42" s="12"/>
      <c r="EQ42" s="12"/>
      <c r="ER42" s="12"/>
      <c r="ES42" s="12"/>
      <c r="ET42" s="12"/>
      <c r="EU42" s="12"/>
      <c r="EV42" s="12"/>
      <c r="EW42" s="12"/>
      <c r="EX42" s="12"/>
      <c r="EY42" s="12"/>
      <c r="EZ42" s="12"/>
      <c r="FA42" s="12"/>
      <c r="FB42" s="12"/>
      <c r="FC42" s="12"/>
      <c r="FD42" s="12"/>
      <c r="FE42" s="12"/>
      <c r="FF42" s="12"/>
      <c r="FG42" s="12"/>
      <c r="FH42" s="12"/>
      <c r="FI42" s="12"/>
      <c r="FJ42" s="12"/>
      <c r="FK42" s="12"/>
      <c r="FL42" s="12"/>
      <c r="FM42" s="12"/>
      <c r="FN42" s="12"/>
      <c r="FO42" s="12"/>
      <c r="FP42" s="12"/>
      <c r="FQ42" s="12"/>
      <c r="FR42" s="12"/>
      <c r="FS42" s="12"/>
      <c r="FT42" s="12"/>
      <c r="FU42" s="12"/>
      <c r="FV42" s="12"/>
      <c r="FW42" s="12"/>
      <c r="FX42" s="12"/>
      <c r="FY42" s="12"/>
      <c r="FZ42" s="12"/>
      <c r="GA42" s="12"/>
      <c r="GB42" s="12"/>
      <c r="GC42" s="12"/>
      <c r="GD42" s="12"/>
      <c r="GE42" s="12"/>
      <c r="GF42" s="12"/>
      <c r="GG42" s="12"/>
      <c r="GH42" s="12"/>
      <c r="GI42" s="12"/>
      <c r="GJ42" s="12"/>
      <c r="GK42" s="12"/>
      <c r="GL42" s="12"/>
      <c r="GM42" s="12"/>
      <c r="GN42" s="12"/>
      <c r="GO42" s="12"/>
      <c r="GP42" s="12"/>
      <c r="GQ42" s="12"/>
      <c r="GR42" s="12"/>
      <c r="GS42" s="12"/>
      <c r="GT42" s="12"/>
      <c r="GU42" s="12"/>
      <c r="GV42" s="12"/>
      <c r="GW42" s="12"/>
      <c r="GX42" s="12"/>
      <c r="GY42" s="12"/>
      <c r="GZ42" s="12"/>
      <c r="HA42" s="12"/>
      <c r="HB42" s="12"/>
      <c r="HC42" s="12"/>
      <c r="HD42" s="12"/>
      <c r="HE42" s="12"/>
      <c r="HF42" s="12"/>
      <c r="HG42" s="12"/>
      <c r="HH42" s="12"/>
      <c r="HI42" s="12"/>
      <c r="HJ42" s="12"/>
      <c r="HK42" s="12"/>
      <c r="HL42" s="12"/>
      <c r="HM42" s="12"/>
      <c r="HN42" s="12"/>
      <c r="HO42" s="12"/>
      <c r="HP42" s="12"/>
      <c r="HQ42" s="12"/>
      <c r="HR42" s="12"/>
      <c r="HS42" s="12"/>
      <c r="HT42" s="12"/>
      <c r="HU42" s="12"/>
      <c r="HV42" s="12"/>
      <c r="HW42" s="12"/>
      <c r="HX42" s="12"/>
      <c r="HY42" s="12"/>
      <c r="HZ42" s="12"/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  <c r="IL42" s="12"/>
      <c r="IM42" s="12"/>
      <c r="IN42" s="12"/>
      <c r="IO42" s="12"/>
      <c r="IP42" s="12"/>
      <c r="IQ42" s="12"/>
      <c r="IR42" s="12"/>
      <c r="IS42" s="12"/>
      <c r="IT42" s="12"/>
      <c r="IU42" s="12"/>
      <c r="IV42" s="12"/>
      <c r="IW42" s="12"/>
      <c r="IX42" s="12"/>
      <c r="IY42" s="12"/>
      <c r="IZ42" s="12"/>
      <c r="JA42" s="12"/>
      <c r="JB42" s="12"/>
      <c r="JC42" s="12"/>
      <c r="JD42" s="12"/>
      <c r="JE42" s="12"/>
      <c r="JF42" s="12"/>
      <c r="JG42" s="12"/>
      <c r="JH42" s="12"/>
      <c r="JI42" s="12"/>
      <c r="JJ42" s="12"/>
      <c r="JK42" s="12"/>
      <c r="JL42" s="12"/>
      <c r="JM42" s="12"/>
      <c r="JN42" s="12"/>
      <c r="JO42" s="12"/>
      <c r="JP42" s="12"/>
      <c r="JQ42" s="12"/>
      <c r="JR42" s="12"/>
      <c r="JS42" s="12"/>
      <c r="JT42" s="12"/>
      <c r="JU42" s="12"/>
      <c r="JV42" s="12"/>
      <c r="JW42" s="12"/>
      <c r="JX42" s="12"/>
      <c r="JY42" s="12"/>
      <c r="JZ42" s="12"/>
      <c r="KA42" s="12"/>
      <c r="KB42" s="12"/>
      <c r="KC42" s="12"/>
      <c r="KD42" s="12"/>
      <c r="KE42" s="12"/>
      <c r="KF42" s="12"/>
      <c r="KG42" s="12"/>
      <c r="KH42" s="12"/>
      <c r="KI42" s="12"/>
      <c r="KJ42" s="12"/>
      <c r="KK42" s="12"/>
      <c r="KL42" s="12"/>
      <c r="KM42" s="12"/>
      <c r="KN42" s="12"/>
      <c r="KO42" s="12"/>
      <c r="KP42" s="12"/>
      <c r="KQ42" s="12"/>
      <c r="KR42" s="12"/>
      <c r="KS42" s="12"/>
      <c r="KT42" s="12"/>
      <c r="KU42" s="12"/>
      <c r="KV42" s="12"/>
      <c r="KW42" s="12"/>
      <c r="KX42" s="12"/>
      <c r="KY42" s="12"/>
      <c r="KZ42" s="12"/>
      <c r="LA42" s="12"/>
      <c r="LB42" s="12"/>
      <c r="LC42" s="12"/>
      <c r="LD42" s="12"/>
      <c r="LE42" s="12"/>
      <c r="LF42" s="12"/>
      <c r="LG42" s="12"/>
      <c r="LH42" s="12"/>
      <c r="LI42" s="12"/>
      <c r="LJ42" s="12"/>
      <c r="LK42" s="12"/>
      <c r="LL42" s="12"/>
      <c r="LM42" s="12"/>
      <c r="LN42" s="12"/>
      <c r="LO42" s="12"/>
      <c r="LP42" s="12"/>
      <c r="LQ42" s="12"/>
      <c r="LR42" s="12"/>
      <c r="LS42" s="12"/>
      <c r="LT42" s="12"/>
      <c r="LU42" s="12"/>
      <c r="LV42" s="12"/>
      <c r="LW42" s="12"/>
      <c r="LX42" s="12"/>
      <c r="LY42" s="12"/>
      <c r="LZ42" s="12"/>
      <c r="MA42" s="12"/>
      <c r="MB42" s="12"/>
      <c r="MC42" s="12"/>
      <c r="MD42" s="12"/>
      <c r="ME42" s="12"/>
      <c r="MF42" s="12"/>
      <c r="MG42" s="12"/>
      <c r="MH42" s="12"/>
      <c r="MI42" s="12"/>
      <c r="MJ42" s="12"/>
      <c r="MK42" s="12"/>
      <c r="ML42" s="12"/>
      <c r="MM42" s="12"/>
      <c r="MN42" s="12"/>
      <c r="MO42" s="12"/>
      <c r="MP42" s="12"/>
      <c r="MQ42" s="12"/>
      <c r="MR42" s="12"/>
      <c r="MS42" s="12"/>
      <c r="MT42" s="12"/>
      <c r="MU42" s="12"/>
      <c r="MV42" s="12"/>
      <c r="MW42" s="12"/>
      <c r="MX42" s="12"/>
      <c r="MY42" s="12"/>
      <c r="MZ42" s="12"/>
      <c r="NA42" s="12"/>
      <c r="NB42" s="12"/>
      <c r="NC42" s="12"/>
      <c r="ND42" s="12"/>
      <c r="NE42" s="12"/>
      <c r="NF42" s="12"/>
      <c r="NG42" s="12"/>
      <c r="NH42" s="12"/>
      <c r="NI42" s="12"/>
      <c r="NJ42" s="12"/>
      <c r="NK42" s="12"/>
      <c r="NL42" s="12"/>
      <c r="NM42" s="12"/>
      <c r="NN42" s="12"/>
      <c r="NO42" s="12"/>
      <c r="NP42" s="12"/>
      <c r="NQ42" s="12"/>
      <c r="NR42" s="12"/>
      <c r="NS42" s="12"/>
      <c r="NT42" s="12"/>
      <c r="NU42" s="12"/>
      <c r="NV42" s="12"/>
      <c r="NW42" s="12"/>
      <c r="NX42" s="12"/>
      <c r="NY42" s="12"/>
      <c r="NZ42" s="12"/>
      <c r="OA42" s="12"/>
      <c r="OB42" s="12"/>
      <c r="OC42" s="12"/>
      <c r="OD42" s="12"/>
      <c r="OE42" s="12"/>
      <c r="OF42" s="12"/>
      <c r="OG42" s="12"/>
      <c r="OH42" s="12"/>
      <c r="OI42" s="12"/>
      <c r="OJ42" s="12"/>
      <c r="OK42" s="12"/>
      <c r="OL42" s="12"/>
      <c r="OM42" s="12"/>
      <c r="ON42" s="12"/>
      <c r="OO42" s="12"/>
      <c r="OP42" s="12"/>
      <c r="OQ42" s="12"/>
      <c r="OR42" s="12"/>
      <c r="OS42" s="12"/>
      <c r="OT42" s="12"/>
      <c r="OU42" s="12"/>
      <c r="OV42" s="12"/>
      <c r="OW42" s="12"/>
      <c r="OX42" s="12"/>
      <c r="OY42" s="12"/>
      <c r="OZ42" s="12"/>
      <c r="PA42" s="12"/>
      <c r="PB42" s="12"/>
      <c r="PC42" s="12"/>
      <c r="PD42" s="12"/>
      <c r="PE42" s="12"/>
      <c r="PF42" s="12"/>
      <c r="PG42" s="12"/>
      <c r="PH42" s="12"/>
      <c r="PI42" s="12"/>
      <c r="PJ42" s="12"/>
      <c r="PK42" s="12"/>
      <c r="PL42" s="12"/>
      <c r="PM42" s="12"/>
      <c r="PN42" s="12"/>
      <c r="PO42" s="12"/>
      <c r="PP42" s="12"/>
      <c r="PQ42" s="12"/>
      <c r="PR42" s="12"/>
      <c r="PS42" s="12"/>
      <c r="PT42" s="12"/>
      <c r="PU42" s="12"/>
      <c r="PV42" s="12"/>
      <c r="PW42" s="12"/>
      <c r="PX42" s="12"/>
      <c r="PY42" s="12"/>
      <c r="PZ42" s="12"/>
      <c r="QA42" s="12"/>
      <c r="QB42" s="12"/>
      <c r="QC42" s="12"/>
      <c r="QD42" s="12"/>
      <c r="QE42" s="12"/>
      <c r="QF42" s="12"/>
      <c r="QG42" s="12"/>
      <c r="QH42" s="12"/>
      <c r="QI42" s="12"/>
      <c r="QJ42" s="12"/>
      <c r="QK42" s="12"/>
      <c r="QL42" s="12"/>
      <c r="QM42" s="12"/>
      <c r="QN42" s="12"/>
      <c r="QO42" s="12"/>
      <c r="QP42" s="12"/>
      <c r="QQ42" s="12"/>
      <c r="QR42" s="12"/>
      <c r="QS42" s="12"/>
      <c r="QT42" s="12"/>
      <c r="QU42" s="12"/>
      <c r="QV42" s="12"/>
      <c r="QW42" s="12"/>
      <c r="QX42" s="12"/>
      <c r="QY42" s="12"/>
      <c r="QZ42" s="12"/>
      <c r="RA42" s="12"/>
      <c r="RB42" s="12"/>
      <c r="RC42" s="12"/>
      <c r="RD42" s="12"/>
      <c r="RE42" s="12"/>
      <c r="RF42" s="12"/>
      <c r="RG42" s="12"/>
      <c r="RH42" s="12"/>
      <c r="RI42" s="12"/>
      <c r="RJ42" s="12"/>
      <c r="RK42" s="12"/>
      <c r="RL42" s="12"/>
      <c r="RM42" s="12"/>
      <c r="RN42" s="12"/>
      <c r="RO42" s="12"/>
      <c r="RP42" s="12"/>
      <c r="RQ42" s="12"/>
      <c r="RR42" s="12"/>
      <c r="RS42" s="12"/>
      <c r="RT42" s="12"/>
      <c r="RU42" s="12"/>
      <c r="RV42" s="12"/>
      <c r="RW42" s="12"/>
      <c r="RX42" s="12"/>
      <c r="RY42" s="12"/>
      <c r="RZ42" s="12"/>
      <c r="SA42" s="12"/>
      <c r="SB42" s="12"/>
      <c r="SC42" s="12"/>
      <c r="SD42" s="12"/>
      <c r="SE42" s="12"/>
      <c r="SF42" s="12"/>
      <c r="SG42" s="12"/>
      <c r="SH42" s="12"/>
      <c r="SI42" s="12"/>
      <c r="SJ42" s="12"/>
      <c r="SK42" s="12"/>
      <c r="SL42" s="12"/>
      <c r="SM42" s="12"/>
      <c r="SN42" s="12"/>
      <c r="SO42" s="12"/>
      <c r="SP42" s="12"/>
      <c r="SQ42" s="12"/>
      <c r="SR42" s="12"/>
      <c r="SS42" s="12"/>
      <c r="ST42" s="12"/>
      <c r="SU42" s="12"/>
      <c r="SV42" s="12"/>
      <c r="SW42" s="12"/>
      <c r="SX42" s="12"/>
      <c r="SY42" s="12"/>
      <c r="SZ42" s="12"/>
      <c r="TA42" s="12"/>
      <c r="TB42" s="12"/>
      <c r="TC42" s="12"/>
      <c r="TD42" s="12"/>
      <c r="TE42" s="12"/>
      <c r="TF42" s="12"/>
      <c r="TG42" s="12"/>
      <c r="TH42" s="12"/>
      <c r="TI42" s="12"/>
      <c r="TJ42" s="12"/>
      <c r="TK42" s="12"/>
      <c r="TL42" s="12"/>
      <c r="TM42" s="12"/>
      <c r="TN42" s="12"/>
      <c r="TO42" s="12"/>
      <c r="TP42" s="12"/>
      <c r="TQ42" s="12"/>
      <c r="TR42" s="12"/>
      <c r="TS42" s="12"/>
      <c r="TT42" s="12"/>
      <c r="TU42" s="12"/>
      <c r="TV42" s="12"/>
      <c r="TW42" s="12"/>
      <c r="TX42" s="12"/>
      <c r="TY42" s="12"/>
      <c r="TZ42" s="12"/>
      <c r="UA42" s="12"/>
      <c r="UB42" s="12"/>
      <c r="UC42" s="12"/>
      <c r="UD42" s="12"/>
      <c r="UE42" s="12"/>
      <c r="UF42" s="12"/>
      <c r="UG42" s="12"/>
      <c r="UH42" s="12"/>
      <c r="UI42" s="12"/>
      <c r="UJ42" s="12"/>
      <c r="UK42" s="12"/>
      <c r="UL42" s="12"/>
      <c r="UM42" s="12"/>
      <c r="UN42" s="12"/>
      <c r="UO42" s="12"/>
      <c r="UP42" s="12"/>
      <c r="UQ42" s="12"/>
      <c r="UR42" s="12"/>
      <c r="US42" s="12"/>
      <c r="UT42" s="12"/>
      <c r="UU42" s="12"/>
      <c r="UV42" s="12"/>
      <c r="UW42" s="12"/>
      <c r="UX42" s="12"/>
      <c r="UY42" s="12"/>
      <c r="UZ42" s="12"/>
      <c r="VA42" s="12"/>
      <c r="VB42" s="12"/>
      <c r="VC42" s="12"/>
      <c r="VD42" s="12"/>
      <c r="VE42" s="12"/>
      <c r="VF42" s="12"/>
      <c r="VG42" s="12"/>
      <c r="VH42" s="12"/>
      <c r="VI42" s="12"/>
      <c r="VJ42" s="12"/>
      <c r="VK42" s="12"/>
      <c r="VL42" s="12"/>
      <c r="VM42" s="12"/>
      <c r="VN42" s="12"/>
      <c r="VO42" s="12"/>
      <c r="VP42" s="12"/>
      <c r="VQ42" s="12"/>
      <c r="VR42" s="12"/>
      <c r="VS42" s="12"/>
      <c r="VT42" s="12"/>
      <c r="VU42" s="12"/>
      <c r="VV42" s="12"/>
      <c r="VW42" s="12"/>
      <c r="VX42" s="12"/>
      <c r="VY42" s="12"/>
      <c r="VZ42" s="12"/>
      <c r="WA42" s="12"/>
      <c r="WB42" s="12"/>
      <c r="WC42" s="12"/>
      <c r="WD42" s="12"/>
      <c r="WE42" s="12"/>
      <c r="WF42" s="12"/>
      <c r="WG42" s="12"/>
      <c r="WH42" s="12"/>
      <c r="WI42" s="12"/>
      <c r="WJ42" s="12"/>
      <c r="WK42" s="12"/>
      <c r="WL42" s="12"/>
      <c r="WM42" s="12"/>
      <c r="WN42" s="12"/>
      <c r="WO42" s="12"/>
      <c r="WP42" s="12"/>
      <c r="WQ42" s="12"/>
      <c r="WR42" s="12"/>
      <c r="WS42" s="12"/>
      <c r="WT42" s="12"/>
      <c r="WU42" s="12"/>
      <c r="WV42" s="12"/>
      <c r="WW42" s="12"/>
      <c r="WX42" s="12"/>
      <c r="WY42" s="12"/>
      <c r="WZ42" s="12"/>
      <c r="XA42" s="12"/>
      <c r="XB42" s="12"/>
      <c r="XC42" s="12"/>
      <c r="XD42" s="12"/>
      <c r="XE42" s="12"/>
      <c r="XF42" s="12"/>
      <c r="XG42" s="12"/>
      <c r="XH42" s="12"/>
      <c r="XI42" s="12"/>
      <c r="XJ42" s="12"/>
      <c r="XK42" s="12"/>
      <c r="XL42" s="12"/>
      <c r="XM42" s="12"/>
      <c r="XN42" s="12"/>
      <c r="XO42" s="12"/>
      <c r="XP42" s="12"/>
      <c r="XQ42" s="12"/>
      <c r="XR42" s="12"/>
      <c r="XS42" s="12"/>
      <c r="XT42" s="12"/>
      <c r="XU42" s="12"/>
      <c r="XV42" s="12"/>
      <c r="XW42" s="12"/>
      <c r="XX42" s="12"/>
      <c r="XY42" s="12"/>
      <c r="XZ42" s="12"/>
      <c r="YA42" s="12"/>
      <c r="YB42" s="12"/>
      <c r="YC42" s="12"/>
      <c r="YD42" s="12"/>
      <c r="YE42" s="12"/>
      <c r="YF42" s="12"/>
      <c r="YG42" s="12"/>
      <c r="YH42" s="12"/>
      <c r="YI42" s="12"/>
      <c r="YJ42" s="12"/>
      <c r="YK42" s="12"/>
      <c r="YL42" s="12"/>
      <c r="YM42" s="12"/>
      <c r="YN42" s="12"/>
      <c r="YO42" s="12"/>
      <c r="YP42" s="12"/>
      <c r="YQ42" s="12"/>
      <c r="YR42" s="12"/>
      <c r="YS42" s="12"/>
      <c r="YT42" s="12"/>
      <c r="YU42" s="12"/>
      <c r="YV42" s="12"/>
      <c r="YW42" s="12"/>
      <c r="YX42" s="12"/>
      <c r="YY42" s="12"/>
      <c r="YZ42" s="12"/>
      <c r="ZA42" s="12"/>
      <c r="ZB42" s="12"/>
      <c r="ZC42" s="12"/>
      <c r="ZD42" s="12"/>
      <c r="ZE42" s="12"/>
      <c r="ZF42" s="12"/>
      <c r="ZG42" s="12"/>
      <c r="ZH42" s="12"/>
      <c r="ZI42" s="12"/>
      <c r="ZJ42" s="12"/>
      <c r="ZK42" s="12"/>
      <c r="ZL42" s="12"/>
      <c r="ZM42" s="12"/>
      <c r="ZN42" s="12"/>
      <c r="ZO42" s="12"/>
      <c r="ZP42" s="12"/>
      <c r="ZQ42" s="12"/>
      <c r="ZR42" s="12"/>
      <c r="ZS42" s="12"/>
      <c r="ZT42" s="12"/>
      <c r="ZU42" s="12"/>
      <c r="ZV42" s="12"/>
      <c r="ZW42" s="12"/>
      <c r="ZX42" s="12"/>
      <c r="ZY42" s="12"/>
      <c r="ZZ42" s="12"/>
      <c r="AAA42" s="12"/>
      <c r="AAB42" s="12"/>
      <c r="AAC42" s="12"/>
      <c r="AAD42" s="12"/>
      <c r="AAE42" s="12"/>
      <c r="AAF42" s="12"/>
      <c r="AAG42" s="12"/>
      <c r="AAH42" s="12"/>
      <c r="AAI42" s="12"/>
      <c r="AAJ42" s="12"/>
      <c r="AAK42" s="12"/>
      <c r="AAL42" s="12"/>
      <c r="AAM42" s="12"/>
      <c r="AAN42" s="12"/>
      <c r="AAO42" s="12"/>
      <c r="AAP42" s="12"/>
      <c r="AAQ42" s="12"/>
      <c r="AAR42" s="12"/>
      <c r="AAS42" s="12"/>
      <c r="AAT42" s="12"/>
      <c r="AAU42" s="12"/>
      <c r="AAV42" s="12"/>
      <c r="AAW42" s="12"/>
      <c r="AAX42" s="12"/>
      <c r="AAY42" s="12"/>
      <c r="AAZ42" s="12"/>
      <c r="ABA42" s="12"/>
      <c r="ABB42" s="12"/>
      <c r="ABC42" s="12"/>
      <c r="ABD42" s="12"/>
      <c r="ABE42" s="12"/>
      <c r="ABF42" s="12"/>
      <c r="ABG42" s="12"/>
      <c r="ABH42" s="12"/>
      <c r="ABI42" s="12"/>
      <c r="ABJ42" s="12"/>
      <c r="ABK42" s="12"/>
      <c r="ABL42" s="12"/>
      <c r="ABM42" s="12"/>
      <c r="ABN42" s="12"/>
      <c r="ABO42" s="12"/>
      <c r="ABP42" s="12"/>
      <c r="ABQ42" s="12"/>
      <c r="ABR42" s="12"/>
      <c r="ABS42" s="12"/>
      <c r="ABT42" s="12"/>
      <c r="ABU42" s="12"/>
      <c r="ABV42" s="12"/>
      <c r="ABW42" s="12"/>
      <c r="ABX42" s="12"/>
      <c r="ABY42" s="12"/>
      <c r="ABZ42" s="12"/>
      <c r="ACA42" s="12"/>
      <c r="ACB42" s="12"/>
      <c r="ACC42" s="12"/>
      <c r="ACD42" s="12"/>
      <c r="ACE42" s="12"/>
      <c r="ACF42" s="12"/>
      <c r="ACG42" s="12"/>
      <c r="ACH42" s="12"/>
      <c r="ACI42" s="12"/>
      <c r="ACJ42" s="12"/>
      <c r="ACK42" s="12"/>
      <c r="ACL42" s="12"/>
      <c r="ACM42" s="12"/>
      <c r="ACN42" s="12"/>
      <c r="ACO42" s="12"/>
      <c r="ACP42" s="12"/>
      <c r="ACQ42" s="12"/>
      <c r="ACR42" s="12"/>
      <c r="ACS42" s="12"/>
      <c r="ACT42" s="12"/>
      <c r="ACU42" s="12"/>
      <c r="ACV42" s="12"/>
      <c r="ACW42" s="12"/>
      <c r="ACX42" s="12"/>
      <c r="ACY42" s="12"/>
      <c r="ACZ42" s="12"/>
      <c r="ADA42" s="12"/>
      <c r="ADB42" s="12"/>
      <c r="ADC42" s="12"/>
      <c r="ADD42" s="12"/>
      <c r="ADE42" s="12"/>
      <c r="ADF42" s="12"/>
      <c r="ADG42" s="12"/>
      <c r="ADH42" s="12"/>
      <c r="ADI42" s="12"/>
      <c r="ADJ42" s="12"/>
      <c r="ADK42" s="12"/>
      <c r="ADL42" s="12"/>
      <c r="ADM42" s="12"/>
      <c r="ADN42" s="12"/>
      <c r="ADO42" s="12"/>
      <c r="ADP42" s="12"/>
      <c r="ADQ42" s="12"/>
      <c r="ADR42" s="12"/>
      <c r="ADS42" s="12"/>
      <c r="ADT42" s="12"/>
      <c r="ADU42" s="12"/>
      <c r="ADV42" s="12"/>
      <c r="ADW42" s="12"/>
      <c r="ADX42" s="12"/>
      <c r="ADY42" s="12"/>
      <c r="ADZ42" s="12"/>
      <c r="AEA42" s="12"/>
      <c r="AEB42" s="12"/>
      <c r="AEC42" s="12"/>
      <c r="AED42" s="12"/>
      <c r="AEE42" s="12"/>
      <c r="AEF42" s="12"/>
      <c r="AEG42" s="12"/>
      <c r="AEH42" s="12"/>
      <c r="AEI42" s="12"/>
      <c r="AEJ42" s="12"/>
      <c r="AEK42" s="12"/>
      <c r="AEL42" s="12"/>
      <c r="AEM42" s="12"/>
      <c r="AEN42" s="12"/>
      <c r="AEO42" s="12"/>
      <c r="AEP42" s="12"/>
      <c r="AEQ42" s="12"/>
      <c r="AER42" s="12"/>
      <c r="AES42" s="12"/>
      <c r="AET42" s="12"/>
      <c r="AEU42" s="12"/>
      <c r="AEV42" s="12"/>
    </row>
    <row r="43" spans="1:828" s="27" customFormat="1" ht="18" x14ac:dyDescent="0.2">
      <c r="A43" s="28"/>
      <c r="C43" s="23"/>
      <c r="D43" s="29"/>
      <c r="E43" s="23"/>
      <c r="F43" s="23"/>
      <c r="G43" s="23"/>
      <c r="H43" s="30"/>
      <c r="I43" s="23"/>
      <c r="J43" s="29"/>
      <c r="K43" s="30"/>
      <c r="L43" s="23"/>
      <c r="M43" s="29"/>
      <c r="N43" s="47"/>
      <c r="O43" s="47"/>
      <c r="P43" s="48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2"/>
      <c r="FJ43" s="12"/>
      <c r="FK43" s="12"/>
      <c r="FL43" s="12"/>
      <c r="FM43" s="12"/>
      <c r="FN43" s="12"/>
      <c r="FO43" s="12"/>
      <c r="FP43" s="12"/>
      <c r="FQ43" s="12"/>
      <c r="FR43" s="12"/>
      <c r="FS43" s="12"/>
      <c r="FT43" s="12"/>
      <c r="FU43" s="12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2"/>
      <c r="GG43" s="12"/>
      <c r="GH43" s="12"/>
      <c r="GI43" s="12"/>
      <c r="GJ43" s="12"/>
      <c r="GK43" s="12"/>
      <c r="GL43" s="12"/>
      <c r="GM43" s="12"/>
      <c r="GN43" s="12"/>
      <c r="GO43" s="12"/>
      <c r="GP43" s="12"/>
      <c r="GQ43" s="12"/>
      <c r="GR43" s="12"/>
      <c r="GS43" s="12"/>
      <c r="GT43" s="12"/>
      <c r="GU43" s="12"/>
      <c r="GV43" s="12"/>
      <c r="GW43" s="12"/>
      <c r="GX43" s="12"/>
      <c r="GY43" s="12"/>
      <c r="GZ43" s="12"/>
      <c r="HA43" s="12"/>
      <c r="HB43" s="12"/>
      <c r="HC43" s="12"/>
      <c r="HD43" s="12"/>
      <c r="HE43" s="12"/>
      <c r="HF43" s="12"/>
      <c r="HG43" s="12"/>
      <c r="HH43" s="12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2"/>
      <c r="HT43" s="12"/>
      <c r="HU43" s="12"/>
      <c r="HV43" s="12"/>
      <c r="HW43" s="12"/>
      <c r="HX43" s="12"/>
      <c r="HY43" s="12"/>
      <c r="HZ43" s="12"/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  <c r="IL43" s="12"/>
      <c r="IM43" s="12"/>
      <c r="IN43" s="12"/>
      <c r="IO43" s="12"/>
      <c r="IP43" s="12"/>
      <c r="IQ43" s="12"/>
      <c r="IR43" s="12"/>
      <c r="IS43" s="12"/>
      <c r="IT43" s="12"/>
      <c r="IU43" s="12"/>
      <c r="IV43" s="12"/>
      <c r="IW43" s="12"/>
      <c r="IX43" s="12"/>
      <c r="IY43" s="12"/>
      <c r="IZ43" s="12"/>
      <c r="JA43" s="12"/>
      <c r="JB43" s="12"/>
      <c r="JC43" s="12"/>
      <c r="JD43" s="12"/>
      <c r="JE43" s="12"/>
      <c r="JF43" s="12"/>
      <c r="JG43" s="12"/>
      <c r="JH43" s="12"/>
      <c r="JI43" s="12"/>
      <c r="JJ43" s="12"/>
      <c r="JK43" s="12"/>
      <c r="JL43" s="12"/>
      <c r="JM43" s="12"/>
      <c r="JN43" s="12"/>
      <c r="JO43" s="12"/>
      <c r="JP43" s="12"/>
      <c r="JQ43" s="12"/>
      <c r="JR43" s="12"/>
      <c r="JS43" s="12"/>
      <c r="JT43" s="12"/>
      <c r="JU43" s="12"/>
      <c r="JV43" s="12"/>
      <c r="JW43" s="12"/>
      <c r="JX43" s="12"/>
      <c r="JY43" s="12"/>
      <c r="JZ43" s="12"/>
      <c r="KA43" s="12"/>
      <c r="KB43" s="12"/>
      <c r="KC43" s="12"/>
      <c r="KD43" s="12"/>
      <c r="KE43" s="12"/>
      <c r="KF43" s="12"/>
      <c r="KG43" s="12"/>
      <c r="KH43" s="12"/>
      <c r="KI43" s="12"/>
      <c r="KJ43" s="12"/>
      <c r="KK43" s="12"/>
      <c r="KL43" s="12"/>
      <c r="KM43" s="12"/>
      <c r="KN43" s="12"/>
      <c r="KO43" s="12"/>
      <c r="KP43" s="12"/>
      <c r="KQ43" s="12"/>
      <c r="KR43" s="12"/>
      <c r="KS43" s="12"/>
      <c r="KT43" s="12"/>
      <c r="KU43" s="12"/>
      <c r="KV43" s="12"/>
      <c r="KW43" s="12"/>
      <c r="KX43" s="12"/>
      <c r="KY43" s="12"/>
      <c r="KZ43" s="12"/>
      <c r="LA43" s="12"/>
      <c r="LB43" s="12"/>
      <c r="LC43" s="12"/>
      <c r="LD43" s="12"/>
      <c r="LE43" s="12"/>
      <c r="LF43" s="12"/>
      <c r="LG43" s="12"/>
      <c r="LH43" s="12"/>
      <c r="LI43" s="12"/>
      <c r="LJ43" s="12"/>
      <c r="LK43" s="12"/>
      <c r="LL43" s="12"/>
      <c r="LM43" s="12"/>
      <c r="LN43" s="12"/>
      <c r="LO43" s="12"/>
      <c r="LP43" s="12"/>
      <c r="LQ43" s="12"/>
      <c r="LR43" s="12"/>
      <c r="LS43" s="12"/>
      <c r="LT43" s="12"/>
      <c r="LU43" s="12"/>
      <c r="LV43" s="12"/>
      <c r="LW43" s="12"/>
      <c r="LX43" s="12"/>
      <c r="LY43" s="12"/>
      <c r="LZ43" s="12"/>
      <c r="MA43" s="12"/>
      <c r="MB43" s="12"/>
      <c r="MC43" s="12"/>
      <c r="MD43" s="12"/>
      <c r="ME43" s="12"/>
      <c r="MF43" s="12"/>
      <c r="MG43" s="12"/>
      <c r="MH43" s="12"/>
      <c r="MI43" s="12"/>
      <c r="MJ43" s="12"/>
      <c r="MK43" s="12"/>
      <c r="ML43" s="12"/>
      <c r="MM43" s="12"/>
      <c r="MN43" s="12"/>
      <c r="MO43" s="12"/>
      <c r="MP43" s="12"/>
      <c r="MQ43" s="12"/>
      <c r="MR43" s="12"/>
      <c r="MS43" s="12"/>
      <c r="MT43" s="12"/>
      <c r="MU43" s="12"/>
      <c r="MV43" s="12"/>
      <c r="MW43" s="12"/>
      <c r="MX43" s="12"/>
      <c r="MY43" s="12"/>
      <c r="MZ43" s="12"/>
      <c r="NA43" s="12"/>
      <c r="NB43" s="12"/>
      <c r="NC43" s="12"/>
      <c r="ND43" s="12"/>
      <c r="NE43" s="12"/>
      <c r="NF43" s="12"/>
      <c r="NG43" s="12"/>
      <c r="NH43" s="12"/>
      <c r="NI43" s="12"/>
      <c r="NJ43" s="12"/>
      <c r="NK43" s="12"/>
      <c r="NL43" s="12"/>
      <c r="NM43" s="12"/>
      <c r="NN43" s="12"/>
      <c r="NO43" s="12"/>
      <c r="NP43" s="12"/>
      <c r="NQ43" s="12"/>
      <c r="NR43" s="12"/>
      <c r="NS43" s="12"/>
      <c r="NT43" s="12"/>
      <c r="NU43" s="12"/>
      <c r="NV43" s="12"/>
      <c r="NW43" s="12"/>
      <c r="NX43" s="12"/>
      <c r="NY43" s="12"/>
      <c r="NZ43" s="12"/>
      <c r="OA43" s="12"/>
      <c r="OB43" s="12"/>
      <c r="OC43" s="12"/>
      <c r="OD43" s="12"/>
      <c r="OE43" s="12"/>
      <c r="OF43" s="12"/>
      <c r="OG43" s="12"/>
      <c r="OH43" s="12"/>
      <c r="OI43" s="12"/>
      <c r="OJ43" s="12"/>
      <c r="OK43" s="12"/>
      <c r="OL43" s="12"/>
      <c r="OM43" s="12"/>
      <c r="ON43" s="12"/>
      <c r="OO43" s="12"/>
      <c r="OP43" s="12"/>
      <c r="OQ43" s="12"/>
      <c r="OR43" s="12"/>
      <c r="OS43" s="12"/>
      <c r="OT43" s="12"/>
      <c r="OU43" s="12"/>
      <c r="OV43" s="12"/>
      <c r="OW43" s="12"/>
      <c r="OX43" s="12"/>
      <c r="OY43" s="12"/>
      <c r="OZ43" s="12"/>
      <c r="PA43" s="12"/>
      <c r="PB43" s="12"/>
      <c r="PC43" s="12"/>
      <c r="PD43" s="12"/>
      <c r="PE43" s="12"/>
      <c r="PF43" s="12"/>
      <c r="PG43" s="12"/>
      <c r="PH43" s="12"/>
      <c r="PI43" s="12"/>
      <c r="PJ43" s="12"/>
      <c r="PK43" s="12"/>
      <c r="PL43" s="12"/>
      <c r="PM43" s="12"/>
      <c r="PN43" s="12"/>
      <c r="PO43" s="12"/>
      <c r="PP43" s="12"/>
      <c r="PQ43" s="12"/>
      <c r="PR43" s="12"/>
      <c r="PS43" s="12"/>
      <c r="PT43" s="12"/>
      <c r="PU43" s="12"/>
      <c r="PV43" s="12"/>
      <c r="PW43" s="12"/>
      <c r="PX43" s="12"/>
      <c r="PY43" s="12"/>
      <c r="PZ43" s="12"/>
      <c r="QA43" s="12"/>
      <c r="QB43" s="12"/>
      <c r="QC43" s="12"/>
      <c r="QD43" s="12"/>
      <c r="QE43" s="12"/>
      <c r="QF43" s="12"/>
      <c r="QG43" s="12"/>
      <c r="QH43" s="12"/>
      <c r="QI43" s="12"/>
      <c r="QJ43" s="12"/>
      <c r="QK43" s="12"/>
      <c r="QL43" s="12"/>
      <c r="QM43" s="12"/>
      <c r="QN43" s="12"/>
      <c r="QO43" s="12"/>
      <c r="QP43" s="12"/>
      <c r="QQ43" s="12"/>
      <c r="QR43" s="12"/>
      <c r="QS43" s="12"/>
      <c r="QT43" s="12"/>
      <c r="QU43" s="12"/>
      <c r="QV43" s="12"/>
      <c r="QW43" s="12"/>
      <c r="QX43" s="12"/>
      <c r="QY43" s="12"/>
      <c r="QZ43" s="12"/>
      <c r="RA43" s="12"/>
      <c r="RB43" s="12"/>
      <c r="RC43" s="12"/>
      <c r="RD43" s="12"/>
      <c r="RE43" s="12"/>
      <c r="RF43" s="12"/>
      <c r="RG43" s="12"/>
      <c r="RH43" s="12"/>
      <c r="RI43" s="12"/>
      <c r="RJ43" s="12"/>
      <c r="RK43" s="12"/>
      <c r="RL43" s="12"/>
      <c r="RM43" s="12"/>
      <c r="RN43" s="12"/>
      <c r="RO43" s="12"/>
      <c r="RP43" s="12"/>
      <c r="RQ43" s="12"/>
      <c r="RR43" s="12"/>
      <c r="RS43" s="12"/>
      <c r="RT43" s="12"/>
      <c r="RU43" s="12"/>
      <c r="RV43" s="12"/>
      <c r="RW43" s="12"/>
      <c r="RX43" s="12"/>
      <c r="RY43" s="12"/>
      <c r="RZ43" s="12"/>
      <c r="SA43" s="12"/>
      <c r="SB43" s="12"/>
      <c r="SC43" s="12"/>
      <c r="SD43" s="12"/>
      <c r="SE43" s="12"/>
      <c r="SF43" s="12"/>
      <c r="SG43" s="12"/>
      <c r="SH43" s="12"/>
      <c r="SI43" s="12"/>
      <c r="SJ43" s="12"/>
      <c r="SK43" s="12"/>
      <c r="SL43" s="12"/>
      <c r="SM43" s="12"/>
      <c r="SN43" s="12"/>
      <c r="SO43" s="12"/>
      <c r="SP43" s="12"/>
      <c r="SQ43" s="12"/>
      <c r="SR43" s="12"/>
      <c r="SS43" s="12"/>
      <c r="ST43" s="12"/>
      <c r="SU43" s="12"/>
      <c r="SV43" s="12"/>
      <c r="SW43" s="12"/>
      <c r="SX43" s="12"/>
      <c r="SY43" s="12"/>
      <c r="SZ43" s="12"/>
      <c r="TA43" s="12"/>
      <c r="TB43" s="12"/>
      <c r="TC43" s="12"/>
      <c r="TD43" s="12"/>
      <c r="TE43" s="12"/>
      <c r="TF43" s="12"/>
      <c r="TG43" s="12"/>
      <c r="TH43" s="12"/>
      <c r="TI43" s="12"/>
      <c r="TJ43" s="12"/>
      <c r="TK43" s="12"/>
      <c r="TL43" s="12"/>
      <c r="TM43" s="12"/>
      <c r="TN43" s="12"/>
      <c r="TO43" s="12"/>
      <c r="TP43" s="12"/>
      <c r="TQ43" s="12"/>
      <c r="TR43" s="12"/>
      <c r="TS43" s="12"/>
      <c r="TT43" s="12"/>
      <c r="TU43" s="12"/>
      <c r="TV43" s="12"/>
      <c r="TW43" s="12"/>
      <c r="TX43" s="12"/>
      <c r="TY43" s="12"/>
      <c r="TZ43" s="12"/>
      <c r="UA43" s="12"/>
      <c r="UB43" s="12"/>
      <c r="UC43" s="12"/>
      <c r="UD43" s="12"/>
      <c r="UE43" s="12"/>
      <c r="UF43" s="12"/>
      <c r="UG43" s="12"/>
      <c r="UH43" s="12"/>
      <c r="UI43" s="12"/>
      <c r="UJ43" s="12"/>
      <c r="UK43" s="12"/>
      <c r="UL43" s="12"/>
      <c r="UM43" s="12"/>
      <c r="UN43" s="12"/>
      <c r="UO43" s="12"/>
      <c r="UP43" s="12"/>
      <c r="UQ43" s="12"/>
      <c r="UR43" s="12"/>
      <c r="US43" s="12"/>
      <c r="UT43" s="12"/>
      <c r="UU43" s="12"/>
      <c r="UV43" s="12"/>
      <c r="UW43" s="12"/>
      <c r="UX43" s="12"/>
      <c r="UY43" s="12"/>
      <c r="UZ43" s="12"/>
      <c r="VA43" s="12"/>
      <c r="VB43" s="12"/>
      <c r="VC43" s="12"/>
      <c r="VD43" s="12"/>
      <c r="VE43" s="12"/>
      <c r="VF43" s="12"/>
      <c r="VG43" s="12"/>
      <c r="VH43" s="12"/>
      <c r="VI43" s="12"/>
      <c r="VJ43" s="12"/>
      <c r="VK43" s="12"/>
      <c r="VL43" s="12"/>
      <c r="VM43" s="12"/>
      <c r="VN43" s="12"/>
      <c r="VO43" s="12"/>
      <c r="VP43" s="12"/>
      <c r="VQ43" s="12"/>
      <c r="VR43" s="12"/>
      <c r="VS43" s="12"/>
      <c r="VT43" s="12"/>
      <c r="VU43" s="12"/>
      <c r="VV43" s="12"/>
      <c r="VW43" s="12"/>
      <c r="VX43" s="12"/>
      <c r="VY43" s="12"/>
      <c r="VZ43" s="12"/>
      <c r="WA43" s="12"/>
      <c r="WB43" s="12"/>
      <c r="WC43" s="12"/>
      <c r="WD43" s="12"/>
      <c r="WE43" s="12"/>
      <c r="WF43" s="12"/>
      <c r="WG43" s="12"/>
      <c r="WH43" s="12"/>
      <c r="WI43" s="12"/>
      <c r="WJ43" s="12"/>
      <c r="WK43" s="12"/>
      <c r="WL43" s="12"/>
      <c r="WM43" s="12"/>
      <c r="WN43" s="12"/>
      <c r="WO43" s="12"/>
      <c r="WP43" s="12"/>
      <c r="WQ43" s="12"/>
      <c r="WR43" s="12"/>
      <c r="WS43" s="12"/>
      <c r="WT43" s="12"/>
      <c r="WU43" s="12"/>
      <c r="WV43" s="12"/>
      <c r="WW43" s="12"/>
      <c r="WX43" s="12"/>
      <c r="WY43" s="12"/>
      <c r="WZ43" s="12"/>
      <c r="XA43" s="12"/>
      <c r="XB43" s="12"/>
      <c r="XC43" s="12"/>
      <c r="XD43" s="12"/>
      <c r="XE43" s="12"/>
      <c r="XF43" s="12"/>
      <c r="XG43" s="12"/>
      <c r="XH43" s="12"/>
      <c r="XI43" s="12"/>
      <c r="XJ43" s="12"/>
      <c r="XK43" s="12"/>
      <c r="XL43" s="12"/>
      <c r="XM43" s="12"/>
      <c r="XN43" s="12"/>
      <c r="XO43" s="12"/>
      <c r="XP43" s="12"/>
      <c r="XQ43" s="12"/>
      <c r="XR43" s="12"/>
      <c r="XS43" s="12"/>
      <c r="XT43" s="12"/>
      <c r="XU43" s="12"/>
      <c r="XV43" s="12"/>
      <c r="XW43" s="12"/>
      <c r="XX43" s="12"/>
      <c r="XY43" s="12"/>
      <c r="XZ43" s="12"/>
      <c r="YA43" s="12"/>
      <c r="YB43" s="12"/>
      <c r="YC43" s="12"/>
      <c r="YD43" s="12"/>
      <c r="YE43" s="12"/>
      <c r="YF43" s="12"/>
      <c r="YG43" s="12"/>
      <c r="YH43" s="12"/>
      <c r="YI43" s="12"/>
      <c r="YJ43" s="12"/>
      <c r="YK43" s="12"/>
      <c r="YL43" s="12"/>
      <c r="YM43" s="12"/>
      <c r="YN43" s="12"/>
      <c r="YO43" s="12"/>
      <c r="YP43" s="12"/>
      <c r="YQ43" s="12"/>
      <c r="YR43" s="12"/>
      <c r="YS43" s="12"/>
      <c r="YT43" s="12"/>
      <c r="YU43" s="12"/>
      <c r="YV43" s="12"/>
      <c r="YW43" s="12"/>
      <c r="YX43" s="12"/>
      <c r="YY43" s="12"/>
      <c r="YZ43" s="12"/>
      <c r="ZA43" s="12"/>
      <c r="ZB43" s="12"/>
      <c r="ZC43" s="12"/>
      <c r="ZD43" s="12"/>
      <c r="ZE43" s="12"/>
      <c r="ZF43" s="12"/>
      <c r="ZG43" s="12"/>
      <c r="ZH43" s="12"/>
      <c r="ZI43" s="12"/>
      <c r="ZJ43" s="12"/>
      <c r="ZK43" s="12"/>
      <c r="ZL43" s="12"/>
      <c r="ZM43" s="12"/>
      <c r="ZN43" s="12"/>
      <c r="ZO43" s="12"/>
      <c r="ZP43" s="12"/>
      <c r="ZQ43" s="12"/>
      <c r="ZR43" s="12"/>
      <c r="ZS43" s="12"/>
      <c r="ZT43" s="12"/>
      <c r="ZU43" s="12"/>
      <c r="ZV43" s="12"/>
      <c r="ZW43" s="12"/>
      <c r="ZX43" s="12"/>
      <c r="ZY43" s="12"/>
      <c r="ZZ43" s="12"/>
      <c r="AAA43" s="12"/>
      <c r="AAB43" s="12"/>
      <c r="AAC43" s="12"/>
      <c r="AAD43" s="12"/>
      <c r="AAE43" s="12"/>
      <c r="AAF43" s="12"/>
      <c r="AAG43" s="12"/>
      <c r="AAH43" s="12"/>
      <c r="AAI43" s="12"/>
      <c r="AAJ43" s="12"/>
      <c r="AAK43" s="12"/>
      <c r="AAL43" s="12"/>
      <c r="AAM43" s="12"/>
      <c r="AAN43" s="12"/>
      <c r="AAO43" s="12"/>
      <c r="AAP43" s="12"/>
      <c r="AAQ43" s="12"/>
      <c r="AAR43" s="12"/>
      <c r="AAS43" s="12"/>
      <c r="AAT43" s="12"/>
      <c r="AAU43" s="12"/>
      <c r="AAV43" s="12"/>
      <c r="AAW43" s="12"/>
      <c r="AAX43" s="12"/>
      <c r="AAY43" s="12"/>
      <c r="AAZ43" s="12"/>
      <c r="ABA43" s="12"/>
      <c r="ABB43" s="12"/>
      <c r="ABC43" s="12"/>
      <c r="ABD43" s="12"/>
      <c r="ABE43" s="12"/>
      <c r="ABF43" s="12"/>
      <c r="ABG43" s="12"/>
      <c r="ABH43" s="12"/>
      <c r="ABI43" s="12"/>
      <c r="ABJ43" s="12"/>
      <c r="ABK43" s="12"/>
      <c r="ABL43" s="12"/>
      <c r="ABM43" s="12"/>
      <c r="ABN43" s="12"/>
      <c r="ABO43" s="12"/>
      <c r="ABP43" s="12"/>
      <c r="ABQ43" s="12"/>
      <c r="ABR43" s="12"/>
      <c r="ABS43" s="12"/>
      <c r="ABT43" s="12"/>
      <c r="ABU43" s="12"/>
      <c r="ABV43" s="12"/>
      <c r="ABW43" s="12"/>
      <c r="ABX43" s="12"/>
      <c r="ABY43" s="12"/>
      <c r="ABZ43" s="12"/>
      <c r="ACA43" s="12"/>
      <c r="ACB43" s="12"/>
      <c r="ACC43" s="12"/>
      <c r="ACD43" s="12"/>
      <c r="ACE43" s="12"/>
      <c r="ACF43" s="12"/>
      <c r="ACG43" s="12"/>
      <c r="ACH43" s="12"/>
      <c r="ACI43" s="12"/>
      <c r="ACJ43" s="12"/>
      <c r="ACK43" s="12"/>
      <c r="ACL43" s="12"/>
      <c r="ACM43" s="12"/>
      <c r="ACN43" s="12"/>
      <c r="ACO43" s="12"/>
      <c r="ACP43" s="12"/>
      <c r="ACQ43" s="12"/>
      <c r="ACR43" s="12"/>
      <c r="ACS43" s="12"/>
      <c r="ACT43" s="12"/>
      <c r="ACU43" s="12"/>
      <c r="ACV43" s="12"/>
      <c r="ACW43" s="12"/>
      <c r="ACX43" s="12"/>
      <c r="ACY43" s="12"/>
      <c r="ACZ43" s="12"/>
      <c r="ADA43" s="12"/>
      <c r="ADB43" s="12"/>
      <c r="ADC43" s="12"/>
      <c r="ADD43" s="12"/>
      <c r="ADE43" s="12"/>
      <c r="ADF43" s="12"/>
      <c r="ADG43" s="12"/>
      <c r="ADH43" s="12"/>
      <c r="ADI43" s="12"/>
      <c r="ADJ43" s="12"/>
      <c r="ADK43" s="12"/>
      <c r="ADL43" s="12"/>
      <c r="ADM43" s="12"/>
      <c r="ADN43" s="12"/>
      <c r="ADO43" s="12"/>
      <c r="ADP43" s="12"/>
      <c r="ADQ43" s="12"/>
      <c r="ADR43" s="12"/>
      <c r="ADS43" s="12"/>
      <c r="ADT43" s="12"/>
      <c r="ADU43" s="12"/>
      <c r="ADV43" s="12"/>
      <c r="ADW43" s="12"/>
      <c r="ADX43" s="12"/>
      <c r="ADY43" s="12"/>
      <c r="ADZ43" s="12"/>
      <c r="AEA43" s="12"/>
      <c r="AEB43" s="12"/>
      <c r="AEC43" s="12"/>
      <c r="AED43" s="12"/>
      <c r="AEE43" s="12"/>
      <c r="AEF43" s="12"/>
      <c r="AEG43" s="12"/>
      <c r="AEH43" s="12"/>
      <c r="AEI43" s="12"/>
      <c r="AEJ43" s="12"/>
      <c r="AEK43" s="12"/>
      <c r="AEL43" s="12"/>
      <c r="AEM43" s="12"/>
      <c r="AEN43" s="12"/>
      <c r="AEO43" s="12"/>
      <c r="AEP43" s="12"/>
      <c r="AEQ43" s="12"/>
      <c r="AER43" s="12"/>
      <c r="AES43" s="12"/>
      <c r="AET43" s="12"/>
      <c r="AEU43" s="12"/>
      <c r="AEV43" s="12"/>
    </row>
    <row r="44" spans="1:828" s="27" customFormat="1" ht="18" x14ac:dyDescent="0.2">
      <c r="A44" s="28"/>
      <c r="C44" s="23"/>
      <c r="D44" s="29"/>
      <c r="E44" s="23"/>
      <c r="F44" s="23"/>
      <c r="G44" s="23"/>
      <c r="H44" s="30"/>
      <c r="I44" s="23"/>
      <c r="J44" s="29"/>
      <c r="K44" s="30"/>
      <c r="L44" s="23"/>
      <c r="M44" s="29"/>
      <c r="N44" s="47"/>
      <c r="O44" s="47"/>
      <c r="P44" s="48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/>
      <c r="FL44" s="12"/>
      <c r="FM44" s="12"/>
      <c r="FN44" s="12"/>
      <c r="FO44" s="12"/>
      <c r="FP44" s="12"/>
      <c r="FQ44" s="12"/>
      <c r="FR44" s="12"/>
      <c r="FS44" s="12"/>
      <c r="FT44" s="12"/>
      <c r="FU44" s="12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2"/>
      <c r="GG44" s="12"/>
      <c r="GH44" s="12"/>
      <c r="GI44" s="12"/>
      <c r="GJ44" s="12"/>
      <c r="GK44" s="12"/>
      <c r="GL44" s="12"/>
      <c r="GM44" s="12"/>
      <c r="GN44" s="12"/>
      <c r="GO44" s="12"/>
      <c r="GP44" s="12"/>
      <c r="GQ44" s="12"/>
      <c r="GR44" s="12"/>
      <c r="GS44" s="12"/>
      <c r="GT44" s="12"/>
      <c r="GU44" s="12"/>
      <c r="GV44" s="12"/>
      <c r="GW44" s="12"/>
      <c r="GX44" s="12"/>
      <c r="GY44" s="12"/>
      <c r="GZ44" s="12"/>
      <c r="HA44" s="12"/>
      <c r="HB44" s="12"/>
      <c r="HC44" s="12"/>
      <c r="HD44" s="12"/>
      <c r="HE44" s="12"/>
      <c r="HF44" s="12"/>
      <c r="HG44" s="12"/>
      <c r="HH44" s="12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2"/>
      <c r="HT44" s="12"/>
      <c r="HU44" s="12"/>
      <c r="HV44" s="12"/>
      <c r="HW44" s="12"/>
      <c r="HX44" s="12"/>
      <c r="HY44" s="12"/>
      <c r="HZ44" s="12"/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  <c r="IL44" s="12"/>
      <c r="IM44" s="12"/>
      <c r="IN44" s="12"/>
      <c r="IO44" s="12"/>
      <c r="IP44" s="12"/>
      <c r="IQ44" s="12"/>
      <c r="IR44" s="12"/>
      <c r="IS44" s="12"/>
      <c r="IT44" s="12"/>
      <c r="IU44" s="12"/>
      <c r="IV44" s="12"/>
      <c r="IW44" s="12"/>
      <c r="IX44" s="12"/>
      <c r="IY44" s="12"/>
      <c r="IZ44" s="12"/>
      <c r="JA44" s="12"/>
      <c r="JB44" s="12"/>
      <c r="JC44" s="12"/>
      <c r="JD44" s="12"/>
      <c r="JE44" s="12"/>
      <c r="JF44" s="12"/>
      <c r="JG44" s="12"/>
      <c r="JH44" s="12"/>
      <c r="JI44" s="12"/>
      <c r="JJ44" s="12"/>
      <c r="JK44" s="12"/>
      <c r="JL44" s="12"/>
      <c r="JM44" s="12"/>
      <c r="JN44" s="12"/>
      <c r="JO44" s="12"/>
      <c r="JP44" s="12"/>
      <c r="JQ44" s="12"/>
      <c r="JR44" s="12"/>
      <c r="JS44" s="12"/>
      <c r="JT44" s="12"/>
      <c r="JU44" s="12"/>
      <c r="JV44" s="12"/>
      <c r="JW44" s="12"/>
      <c r="JX44" s="12"/>
      <c r="JY44" s="12"/>
      <c r="JZ44" s="12"/>
      <c r="KA44" s="12"/>
      <c r="KB44" s="12"/>
      <c r="KC44" s="12"/>
      <c r="KD44" s="12"/>
      <c r="KE44" s="12"/>
      <c r="KF44" s="12"/>
      <c r="KG44" s="12"/>
      <c r="KH44" s="12"/>
      <c r="KI44" s="12"/>
      <c r="KJ44" s="12"/>
      <c r="KK44" s="12"/>
      <c r="KL44" s="12"/>
      <c r="KM44" s="12"/>
      <c r="KN44" s="12"/>
      <c r="KO44" s="12"/>
      <c r="KP44" s="12"/>
      <c r="KQ44" s="12"/>
      <c r="KR44" s="12"/>
      <c r="KS44" s="12"/>
      <c r="KT44" s="12"/>
      <c r="KU44" s="12"/>
      <c r="KV44" s="12"/>
      <c r="KW44" s="12"/>
      <c r="KX44" s="12"/>
      <c r="KY44" s="12"/>
      <c r="KZ44" s="12"/>
      <c r="LA44" s="12"/>
      <c r="LB44" s="12"/>
      <c r="LC44" s="12"/>
      <c r="LD44" s="12"/>
      <c r="LE44" s="12"/>
      <c r="LF44" s="12"/>
      <c r="LG44" s="12"/>
      <c r="LH44" s="12"/>
      <c r="LI44" s="12"/>
      <c r="LJ44" s="12"/>
      <c r="LK44" s="12"/>
      <c r="LL44" s="12"/>
      <c r="LM44" s="12"/>
      <c r="LN44" s="12"/>
      <c r="LO44" s="12"/>
      <c r="LP44" s="12"/>
      <c r="LQ44" s="12"/>
      <c r="LR44" s="12"/>
      <c r="LS44" s="12"/>
      <c r="LT44" s="12"/>
      <c r="LU44" s="12"/>
      <c r="LV44" s="12"/>
      <c r="LW44" s="12"/>
      <c r="LX44" s="12"/>
      <c r="LY44" s="12"/>
      <c r="LZ44" s="12"/>
      <c r="MA44" s="12"/>
      <c r="MB44" s="12"/>
      <c r="MC44" s="12"/>
      <c r="MD44" s="12"/>
      <c r="ME44" s="12"/>
      <c r="MF44" s="12"/>
      <c r="MG44" s="12"/>
      <c r="MH44" s="12"/>
      <c r="MI44" s="12"/>
      <c r="MJ44" s="12"/>
      <c r="MK44" s="12"/>
      <c r="ML44" s="12"/>
      <c r="MM44" s="12"/>
      <c r="MN44" s="12"/>
      <c r="MO44" s="12"/>
      <c r="MP44" s="12"/>
      <c r="MQ44" s="12"/>
      <c r="MR44" s="12"/>
      <c r="MS44" s="12"/>
      <c r="MT44" s="12"/>
      <c r="MU44" s="12"/>
      <c r="MV44" s="12"/>
      <c r="MW44" s="12"/>
      <c r="MX44" s="12"/>
      <c r="MY44" s="12"/>
      <c r="MZ44" s="12"/>
      <c r="NA44" s="12"/>
      <c r="NB44" s="12"/>
      <c r="NC44" s="12"/>
      <c r="ND44" s="12"/>
      <c r="NE44" s="12"/>
      <c r="NF44" s="12"/>
      <c r="NG44" s="12"/>
      <c r="NH44" s="12"/>
      <c r="NI44" s="12"/>
      <c r="NJ44" s="12"/>
      <c r="NK44" s="12"/>
      <c r="NL44" s="12"/>
      <c r="NM44" s="12"/>
      <c r="NN44" s="12"/>
      <c r="NO44" s="12"/>
      <c r="NP44" s="12"/>
      <c r="NQ44" s="12"/>
      <c r="NR44" s="12"/>
      <c r="NS44" s="12"/>
      <c r="NT44" s="12"/>
      <c r="NU44" s="12"/>
      <c r="NV44" s="12"/>
      <c r="NW44" s="12"/>
      <c r="NX44" s="12"/>
      <c r="NY44" s="12"/>
      <c r="NZ44" s="12"/>
      <c r="OA44" s="12"/>
      <c r="OB44" s="12"/>
      <c r="OC44" s="12"/>
      <c r="OD44" s="12"/>
      <c r="OE44" s="12"/>
      <c r="OF44" s="12"/>
      <c r="OG44" s="12"/>
      <c r="OH44" s="12"/>
      <c r="OI44" s="12"/>
      <c r="OJ44" s="12"/>
      <c r="OK44" s="12"/>
      <c r="OL44" s="12"/>
      <c r="OM44" s="12"/>
      <c r="ON44" s="12"/>
      <c r="OO44" s="12"/>
      <c r="OP44" s="12"/>
      <c r="OQ44" s="12"/>
      <c r="OR44" s="12"/>
      <c r="OS44" s="12"/>
      <c r="OT44" s="12"/>
      <c r="OU44" s="12"/>
      <c r="OV44" s="12"/>
      <c r="OW44" s="12"/>
      <c r="OX44" s="12"/>
      <c r="OY44" s="12"/>
      <c r="OZ44" s="12"/>
      <c r="PA44" s="12"/>
      <c r="PB44" s="12"/>
      <c r="PC44" s="12"/>
      <c r="PD44" s="12"/>
      <c r="PE44" s="12"/>
      <c r="PF44" s="12"/>
      <c r="PG44" s="12"/>
      <c r="PH44" s="12"/>
      <c r="PI44" s="12"/>
      <c r="PJ44" s="12"/>
      <c r="PK44" s="12"/>
      <c r="PL44" s="12"/>
      <c r="PM44" s="12"/>
      <c r="PN44" s="12"/>
      <c r="PO44" s="12"/>
      <c r="PP44" s="12"/>
      <c r="PQ44" s="12"/>
      <c r="PR44" s="12"/>
      <c r="PS44" s="12"/>
      <c r="PT44" s="12"/>
      <c r="PU44" s="12"/>
      <c r="PV44" s="12"/>
      <c r="PW44" s="12"/>
      <c r="PX44" s="12"/>
      <c r="PY44" s="12"/>
      <c r="PZ44" s="12"/>
      <c r="QA44" s="12"/>
      <c r="QB44" s="12"/>
      <c r="QC44" s="12"/>
      <c r="QD44" s="12"/>
      <c r="QE44" s="12"/>
      <c r="QF44" s="12"/>
      <c r="QG44" s="12"/>
      <c r="QH44" s="12"/>
      <c r="QI44" s="12"/>
      <c r="QJ44" s="12"/>
      <c r="QK44" s="12"/>
      <c r="QL44" s="12"/>
      <c r="QM44" s="12"/>
      <c r="QN44" s="12"/>
      <c r="QO44" s="12"/>
      <c r="QP44" s="12"/>
      <c r="QQ44" s="12"/>
      <c r="QR44" s="12"/>
      <c r="QS44" s="12"/>
      <c r="QT44" s="12"/>
      <c r="QU44" s="12"/>
      <c r="QV44" s="12"/>
      <c r="QW44" s="12"/>
      <c r="QX44" s="12"/>
      <c r="QY44" s="12"/>
      <c r="QZ44" s="12"/>
      <c r="RA44" s="12"/>
      <c r="RB44" s="12"/>
      <c r="RC44" s="12"/>
      <c r="RD44" s="12"/>
      <c r="RE44" s="12"/>
      <c r="RF44" s="12"/>
      <c r="RG44" s="12"/>
      <c r="RH44" s="12"/>
      <c r="RI44" s="12"/>
      <c r="RJ44" s="12"/>
      <c r="RK44" s="12"/>
      <c r="RL44" s="12"/>
      <c r="RM44" s="12"/>
      <c r="RN44" s="12"/>
      <c r="RO44" s="12"/>
      <c r="RP44" s="12"/>
      <c r="RQ44" s="12"/>
      <c r="RR44" s="12"/>
      <c r="RS44" s="12"/>
      <c r="RT44" s="12"/>
      <c r="RU44" s="12"/>
      <c r="RV44" s="12"/>
      <c r="RW44" s="12"/>
      <c r="RX44" s="12"/>
      <c r="RY44" s="12"/>
      <c r="RZ44" s="12"/>
      <c r="SA44" s="12"/>
      <c r="SB44" s="12"/>
      <c r="SC44" s="12"/>
      <c r="SD44" s="12"/>
      <c r="SE44" s="12"/>
      <c r="SF44" s="12"/>
      <c r="SG44" s="12"/>
      <c r="SH44" s="12"/>
      <c r="SI44" s="12"/>
      <c r="SJ44" s="12"/>
      <c r="SK44" s="12"/>
      <c r="SL44" s="12"/>
      <c r="SM44" s="12"/>
      <c r="SN44" s="12"/>
      <c r="SO44" s="12"/>
      <c r="SP44" s="12"/>
      <c r="SQ44" s="12"/>
      <c r="SR44" s="12"/>
      <c r="SS44" s="12"/>
      <c r="ST44" s="12"/>
      <c r="SU44" s="12"/>
      <c r="SV44" s="12"/>
      <c r="SW44" s="12"/>
      <c r="SX44" s="12"/>
      <c r="SY44" s="12"/>
      <c r="SZ44" s="12"/>
      <c r="TA44" s="12"/>
      <c r="TB44" s="12"/>
      <c r="TC44" s="12"/>
      <c r="TD44" s="12"/>
      <c r="TE44" s="12"/>
      <c r="TF44" s="12"/>
      <c r="TG44" s="12"/>
      <c r="TH44" s="12"/>
      <c r="TI44" s="12"/>
      <c r="TJ44" s="12"/>
      <c r="TK44" s="12"/>
      <c r="TL44" s="12"/>
      <c r="TM44" s="12"/>
      <c r="TN44" s="12"/>
      <c r="TO44" s="12"/>
      <c r="TP44" s="12"/>
      <c r="TQ44" s="12"/>
      <c r="TR44" s="12"/>
      <c r="TS44" s="12"/>
      <c r="TT44" s="12"/>
      <c r="TU44" s="12"/>
      <c r="TV44" s="12"/>
      <c r="TW44" s="12"/>
      <c r="TX44" s="12"/>
      <c r="TY44" s="12"/>
      <c r="TZ44" s="12"/>
      <c r="UA44" s="12"/>
      <c r="UB44" s="12"/>
      <c r="UC44" s="12"/>
      <c r="UD44" s="12"/>
      <c r="UE44" s="12"/>
      <c r="UF44" s="12"/>
      <c r="UG44" s="12"/>
      <c r="UH44" s="12"/>
      <c r="UI44" s="12"/>
      <c r="UJ44" s="12"/>
      <c r="UK44" s="12"/>
      <c r="UL44" s="12"/>
      <c r="UM44" s="12"/>
      <c r="UN44" s="12"/>
      <c r="UO44" s="12"/>
      <c r="UP44" s="12"/>
      <c r="UQ44" s="12"/>
      <c r="UR44" s="12"/>
      <c r="US44" s="12"/>
      <c r="UT44" s="12"/>
      <c r="UU44" s="12"/>
      <c r="UV44" s="12"/>
      <c r="UW44" s="12"/>
      <c r="UX44" s="12"/>
      <c r="UY44" s="12"/>
      <c r="UZ44" s="12"/>
      <c r="VA44" s="12"/>
      <c r="VB44" s="12"/>
      <c r="VC44" s="12"/>
      <c r="VD44" s="12"/>
      <c r="VE44" s="12"/>
      <c r="VF44" s="12"/>
      <c r="VG44" s="12"/>
      <c r="VH44" s="12"/>
      <c r="VI44" s="12"/>
      <c r="VJ44" s="12"/>
      <c r="VK44" s="12"/>
      <c r="VL44" s="12"/>
      <c r="VM44" s="12"/>
      <c r="VN44" s="12"/>
      <c r="VO44" s="12"/>
      <c r="VP44" s="12"/>
      <c r="VQ44" s="12"/>
      <c r="VR44" s="12"/>
      <c r="VS44" s="12"/>
      <c r="VT44" s="12"/>
      <c r="VU44" s="12"/>
      <c r="VV44" s="12"/>
      <c r="VW44" s="12"/>
      <c r="VX44" s="12"/>
      <c r="VY44" s="12"/>
      <c r="VZ44" s="12"/>
      <c r="WA44" s="12"/>
      <c r="WB44" s="12"/>
      <c r="WC44" s="12"/>
      <c r="WD44" s="12"/>
      <c r="WE44" s="12"/>
      <c r="WF44" s="12"/>
      <c r="WG44" s="12"/>
      <c r="WH44" s="12"/>
      <c r="WI44" s="12"/>
      <c r="WJ44" s="12"/>
      <c r="WK44" s="12"/>
      <c r="WL44" s="12"/>
      <c r="WM44" s="12"/>
      <c r="WN44" s="12"/>
      <c r="WO44" s="12"/>
      <c r="WP44" s="12"/>
      <c r="WQ44" s="12"/>
      <c r="WR44" s="12"/>
      <c r="WS44" s="12"/>
      <c r="WT44" s="12"/>
      <c r="WU44" s="12"/>
      <c r="WV44" s="12"/>
      <c r="WW44" s="12"/>
      <c r="WX44" s="12"/>
      <c r="WY44" s="12"/>
      <c r="WZ44" s="12"/>
      <c r="XA44" s="12"/>
      <c r="XB44" s="12"/>
      <c r="XC44" s="12"/>
      <c r="XD44" s="12"/>
      <c r="XE44" s="12"/>
      <c r="XF44" s="12"/>
      <c r="XG44" s="12"/>
      <c r="XH44" s="12"/>
      <c r="XI44" s="12"/>
      <c r="XJ44" s="12"/>
      <c r="XK44" s="12"/>
      <c r="XL44" s="12"/>
      <c r="XM44" s="12"/>
      <c r="XN44" s="12"/>
      <c r="XO44" s="12"/>
      <c r="XP44" s="12"/>
      <c r="XQ44" s="12"/>
      <c r="XR44" s="12"/>
      <c r="XS44" s="12"/>
      <c r="XT44" s="12"/>
      <c r="XU44" s="12"/>
      <c r="XV44" s="12"/>
      <c r="XW44" s="12"/>
      <c r="XX44" s="12"/>
      <c r="XY44" s="12"/>
      <c r="XZ44" s="12"/>
      <c r="YA44" s="12"/>
      <c r="YB44" s="12"/>
      <c r="YC44" s="12"/>
      <c r="YD44" s="12"/>
      <c r="YE44" s="12"/>
      <c r="YF44" s="12"/>
      <c r="YG44" s="12"/>
      <c r="YH44" s="12"/>
      <c r="YI44" s="12"/>
      <c r="YJ44" s="12"/>
      <c r="YK44" s="12"/>
      <c r="YL44" s="12"/>
      <c r="YM44" s="12"/>
      <c r="YN44" s="12"/>
      <c r="YO44" s="12"/>
      <c r="YP44" s="12"/>
      <c r="YQ44" s="12"/>
      <c r="YR44" s="12"/>
      <c r="YS44" s="12"/>
      <c r="YT44" s="12"/>
      <c r="YU44" s="12"/>
      <c r="YV44" s="12"/>
      <c r="YW44" s="12"/>
      <c r="YX44" s="12"/>
      <c r="YY44" s="12"/>
      <c r="YZ44" s="12"/>
      <c r="ZA44" s="12"/>
      <c r="ZB44" s="12"/>
      <c r="ZC44" s="12"/>
      <c r="ZD44" s="12"/>
      <c r="ZE44" s="12"/>
      <c r="ZF44" s="12"/>
      <c r="ZG44" s="12"/>
      <c r="ZH44" s="12"/>
      <c r="ZI44" s="12"/>
      <c r="ZJ44" s="12"/>
      <c r="ZK44" s="12"/>
      <c r="ZL44" s="12"/>
      <c r="ZM44" s="12"/>
      <c r="ZN44" s="12"/>
      <c r="ZO44" s="12"/>
      <c r="ZP44" s="12"/>
      <c r="ZQ44" s="12"/>
      <c r="ZR44" s="12"/>
      <c r="ZS44" s="12"/>
      <c r="ZT44" s="12"/>
      <c r="ZU44" s="12"/>
      <c r="ZV44" s="12"/>
      <c r="ZW44" s="12"/>
      <c r="ZX44" s="12"/>
      <c r="ZY44" s="12"/>
      <c r="ZZ44" s="12"/>
      <c r="AAA44" s="12"/>
      <c r="AAB44" s="12"/>
      <c r="AAC44" s="12"/>
      <c r="AAD44" s="12"/>
      <c r="AAE44" s="12"/>
      <c r="AAF44" s="12"/>
      <c r="AAG44" s="12"/>
      <c r="AAH44" s="12"/>
      <c r="AAI44" s="12"/>
      <c r="AAJ44" s="12"/>
      <c r="AAK44" s="12"/>
      <c r="AAL44" s="12"/>
      <c r="AAM44" s="12"/>
      <c r="AAN44" s="12"/>
      <c r="AAO44" s="12"/>
      <c r="AAP44" s="12"/>
      <c r="AAQ44" s="12"/>
      <c r="AAR44" s="12"/>
      <c r="AAS44" s="12"/>
      <c r="AAT44" s="12"/>
      <c r="AAU44" s="12"/>
      <c r="AAV44" s="12"/>
      <c r="AAW44" s="12"/>
      <c r="AAX44" s="12"/>
      <c r="AAY44" s="12"/>
      <c r="AAZ44" s="12"/>
      <c r="ABA44" s="12"/>
      <c r="ABB44" s="12"/>
      <c r="ABC44" s="12"/>
      <c r="ABD44" s="12"/>
      <c r="ABE44" s="12"/>
      <c r="ABF44" s="12"/>
      <c r="ABG44" s="12"/>
      <c r="ABH44" s="12"/>
      <c r="ABI44" s="12"/>
      <c r="ABJ44" s="12"/>
      <c r="ABK44" s="12"/>
      <c r="ABL44" s="12"/>
      <c r="ABM44" s="12"/>
      <c r="ABN44" s="12"/>
      <c r="ABO44" s="12"/>
      <c r="ABP44" s="12"/>
      <c r="ABQ44" s="12"/>
      <c r="ABR44" s="12"/>
      <c r="ABS44" s="12"/>
      <c r="ABT44" s="12"/>
      <c r="ABU44" s="12"/>
      <c r="ABV44" s="12"/>
      <c r="ABW44" s="12"/>
      <c r="ABX44" s="12"/>
      <c r="ABY44" s="12"/>
      <c r="ABZ44" s="12"/>
      <c r="ACA44" s="12"/>
      <c r="ACB44" s="12"/>
      <c r="ACC44" s="12"/>
      <c r="ACD44" s="12"/>
      <c r="ACE44" s="12"/>
      <c r="ACF44" s="12"/>
      <c r="ACG44" s="12"/>
      <c r="ACH44" s="12"/>
      <c r="ACI44" s="12"/>
      <c r="ACJ44" s="12"/>
      <c r="ACK44" s="12"/>
      <c r="ACL44" s="12"/>
      <c r="ACM44" s="12"/>
      <c r="ACN44" s="12"/>
      <c r="ACO44" s="12"/>
      <c r="ACP44" s="12"/>
      <c r="ACQ44" s="12"/>
      <c r="ACR44" s="12"/>
      <c r="ACS44" s="12"/>
      <c r="ACT44" s="12"/>
      <c r="ACU44" s="12"/>
      <c r="ACV44" s="12"/>
      <c r="ACW44" s="12"/>
      <c r="ACX44" s="12"/>
      <c r="ACY44" s="12"/>
      <c r="ACZ44" s="12"/>
      <c r="ADA44" s="12"/>
      <c r="ADB44" s="12"/>
      <c r="ADC44" s="12"/>
      <c r="ADD44" s="12"/>
      <c r="ADE44" s="12"/>
      <c r="ADF44" s="12"/>
      <c r="ADG44" s="12"/>
      <c r="ADH44" s="12"/>
      <c r="ADI44" s="12"/>
      <c r="ADJ44" s="12"/>
      <c r="ADK44" s="12"/>
      <c r="ADL44" s="12"/>
      <c r="ADM44" s="12"/>
      <c r="ADN44" s="12"/>
      <c r="ADO44" s="12"/>
      <c r="ADP44" s="12"/>
      <c r="ADQ44" s="12"/>
      <c r="ADR44" s="12"/>
      <c r="ADS44" s="12"/>
      <c r="ADT44" s="12"/>
      <c r="ADU44" s="12"/>
      <c r="ADV44" s="12"/>
      <c r="ADW44" s="12"/>
      <c r="ADX44" s="12"/>
      <c r="ADY44" s="12"/>
      <c r="ADZ44" s="12"/>
      <c r="AEA44" s="12"/>
      <c r="AEB44" s="12"/>
      <c r="AEC44" s="12"/>
      <c r="AED44" s="12"/>
      <c r="AEE44" s="12"/>
      <c r="AEF44" s="12"/>
      <c r="AEG44" s="12"/>
      <c r="AEH44" s="12"/>
      <c r="AEI44" s="12"/>
      <c r="AEJ44" s="12"/>
      <c r="AEK44" s="12"/>
      <c r="AEL44" s="12"/>
      <c r="AEM44" s="12"/>
      <c r="AEN44" s="12"/>
      <c r="AEO44" s="12"/>
      <c r="AEP44" s="12"/>
      <c r="AEQ44" s="12"/>
      <c r="AER44" s="12"/>
      <c r="AES44" s="12"/>
      <c r="AET44" s="12"/>
      <c r="AEU44" s="12"/>
      <c r="AEV44" s="12"/>
    </row>
    <row r="45" spans="1:828" s="27" customFormat="1" ht="18" x14ac:dyDescent="0.2">
      <c r="A45" s="28"/>
      <c r="C45" s="23"/>
      <c r="D45" s="29"/>
      <c r="E45" s="23"/>
      <c r="F45" s="23"/>
      <c r="G45" s="23"/>
      <c r="H45" s="30"/>
      <c r="I45" s="23"/>
      <c r="J45" s="29"/>
      <c r="K45" s="30"/>
      <c r="L45" s="23"/>
      <c r="M45" s="29"/>
      <c r="N45" s="47"/>
      <c r="O45" s="47"/>
      <c r="P45" s="48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2"/>
      <c r="FJ45" s="12"/>
      <c r="FK45" s="12"/>
      <c r="FL45" s="12"/>
      <c r="FM45" s="12"/>
      <c r="FN45" s="12"/>
      <c r="FO45" s="12"/>
      <c r="FP45" s="12"/>
      <c r="FQ45" s="12"/>
      <c r="FR45" s="12"/>
      <c r="FS45" s="12"/>
      <c r="FT45" s="12"/>
      <c r="FU45" s="12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2"/>
      <c r="GG45" s="12"/>
      <c r="GH45" s="12"/>
      <c r="GI45" s="12"/>
      <c r="GJ45" s="12"/>
      <c r="GK45" s="12"/>
      <c r="GL45" s="12"/>
      <c r="GM45" s="12"/>
      <c r="GN45" s="12"/>
      <c r="GO45" s="12"/>
      <c r="GP45" s="12"/>
      <c r="GQ45" s="12"/>
      <c r="GR45" s="12"/>
      <c r="GS45" s="12"/>
      <c r="GT45" s="12"/>
      <c r="GU45" s="12"/>
      <c r="GV45" s="12"/>
      <c r="GW45" s="12"/>
      <c r="GX45" s="12"/>
      <c r="GY45" s="12"/>
      <c r="GZ45" s="12"/>
      <c r="HA45" s="12"/>
      <c r="HB45" s="12"/>
      <c r="HC45" s="12"/>
      <c r="HD45" s="12"/>
      <c r="HE45" s="12"/>
      <c r="HF45" s="12"/>
      <c r="HG45" s="12"/>
      <c r="HH45" s="12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2"/>
      <c r="HT45" s="12"/>
      <c r="HU45" s="12"/>
      <c r="HV45" s="12"/>
      <c r="HW45" s="12"/>
      <c r="HX45" s="12"/>
      <c r="HY45" s="12"/>
      <c r="HZ45" s="12"/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  <c r="IL45" s="12"/>
      <c r="IM45" s="12"/>
      <c r="IN45" s="12"/>
      <c r="IO45" s="12"/>
      <c r="IP45" s="12"/>
      <c r="IQ45" s="12"/>
      <c r="IR45" s="12"/>
      <c r="IS45" s="12"/>
      <c r="IT45" s="12"/>
      <c r="IU45" s="12"/>
      <c r="IV45" s="12"/>
      <c r="IW45" s="12"/>
      <c r="IX45" s="12"/>
      <c r="IY45" s="12"/>
      <c r="IZ45" s="12"/>
      <c r="JA45" s="12"/>
      <c r="JB45" s="12"/>
      <c r="JC45" s="12"/>
      <c r="JD45" s="12"/>
      <c r="JE45" s="12"/>
      <c r="JF45" s="12"/>
      <c r="JG45" s="12"/>
      <c r="JH45" s="12"/>
      <c r="JI45" s="12"/>
      <c r="JJ45" s="12"/>
      <c r="JK45" s="12"/>
      <c r="JL45" s="12"/>
      <c r="JM45" s="12"/>
      <c r="JN45" s="12"/>
      <c r="JO45" s="12"/>
      <c r="JP45" s="12"/>
      <c r="JQ45" s="12"/>
      <c r="JR45" s="12"/>
      <c r="JS45" s="12"/>
      <c r="JT45" s="12"/>
      <c r="JU45" s="12"/>
      <c r="JV45" s="12"/>
      <c r="JW45" s="12"/>
      <c r="JX45" s="12"/>
      <c r="JY45" s="12"/>
      <c r="JZ45" s="12"/>
      <c r="KA45" s="12"/>
      <c r="KB45" s="12"/>
      <c r="KC45" s="12"/>
      <c r="KD45" s="12"/>
      <c r="KE45" s="12"/>
      <c r="KF45" s="12"/>
      <c r="KG45" s="12"/>
      <c r="KH45" s="12"/>
      <c r="KI45" s="12"/>
      <c r="KJ45" s="12"/>
      <c r="KK45" s="12"/>
      <c r="KL45" s="12"/>
      <c r="KM45" s="12"/>
      <c r="KN45" s="12"/>
      <c r="KO45" s="12"/>
      <c r="KP45" s="12"/>
      <c r="KQ45" s="12"/>
      <c r="KR45" s="12"/>
      <c r="KS45" s="12"/>
      <c r="KT45" s="12"/>
      <c r="KU45" s="12"/>
      <c r="KV45" s="12"/>
      <c r="KW45" s="12"/>
      <c r="KX45" s="12"/>
      <c r="KY45" s="12"/>
      <c r="KZ45" s="12"/>
      <c r="LA45" s="12"/>
      <c r="LB45" s="12"/>
      <c r="LC45" s="12"/>
      <c r="LD45" s="12"/>
      <c r="LE45" s="12"/>
      <c r="LF45" s="12"/>
      <c r="LG45" s="12"/>
      <c r="LH45" s="12"/>
      <c r="LI45" s="12"/>
      <c r="LJ45" s="12"/>
      <c r="LK45" s="12"/>
      <c r="LL45" s="12"/>
      <c r="LM45" s="12"/>
      <c r="LN45" s="12"/>
      <c r="LO45" s="12"/>
      <c r="LP45" s="12"/>
      <c r="LQ45" s="12"/>
      <c r="LR45" s="12"/>
      <c r="LS45" s="12"/>
      <c r="LT45" s="12"/>
      <c r="LU45" s="12"/>
      <c r="LV45" s="12"/>
      <c r="LW45" s="12"/>
      <c r="LX45" s="12"/>
      <c r="LY45" s="12"/>
      <c r="LZ45" s="12"/>
      <c r="MA45" s="12"/>
      <c r="MB45" s="12"/>
      <c r="MC45" s="12"/>
      <c r="MD45" s="12"/>
      <c r="ME45" s="12"/>
      <c r="MF45" s="12"/>
      <c r="MG45" s="12"/>
      <c r="MH45" s="12"/>
      <c r="MI45" s="12"/>
      <c r="MJ45" s="12"/>
      <c r="MK45" s="12"/>
      <c r="ML45" s="12"/>
      <c r="MM45" s="12"/>
      <c r="MN45" s="12"/>
      <c r="MO45" s="12"/>
      <c r="MP45" s="12"/>
      <c r="MQ45" s="12"/>
      <c r="MR45" s="12"/>
      <c r="MS45" s="12"/>
      <c r="MT45" s="12"/>
      <c r="MU45" s="12"/>
      <c r="MV45" s="12"/>
      <c r="MW45" s="12"/>
      <c r="MX45" s="12"/>
      <c r="MY45" s="12"/>
      <c r="MZ45" s="12"/>
      <c r="NA45" s="12"/>
      <c r="NB45" s="12"/>
      <c r="NC45" s="12"/>
      <c r="ND45" s="12"/>
      <c r="NE45" s="12"/>
      <c r="NF45" s="12"/>
      <c r="NG45" s="12"/>
      <c r="NH45" s="12"/>
      <c r="NI45" s="12"/>
      <c r="NJ45" s="12"/>
      <c r="NK45" s="12"/>
      <c r="NL45" s="12"/>
      <c r="NM45" s="12"/>
      <c r="NN45" s="12"/>
      <c r="NO45" s="12"/>
      <c r="NP45" s="12"/>
      <c r="NQ45" s="12"/>
      <c r="NR45" s="12"/>
      <c r="NS45" s="12"/>
      <c r="NT45" s="12"/>
      <c r="NU45" s="12"/>
      <c r="NV45" s="12"/>
      <c r="NW45" s="12"/>
      <c r="NX45" s="12"/>
      <c r="NY45" s="12"/>
      <c r="NZ45" s="12"/>
      <c r="OA45" s="12"/>
      <c r="OB45" s="12"/>
      <c r="OC45" s="12"/>
      <c r="OD45" s="12"/>
      <c r="OE45" s="12"/>
      <c r="OF45" s="12"/>
      <c r="OG45" s="12"/>
      <c r="OH45" s="12"/>
      <c r="OI45" s="12"/>
      <c r="OJ45" s="12"/>
      <c r="OK45" s="12"/>
      <c r="OL45" s="12"/>
      <c r="OM45" s="12"/>
      <c r="ON45" s="12"/>
      <c r="OO45" s="12"/>
      <c r="OP45" s="12"/>
      <c r="OQ45" s="12"/>
      <c r="OR45" s="12"/>
      <c r="OS45" s="12"/>
      <c r="OT45" s="12"/>
      <c r="OU45" s="12"/>
      <c r="OV45" s="12"/>
      <c r="OW45" s="12"/>
      <c r="OX45" s="12"/>
      <c r="OY45" s="12"/>
      <c r="OZ45" s="12"/>
      <c r="PA45" s="12"/>
      <c r="PB45" s="12"/>
      <c r="PC45" s="12"/>
      <c r="PD45" s="12"/>
      <c r="PE45" s="12"/>
      <c r="PF45" s="12"/>
      <c r="PG45" s="12"/>
      <c r="PH45" s="12"/>
      <c r="PI45" s="12"/>
      <c r="PJ45" s="12"/>
      <c r="PK45" s="12"/>
      <c r="PL45" s="12"/>
      <c r="PM45" s="12"/>
      <c r="PN45" s="12"/>
      <c r="PO45" s="12"/>
      <c r="PP45" s="12"/>
      <c r="PQ45" s="12"/>
      <c r="PR45" s="12"/>
      <c r="PS45" s="12"/>
      <c r="PT45" s="12"/>
      <c r="PU45" s="12"/>
      <c r="PV45" s="12"/>
      <c r="PW45" s="12"/>
      <c r="PX45" s="12"/>
      <c r="PY45" s="12"/>
      <c r="PZ45" s="12"/>
      <c r="QA45" s="12"/>
      <c r="QB45" s="12"/>
      <c r="QC45" s="12"/>
      <c r="QD45" s="12"/>
      <c r="QE45" s="12"/>
      <c r="QF45" s="12"/>
      <c r="QG45" s="12"/>
      <c r="QH45" s="12"/>
      <c r="QI45" s="12"/>
      <c r="QJ45" s="12"/>
      <c r="QK45" s="12"/>
      <c r="QL45" s="12"/>
      <c r="QM45" s="12"/>
      <c r="QN45" s="12"/>
      <c r="QO45" s="12"/>
      <c r="QP45" s="12"/>
      <c r="QQ45" s="12"/>
      <c r="QR45" s="12"/>
      <c r="QS45" s="12"/>
      <c r="QT45" s="12"/>
      <c r="QU45" s="12"/>
      <c r="QV45" s="12"/>
      <c r="QW45" s="12"/>
      <c r="QX45" s="12"/>
      <c r="QY45" s="12"/>
      <c r="QZ45" s="12"/>
      <c r="RA45" s="12"/>
      <c r="RB45" s="12"/>
      <c r="RC45" s="12"/>
      <c r="RD45" s="12"/>
      <c r="RE45" s="12"/>
      <c r="RF45" s="12"/>
      <c r="RG45" s="12"/>
      <c r="RH45" s="12"/>
      <c r="RI45" s="12"/>
      <c r="RJ45" s="12"/>
      <c r="RK45" s="12"/>
      <c r="RL45" s="12"/>
      <c r="RM45" s="12"/>
      <c r="RN45" s="12"/>
      <c r="RO45" s="12"/>
      <c r="RP45" s="12"/>
      <c r="RQ45" s="12"/>
      <c r="RR45" s="12"/>
      <c r="RS45" s="12"/>
      <c r="RT45" s="12"/>
      <c r="RU45" s="12"/>
      <c r="RV45" s="12"/>
      <c r="RW45" s="12"/>
      <c r="RX45" s="12"/>
      <c r="RY45" s="12"/>
      <c r="RZ45" s="12"/>
      <c r="SA45" s="12"/>
      <c r="SB45" s="12"/>
      <c r="SC45" s="12"/>
      <c r="SD45" s="12"/>
      <c r="SE45" s="12"/>
      <c r="SF45" s="12"/>
      <c r="SG45" s="12"/>
      <c r="SH45" s="12"/>
      <c r="SI45" s="12"/>
      <c r="SJ45" s="12"/>
      <c r="SK45" s="12"/>
      <c r="SL45" s="12"/>
      <c r="SM45" s="12"/>
      <c r="SN45" s="12"/>
      <c r="SO45" s="12"/>
      <c r="SP45" s="12"/>
      <c r="SQ45" s="12"/>
      <c r="SR45" s="12"/>
      <c r="SS45" s="12"/>
      <c r="ST45" s="12"/>
      <c r="SU45" s="12"/>
      <c r="SV45" s="12"/>
      <c r="SW45" s="12"/>
      <c r="SX45" s="12"/>
      <c r="SY45" s="12"/>
      <c r="SZ45" s="12"/>
      <c r="TA45" s="12"/>
      <c r="TB45" s="12"/>
      <c r="TC45" s="12"/>
      <c r="TD45" s="12"/>
      <c r="TE45" s="12"/>
      <c r="TF45" s="12"/>
      <c r="TG45" s="12"/>
      <c r="TH45" s="12"/>
      <c r="TI45" s="12"/>
      <c r="TJ45" s="12"/>
      <c r="TK45" s="12"/>
      <c r="TL45" s="12"/>
      <c r="TM45" s="12"/>
      <c r="TN45" s="12"/>
      <c r="TO45" s="12"/>
      <c r="TP45" s="12"/>
      <c r="TQ45" s="12"/>
      <c r="TR45" s="12"/>
      <c r="TS45" s="12"/>
      <c r="TT45" s="12"/>
      <c r="TU45" s="12"/>
      <c r="TV45" s="12"/>
      <c r="TW45" s="12"/>
      <c r="TX45" s="12"/>
      <c r="TY45" s="12"/>
      <c r="TZ45" s="12"/>
      <c r="UA45" s="12"/>
      <c r="UB45" s="12"/>
      <c r="UC45" s="12"/>
      <c r="UD45" s="12"/>
      <c r="UE45" s="12"/>
      <c r="UF45" s="12"/>
      <c r="UG45" s="12"/>
      <c r="UH45" s="12"/>
      <c r="UI45" s="12"/>
      <c r="UJ45" s="12"/>
      <c r="UK45" s="12"/>
      <c r="UL45" s="12"/>
      <c r="UM45" s="12"/>
      <c r="UN45" s="12"/>
      <c r="UO45" s="12"/>
      <c r="UP45" s="12"/>
      <c r="UQ45" s="12"/>
      <c r="UR45" s="12"/>
      <c r="US45" s="12"/>
      <c r="UT45" s="12"/>
      <c r="UU45" s="12"/>
      <c r="UV45" s="12"/>
      <c r="UW45" s="12"/>
      <c r="UX45" s="12"/>
      <c r="UY45" s="12"/>
      <c r="UZ45" s="12"/>
      <c r="VA45" s="12"/>
      <c r="VB45" s="12"/>
      <c r="VC45" s="12"/>
      <c r="VD45" s="12"/>
      <c r="VE45" s="12"/>
      <c r="VF45" s="12"/>
      <c r="VG45" s="12"/>
      <c r="VH45" s="12"/>
      <c r="VI45" s="12"/>
      <c r="VJ45" s="12"/>
      <c r="VK45" s="12"/>
      <c r="VL45" s="12"/>
      <c r="VM45" s="12"/>
      <c r="VN45" s="12"/>
      <c r="VO45" s="12"/>
      <c r="VP45" s="12"/>
      <c r="VQ45" s="12"/>
      <c r="VR45" s="12"/>
      <c r="VS45" s="12"/>
      <c r="VT45" s="12"/>
      <c r="VU45" s="12"/>
      <c r="VV45" s="12"/>
      <c r="VW45" s="12"/>
      <c r="VX45" s="12"/>
      <c r="VY45" s="12"/>
      <c r="VZ45" s="12"/>
      <c r="WA45" s="12"/>
      <c r="WB45" s="12"/>
      <c r="WC45" s="12"/>
      <c r="WD45" s="12"/>
      <c r="WE45" s="12"/>
      <c r="WF45" s="12"/>
      <c r="WG45" s="12"/>
      <c r="WH45" s="12"/>
      <c r="WI45" s="12"/>
      <c r="WJ45" s="12"/>
      <c r="WK45" s="12"/>
      <c r="WL45" s="12"/>
      <c r="WM45" s="12"/>
      <c r="WN45" s="12"/>
      <c r="WO45" s="12"/>
      <c r="WP45" s="12"/>
      <c r="WQ45" s="12"/>
      <c r="WR45" s="12"/>
      <c r="WS45" s="12"/>
      <c r="WT45" s="12"/>
      <c r="WU45" s="12"/>
      <c r="WV45" s="12"/>
      <c r="WW45" s="12"/>
      <c r="WX45" s="12"/>
      <c r="WY45" s="12"/>
      <c r="WZ45" s="12"/>
      <c r="XA45" s="12"/>
      <c r="XB45" s="12"/>
      <c r="XC45" s="12"/>
      <c r="XD45" s="12"/>
      <c r="XE45" s="12"/>
      <c r="XF45" s="12"/>
      <c r="XG45" s="12"/>
      <c r="XH45" s="12"/>
      <c r="XI45" s="12"/>
      <c r="XJ45" s="12"/>
      <c r="XK45" s="12"/>
      <c r="XL45" s="12"/>
      <c r="XM45" s="12"/>
      <c r="XN45" s="12"/>
      <c r="XO45" s="12"/>
      <c r="XP45" s="12"/>
      <c r="XQ45" s="12"/>
      <c r="XR45" s="12"/>
      <c r="XS45" s="12"/>
      <c r="XT45" s="12"/>
      <c r="XU45" s="12"/>
      <c r="XV45" s="12"/>
      <c r="XW45" s="12"/>
      <c r="XX45" s="12"/>
      <c r="XY45" s="12"/>
      <c r="XZ45" s="12"/>
      <c r="YA45" s="12"/>
      <c r="YB45" s="12"/>
      <c r="YC45" s="12"/>
      <c r="YD45" s="12"/>
      <c r="YE45" s="12"/>
      <c r="YF45" s="12"/>
      <c r="YG45" s="12"/>
      <c r="YH45" s="12"/>
      <c r="YI45" s="12"/>
      <c r="YJ45" s="12"/>
      <c r="YK45" s="12"/>
      <c r="YL45" s="12"/>
      <c r="YM45" s="12"/>
      <c r="YN45" s="12"/>
      <c r="YO45" s="12"/>
      <c r="YP45" s="12"/>
      <c r="YQ45" s="12"/>
      <c r="YR45" s="12"/>
      <c r="YS45" s="12"/>
      <c r="YT45" s="12"/>
      <c r="YU45" s="12"/>
      <c r="YV45" s="12"/>
      <c r="YW45" s="12"/>
      <c r="YX45" s="12"/>
      <c r="YY45" s="12"/>
      <c r="YZ45" s="12"/>
      <c r="ZA45" s="12"/>
      <c r="ZB45" s="12"/>
      <c r="ZC45" s="12"/>
      <c r="ZD45" s="12"/>
      <c r="ZE45" s="12"/>
      <c r="ZF45" s="12"/>
      <c r="ZG45" s="12"/>
      <c r="ZH45" s="12"/>
      <c r="ZI45" s="12"/>
      <c r="ZJ45" s="12"/>
      <c r="ZK45" s="12"/>
      <c r="ZL45" s="12"/>
      <c r="ZM45" s="12"/>
      <c r="ZN45" s="12"/>
      <c r="ZO45" s="12"/>
      <c r="ZP45" s="12"/>
      <c r="ZQ45" s="12"/>
      <c r="ZR45" s="12"/>
      <c r="ZS45" s="12"/>
      <c r="ZT45" s="12"/>
      <c r="ZU45" s="12"/>
      <c r="ZV45" s="12"/>
      <c r="ZW45" s="12"/>
      <c r="ZX45" s="12"/>
      <c r="ZY45" s="12"/>
      <c r="ZZ45" s="12"/>
      <c r="AAA45" s="12"/>
      <c r="AAB45" s="12"/>
      <c r="AAC45" s="12"/>
      <c r="AAD45" s="12"/>
      <c r="AAE45" s="12"/>
      <c r="AAF45" s="12"/>
      <c r="AAG45" s="12"/>
      <c r="AAH45" s="12"/>
      <c r="AAI45" s="12"/>
      <c r="AAJ45" s="12"/>
      <c r="AAK45" s="12"/>
      <c r="AAL45" s="12"/>
      <c r="AAM45" s="12"/>
      <c r="AAN45" s="12"/>
      <c r="AAO45" s="12"/>
      <c r="AAP45" s="12"/>
      <c r="AAQ45" s="12"/>
      <c r="AAR45" s="12"/>
      <c r="AAS45" s="12"/>
      <c r="AAT45" s="12"/>
      <c r="AAU45" s="12"/>
      <c r="AAV45" s="12"/>
      <c r="AAW45" s="12"/>
      <c r="AAX45" s="12"/>
      <c r="AAY45" s="12"/>
      <c r="AAZ45" s="12"/>
      <c r="ABA45" s="12"/>
      <c r="ABB45" s="12"/>
      <c r="ABC45" s="12"/>
      <c r="ABD45" s="12"/>
      <c r="ABE45" s="12"/>
      <c r="ABF45" s="12"/>
      <c r="ABG45" s="12"/>
      <c r="ABH45" s="12"/>
      <c r="ABI45" s="12"/>
      <c r="ABJ45" s="12"/>
      <c r="ABK45" s="12"/>
      <c r="ABL45" s="12"/>
      <c r="ABM45" s="12"/>
      <c r="ABN45" s="12"/>
      <c r="ABO45" s="12"/>
      <c r="ABP45" s="12"/>
      <c r="ABQ45" s="12"/>
      <c r="ABR45" s="12"/>
      <c r="ABS45" s="12"/>
      <c r="ABT45" s="12"/>
      <c r="ABU45" s="12"/>
      <c r="ABV45" s="12"/>
      <c r="ABW45" s="12"/>
      <c r="ABX45" s="12"/>
      <c r="ABY45" s="12"/>
      <c r="ABZ45" s="12"/>
      <c r="ACA45" s="12"/>
      <c r="ACB45" s="12"/>
      <c r="ACC45" s="12"/>
      <c r="ACD45" s="12"/>
      <c r="ACE45" s="12"/>
      <c r="ACF45" s="12"/>
      <c r="ACG45" s="12"/>
      <c r="ACH45" s="12"/>
      <c r="ACI45" s="12"/>
      <c r="ACJ45" s="12"/>
      <c r="ACK45" s="12"/>
      <c r="ACL45" s="12"/>
      <c r="ACM45" s="12"/>
      <c r="ACN45" s="12"/>
      <c r="ACO45" s="12"/>
      <c r="ACP45" s="12"/>
      <c r="ACQ45" s="12"/>
      <c r="ACR45" s="12"/>
      <c r="ACS45" s="12"/>
      <c r="ACT45" s="12"/>
      <c r="ACU45" s="12"/>
      <c r="ACV45" s="12"/>
      <c r="ACW45" s="12"/>
      <c r="ACX45" s="12"/>
      <c r="ACY45" s="12"/>
      <c r="ACZ45" s="12"/>
      <c r="ADA45" s="12"/>
      <c r="ADB45" s="12"/>
      <c r="ADC45" s="12"/>
      <c r="ADD45" s="12"/>
      <c r="ADE45" s="12"/>
      <c r="ADF45" s="12"/>
      <c r="ADG45" s="12"/>
      <c r="ADH45" s="12"/>
      <c r="ADI45" s="12"/>
      <c r="ADJ45" s="12"/>
      <c r="ADK45" s="12"/>
      <c r="ADL45" s="12"/>
      <c r="ADM45" s="12"/>
      <c r="ADN45" s="12"/>
      <c r="ADO45" s="12"/>
      <c r="ADP45" s="12"/>
      <c r="ADQ45" s="12"/>
      <c r="ADR45" s="12"/>
      <c r="ADS45" s="12"/>
      <c r="ADT45" s="12"/>
      <c r="ADU45" s="12"/>
      <c r="ADV45" s="12"/>
      <c r="ADW45" s="12"/>
      <c r="ADX45" s="12"/>
      <c r="ADY45" s="12"/>
      <c r="ADZ45" s="12"/>
      <c r="AEA45" s="12"/>
      <c r="AEB45" s="12"/>
      <c r="AEC45" s="12"/>
      <c r="AED45" s="12"/>
      <c r="AEE45" s="12"/>
      <c r="AEF45" s="12"/>
      <c r="AEG45" s="12"/>
      <c r="AEH45" s="12"/>
      <c r="AEI45" s="12"/>
      <c r="AEJ45" s="12"/>
      <c r="AEK45" s="12"/>
      <c r="AEL45" s="12"/>
      <c r="AEM45" s="12"/>
      <c r="AEN45" s="12"/>
      <c r="AEO45" s="12"/>
      <c r="AEP45" s="12"/>
      <c r="AEQ45" s="12"/>
      <c r="AER45" s="12"/>
      <c r="AES45" s="12"/>
      <c r="AET45" s="12"/>
      <c r="AEU45" s="12"/>
      <c r="AEV45" s="12"/>
    </row>
    <row r="46" spans="1:828" s="27" customFormat="1" ht="18" x14ac:dyDescent="0.2">
      <c r="A46" s="28"/>
      <c r="C46" s="23"/>
      <c r="D46" s="29"/>
      <c r="E46" s="23"/>
      <c r="F46" s="23"/>
      <c r="G46" s="23"/>
      <c r="H46" s="30"/>
      <c r="I46" s="23"/>
      <c r="J46" s="29"/>
      <c r="K46" s="30"/>
      <c r="L46" s="23"/>
      <c r="M46" s="29"/>
      <c r="N46" s="47"/>
      <c r="O46" s="47"/>
      <c r="P46" s="48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2"/>
      <c r="FJ46" s="12"/>
      <c r="FK46" s="12"/>
      <c r="FL46" s="12"/>
      <c r="FM46" s="12"/>
      <c r="FN46" s="12"/>
      <c r="FO46" s="12"/>
      <c r="FP46" s="12"/>
      <c r="FQ46" s="12"/>
      <c r="FR46" s="12"/>
      <c r="FS46" s="12"/>
      <c r="FT46" s="12"/>
      <c r="FU46" s="12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2"/>
      <c r="GG46" s="12"/>
      <c r="GH46" s="12"/>
      <c r="GI46" s="12"/>
      <c r="GJ46" s="12"/>
      <c r="GK46" s="12"/>
      <c r="GL46" s="12"/>
      <c r="GM46" s="12"/>
      <c r="GN46" s="12"/>
      <c r="GO46" s="12"/>
      <c r="GP46" s="12"/>
      <c r="GQ46" s="12"/>
      <c r="GR46" s="12"/>
      <c r="GS46" s="12"/>
      <c r="GT46" s="12"/>
      <c r="GU46" s="12"/>
      <c r="GV46" s="12"/>
      <c r="GW46" s="12"/>
      <c r="GX46" s="12"/>
      <c r="GY46" s="12"/>
      <c r="GZ46" s="12"/>
      <c r="HA46" s="12"/>
      <c r="HB46" s="12"/>
      <c r="HC46" s="12"/>
      <c r="HD46" s="12"/>
      <c r="HE46" s="12"/>
      <c r="HF46" s="12"/>
      <c r="HG46" s="12"/>
      <c r="HH46" s="12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2"/>
      <c r="HT46" s="12"/>
      <c r="HU46" s="12"/>
      <c r="HV46" s="12"/>
      <c r="HW46" s="12"/>
      <c r="HX46" s="12"/>
      <c r="HY46" s="12"/>
      <c r="HZ46" s="12"/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  <c r="IL46" s="12"/>
      <c r="IM46" s="12"/>
      <c r="IN46" s="12"/>
      <c r="IO46" s="12"/>
      <c r="IP46" s="12"/>
      <c r="IQ46" s="12"/>
      <c r="IR46" s="12"/>
      <c r="IS46" s="12"/>
      <c r="IT46" s="12"/>
      <c r="IU46" s="12"/>
      <c r="IV46" s="12"/>
      <c r="IW46" s="12"/>
      <c r="IX46" s="12"/>
      <c r="IY46" s="12"/>
      <c r="IZ46" s="12"/>
      <c r="JA46" s="12"/>
      <c r="JB46" s="12"/>
      <c r="JC46" s="12"/>
      <c r="JD46" s="12"/>
      <c r="JE46" s="12"/>
      <c r="JF46" s="12"/>
      <c r="JG46" s="12"/>
      <c r="JH46" s="12"/>
      <c r="JI46" s="12"/>
      <c r="JJ46" s="12"/>
      <c r="JK46" s="12"/>
      <c r="JL46" s="12"/>
      <c r="JM46" s="12"/>
      <c r="JN46" s="12"/>
      <c r="JO46" s="12"/>
      <c r="JP46" s="12"/>
      <c r="JQ46" s="12"/>
      <c r="JR46" s="12"/>
      <c r="JS46" s="12"/>
      <c r="JT46" s="12"/>
      <c r="JU46" s="12"/>
      <c r="JV46" s="12"/>
      <c r="JW46" s="12"/>
      <c r="JX46" s="12"/>
      <c r="JY46" s="12"/>
      <c r="JZ46" s="12"/>
      <c r="KA46" s="12"/>
      <c r="KB46" s="12"/>
      <c r="KC46" s="12"/>
      <c r="KD46" s="12"/>
      <c r="KE46" s="12"/>
      <c r="KF46" s="12"/>
      <c r="KG46" s="12"/>
      <c r="KH46" s="12"/>
      <c r="KI46" s="12"/>
      <c r="KJ46" s="12"/>
      <c r="KK46" s="12"/>
      <c r="KL46" s="12"/>
      <c r="KM46" s="12"/>
      <c r="KN46" s="12"/>
      <c r="KO46" s="12"/>
      <c r="KP46" s="12"/>
      <c r="KQ46" s="12"/>
      <c r="KR46" s="12"/>
      <c r="KS46" s="12"/>
      <c r="KT46" s="12"/>
      <c r="KU46" s="12"/>
      <c r="KV46" s="12"/>
      <c r="KW46" s="12"/>
      <c r="KX46" s="12"/>
      <c r="KY46" s="12"/>
      <c r="KZ46" s="12"/>
      <c r="LA46" s="12"/>
      <c r="LB46" s="12"/>
      <c r="LC46" s="12"/>
      <c r="LD46" s="12"/>
      <c r="LE46" s="12"/>
      <c r="LF46" s="12"/>
      <c r="LG46" s="12"/>
      <c r="LH46" s="12"/>
      <c r="LI46" s="12"/>
      <c r="LJ46" s="12"/>
      <c r="LK46" s="12"/>
      <c r="LL46" s="12"/>
      <c r="LM46" s="12"/>
      <c r="LN46" s="12"/>
      <c r="LO46" s="12"/>
      <c r="LP46" s="12"/>
      <c r="LQ46" s="12"/>
      <c r="LR46" s="12"/>
      <c r="LS46" s="12"/>
      <c r="LT46" s="12"/>
      <c r="LU46" s="12"/>
      <c r="LV46" s="12"/>
      <c r="LW46" s="12"/>
      <c r="LX46" s="12"/>
      <c r="LY46" s="12"/>
      <c r="LZ46" s="12"/>
      <c r="MA46" s="12"/>
      <c r="MB46" s="12"/>
      <c r="MC46" s="12"/>
      <c r="MD46" s="12"/>
      <c r="ME46" s="12"/>
      <c r="MF46" s="12"/>
      <c r="MG46" s="12"/>
      <c r="MH46" s="12"/>
      <c r="MI46" s="12"/>
      <c r="MJ46" s="12"/>
      <c r="MK46" s="12"/>
      <c r="ML46" s="12"/>
      <c r="MM46" s="12"/>
      <c r="MN46" s="12"/>
      <c r="MO46" s="12"/>
      <c r="MP46" s="12"/>
      <c r="MQ46" s="12"/>
      <c r="MR46" s="12"/>
      <c r="MS46" s="12"/>
      <c r="MT46" s="12"/>
      <c r="MU46" s="12"/>
      <c r="MV46" s="12"/>
      <c r="MW46" s="12"/>
      <c r="MX46" s="12"/>
      <c r="MY46" s="12"/>
      <c r="MZ46" s="12"/>
      <c r="NA46" s="12"/>
      <c r="NB46" s="12"/>
      <c r="NC46" s="12"/>
      <c r="ND46" s="12"/>
      <c r="NE46" s="12"/>
      <c r="NF46" s="12"/>
      <c r="NG46" s="12"/>
      <c r="NH46" s="12"/>
      <c r="NI46" s="12"/>
      <c r="NJ46" s="12"/>
      <c r="NK46" s="12"/>
      <c r="NL46" s="12"/>
      <c r="NM46" s="12"/>
      <c r="NN46" s="12"/>
      <c r="NO46" s="12"/>
      <c r="NP46" s="12"/>
      <c r="NQ46" s="12"/>
      <c r="NR46" s="12"/>
      <c r="NS46" s="12"/>
      <c r="NT46" s="12"/>
      <c r="NU46" s="12"/>
      <c r="NV46" s="12"/>
      <c r="NW46" s="12"/>
      <c r="NX46" s="12"/>
      <c r="NY46" s="12"/>
      <c r="NZ46" s="12"/>
      <c r="OA46" s="12"/>
      <c r="OB46" s="12"/>
      <c r="OC46" s="12"/>
      <c r="OD46" s="12"/>
      <c r="OE46" s="12"/>
      <c r="OF46" s="12"/>
      <c r="OG46" s="12"/>
      <c r="OH46" s="12"/>
      <c r="OI46" s="12"/>
      <c r="OJ46" s="12"/>
      <c r="OK46" s="12"/>
      <c r="OL46" s="12"/>
      <c r="OM46" s="12"/>
      <c r="ON46" s="12"/>
      <c r="OO46" s="12"/>
      <c r="OP46" s="12"/>
      <c r="OQ46" s="12"/>
      <c r="OR46" s="12"/>
      <c r="OS46" s="12"/>
      <c r="OT46" s="12"/>
      <c r="OU46" s="12"/>
      <c r="OV46" s="12"/>
      <c r="OW46" s="12"/>
      <c r="OX46" s="12"/>
      <c r="OY46" s="12"/>
      <c r="OZ46" s="12"/>
      <c r="PA46" s="12"/>
      <c r="PB46" s="12"/>
      <c r="PC46" s="12"/>
      <c r="PD46" s="12"/>
      <c r="PE46" s="12"/>
      <c r="PF46" s="12"/>
      <c r="PG46" s="12"/>
      <c r="PH46" s="12"/>
      <c r="PI46" s="12"/>
      <c r="PJ46" s="12"/>
      <c r="PK46" s="12"/>
      <c r="PL46" s="12"/>
      <c r="PM46" s="12"/>
      <c r="PN46" s="12"/>
      <c r="PO46" s="12"/>
      <c r="PP46" s="12"/>
      <c r="PQ46" s="12"/>
      <c r="PR46" s="12"/>
      <c r="PS46" s="12"/>
      <c r="PT46" s="12"/>
      <c r="PU46" s="12"/>
      <c r="PV46" s="12"/>
      <c r="PW46" s="12"/>
      <c r="PX46" s="12"/>
      <c r="PY46" s="12"/>
      <c r="PZ46" s="12"/>
      <c r="QA46" s="12"/>
      <c r="QB46" s="12"/>
      <c r="QC46" s="12"/>
      <c r="QD46" s="12"/>
      <c r="QE46" s="12"/>
      <c r="QF46" s="12"/>
      <c r="QG46" s="12"/>
      <c r="QH46" s="12"/>
      <c r="QI46" s="12"/>
      <c r="QJ46" s="12"/>
      <c r="QK46" s="12"/>
      <c r="QL46" s="12"/>
      <c r="QM46" s="12"/>
      <c r="QN46" s="12"/>
      <c r="QO46" s="12"/>
      <c r="QP46" s="12"/>
      <c r="QQ46" s="12"/>
      <c r="QR46" s="12"/>
      <c r="QS46" s="12"/>
      <c r="QT46" s="12"/>
      <c r="QU46" s="12"/>
      <c r="QV46" s="12"/>
      <c r="QW46" s="12"/>
      <c r="QX46" s="12"/>
      <c r="QY46" s="12"/>
      <c r="QZ46" s="12"/>
      <c r="RA46" s="12"/>
      <c r="RB46" s="12"/>
      <c r="RC46" s="12"/>
      <c r="RD46" s="12"/>
      <c r="RE46" s="12"/>
      <c r="RF46" s="12"/>
      <c r="RG46" s="12"/>
      <c r="RH46" s="12"/>
      <c r="RI46" s="12"/>
      <c r="RJ46" s="12"/>
      <c r="RK46" s="12"/>
      <c r="RL46" s="12"/>
      <c r="RM46" s="12"/>
      <c r="RN46" s="12"/>
      <c r="RO46" s="12"/>
      <c r="RP46" s="12"/>
      <c r="RQ46" s="12"/>
      <c r="RR46" s="12"/>
      <c r="RS46" s="12"/>
      <c r="RT46" s="12"/>
      <c r="RU46" s="12"/>
      <c r="RV46" s="12"/>
      <c r="RW46" s="12"/>
      <c r="RX46" s="12"/>
      <c r="RY46" s="12"/>
      <c r="RZ46" s="12"/>
      <c r="SA46" s="12"/>
      <c r="SB46" s="12"/>
      <c r="SC46" s="12"/>
      <c r="SD46" s="12"/>
      <c r="SE46" s="12"/>
      <c r="SF46" s="12"/>
      <c r="SG46" s="12"/>
      <c r="SH46" s="12"/>
      <c r="SI46" s="12"/>
      <c r="SJ46" s="12"/>
      <c r="SK46" s="12"/>
      <c r="SL46" s="12"/>
      <c r="SM46" s="12"/>
      <c r="SN46" s="12"/>
      <c r="SO46" s="12"/>
      <c r="SP46" s="12"/>
      <c r="SQ46" s="12"/>
      <c r="SR46" s="12"/>
      <c r="SS46" s="12"/>
      <c r="ST46" s="12"/>
      <c r="SU46" s="12"/>
      <c r="SV46" s="12"/>
      <c r="SW46" s="12"/>
      <c r="SX46" s="12"/>
      <c r="SY46" s="12"/>
      <c r="SZ46" s="12"/>
      <c r="TA46" s="12"/>
      <c r="TB46" s="12"/>
      <c r="TC46" s="12"/>
      <c r="TD46" s="12"/>
      <c r="TE46" s="12"/>
      <c r="TF46" s="12"/>
      <c r="TG46" s="12"/>
      <c r="TH46" s="12"/>
      <c r="TI46" s="12"/>
      <c r="TJ46" s="12"/>
      <c r="TK46" s="12"/>
      <c r="TL46" s="12"/>
      <c r="TM46" s="12"/>
      <c r="TN46" s="12"/>
      <c r="TO46" s="12"/>
      <c r="TP46" s="12"/>
      <c r="TQ46" s="12"/>
      <c r="TR46" s="12"/>
      <c r="TS46" s="12"/>
      <c r="TT46" s="12"/>
      <c r="TU46" s="12"/>
      <c r="TV46" s="12"/>
      <c r="TW46" s="12"/>
      <c r="TX46" s="12"/>
      <c r="TY46" s="12"/>
      <c r="TZ46" s="12"/>
      <c r="UA46" s="12"/>
      <c r="UB46" s="12"/>
      <c r="UC46" s="12"/>
      <c r="UD46" s="12"/>
      <c r="UE46" s="12"/>
      <c r="UF46" s="12"/>
      <c r="UG46" s="12"/>
      <c r="UH46" s="12"/>
      <c r="UI46" s="12"/>
      <c r="UJ46" s="12"/>
      <c r="UK46" s="12"/>
      <c r="UL46" s="12"/>
      <c r="UM46" s="12"/>
      <c r="UN46" s="12"/>
      <c r="UO46" s="12"/>
      <c r="UP46" s="12"/>
      <c r="UQ46" s="12"/>
      <c r="UR46" s="12"/>
      <c r="US46" s="12"/>
      <c r="UT46" s="12"/>
      <c r="UU46" s="12"/>
      <c r="UV46" s="12"/>
      <c r="UW46" s="12"/>
      <c r="UX46" s="12"/>
      <c r="UY46" s="12"/>
      <c r="UZ46" s="12"/>
      <c r="VA46" s="12"/>
      <c r="VB46" s="12"/>
      <c r="VC46" s="12"/>
      <c r="VD46" s="12"/>
      <c r="VE46" s="12"/>
      <c r="VF46" s="12"/>
      <c r="VG46" s="12"/>
      <c r="VH46" s="12"/>
      <c r="VI46" s="12"/>
      <c r="VJ46" s="12"/>
      <c r="VK46" s="12"/>
      <c r="VL46" s="12"/>
      <c r="VM46" s="12"/>
      <c r="VN46" s="12"/>
      <c r="VO46" s="12"/>
      <c r="VP46" s="12"/>
      <c r="VQ46" s="12"/>
      <c r="VR46" s="12"/>
      <c r="VS46" s="12"/>
      <c r="VT46" s="12"/>
      <c r="VU46" s="12"/>
      <c r="VV46" s="12"/>
      <c r="VW46" s="12"/>
      <c r="VX46" s="12"/>
      <c r="VY46" s="12"/>
      <c r="VZ46" s="12"/>
      <c r="WA46" s="12"/>
      <c r="WB46" s="12"/>
      <c r="WC46" s="12"/>
      <c r="WD46" s="12"/>
      <c r="WE46" s="12"/>
      <c r="WF46" s="12"/>
      <c r="WG46" s="12"/>
      <c r="WH46" s="12"/>
      <c r="WI46" s="12"/>
      <c r="WJ46" s="12"/>
      <c r="WK46" s="12"/>
      <c r="WL46" s="12"/>
      <c r="WM46" s="12"/>
      <c r="WN46" s="12"/>
      <c r="WO46" s="12"/>
      <c r="WP46" s="12"/>
      <c r="WQ46" s="12"/>
      <c r="WR46" s="12"/>
      <c r="WS46" s="12"/>
      <c r="WT46" s="12"/>
      <c r="WU46" s="12"/>
      <c r="WV46" s="12"/>
      <c r="WW46" s="12"/>
      <c r="WX46" s="12"/>
      <c r="WY46" s="12"/>
      <c r="WZ46" s="12"/>
      <c r="XA46" s="12"/>
      <c r="XB46" s="12"/>
      <c r="XC46" s="12"/>
      <c r="XD46" s="12"/>
      <c r="XE46" s="12"/>
      <c r="XF46" s="12"/>
      <c r="XG46" s="12"/>
      <c r="XH46" s="12"/>
      <c r="XI46" s="12"/>
      <c r="XJ46" s="12"/>
      <c r="XK46" s="12"/>
      <c r="XL46" s="12"/>
      <c r="XM46" s="12"/>
      <c r="XN46" s="12"/>
      <c r="XO46" s="12"/>
      <c r="XP46" s="12"/>
      <c r="XQ46" s="12"/>
      <c r="XR46" s="12"/>
      <c r="XS46" s="12"/>
      <c r="XT46" s="12"/>
      <c r="XU46" s="12"/>
      <c r="XV46" s="12"/>
      <c r="XW46" s="12"/>
      <c r="XX46" s="12"/>
      <c r="XY46" s="12"/>
      <c r="XZ46" s="12"/>
      <c r="YA46" s="12"/>
      <c r="YB46" s="12"/>
      <c r="YC46" s="12"/>
      <c r="YD46" s="12"/>
      <c r="YE46" s="12"/>
      <c r="YF46" s="12"/>
      <c r="YG46" s="12"/>
      <c r="YH46" s="12"/>
      <c r="YI46" s="12"/>
      <c r="YJ46" s="12"/>
      <c r="YK46" s="12"/>
      <c r="YL46" s="12"/>
      <c r="YM46" s="12"/>
      <c r="YN46" s="12"/>
      <c r="YO46" s="12"/>
      <c r="YP46" s="12"/>
      <c r="YQ46" s="12"/>
      <c r="YR46" s="12"/>
      <c r="YS46" s="12"/>
      <c r="YT46" s="12"/>
      <c r="YU46" s="12"/>
      <c r="YV46" s="12"/>
      <c r="YW46" s="12"/>
      <c r="YX46" s="12"/>
      <c r="YY46" s="12"/>
      <c r="YZ46" s="12"/>
      <c r="ZA46" s="12"/>
      <c r="ZB46" s="12"/>
      <c r="ZC46" s="12"/>
      <c r="ZD46" s="12"/>
      <c r="ZE46" s="12"/>
      <c r="ZF46" s="12"/>
      <c r="ZG46" s="12"/>
      <c r="ZH46" s="12"/>
      <c r="ZI46" s="12"/>
      <c r="ZJ46" s="12"/>
      <c r="ZK46" s="12"/>
      <c r="ZL46" s="12"/>
      <c r="ZM46" s="12"/>
      <c r="ZN46" s="12"/>
      <c r="ZO46" s="12"/>
      <c r="ZP46" s="12"/>
      <c r="ZQ46" s="12"/>
      <c r="ZR46" s="12"/>
      <c r="ZS46" s="12"/>
      <c r="ZT46" s="12"/>
      <c r="ZU46" s="12"/>
      <c r="ZV46" s="12"/>
      <c r="ZW46" s="12"/>
      <c r="ZX46" s="12"/>
      <c r="ZY46" s="12"/>
      <c r="ZZ46" s="12"/>
      <c r="AAA46" s="12"/>
      <c r="AAB46" s="12"/>
      <c r="AAC46" s="12"/>
      <c r="AAD46" s="12"/>
      <c r="AAE46" s="12"/>
      <c r="AAF46" s="12"/>
      <c r="AAG46" s="12"/>
      <c r="AAH46" s="12"/>
      <c r="AAI46" s="12"/>
      <c r="AAJ46" s="12"/>
      <c r="AAK46" s="12"/>
      <c r="AAL46" s="12"/>
      <c r="AAM46" s="12"/>
      <c r="AAN46" s="12"/>
      <c r="AAO46" s="12"/>
      <c r="AAP46" s="12"/>
      <c r="AAQ46" s="12"/>
      <c r="AAR46" s="12"/>
      <c r="AAS46" s="12"/>
      <c r="AAT46" s="12"/>
      <c r="AAU46" s="12"/>
      <c r="AAV46" s="12"/>
      <c r="AAW46" s="12"/>
      <c r="AAX46" s="12"/>
      <c r="AAY46" s="12"/>
      <c r="AAZ46" s="12"/>
      <c r="ABA46" s="12"/>
      <c r="ABB46" s="12"/>
      <c r="ABC46" s="12"/>
      <c r="ABD46" s="12"/>
      <c r="ABE46" s="12"/>
      <c r="ABF46" s="12"/>
      <c r="ABG46" s="12"/>
      <c r="ABH46" s="12"/>
      <c r="ABI46" s="12"/>
      <c r="ABJ46" s="12"/>
      <c r="ABK46" s="12"/>
      <c r="ABL46" s="12"/>
      <c r="ABM46" s="12"/>
      <c r="ABN46" s="12"/>
      <c r="ABO46" s="12"/>
      <c r="ABP46" s="12"/>
      <c r="ABQ46" s="12"/>
      <c r="ABR46" s="12"/>
      <c r="ABS46" s="12"/>
      <c r="ABT46" s="12"/>
      <c r="ABU46" s="12"/>
      <c r="ABV46" s="12"/>
      <c r="ABW46" s="12"/>
      <c r="ABX46" s="12"/>
      <c r="ABY46" s="12"/>
      <c r="ABZ46" s="12"/>
      <c r="ACA46" s="12"/>
      <c r="ACB46" s="12"/>
      <c r="ACC46" s="12"/>
      <c r="ACD46" s="12"/>
      <c r="ACE46" s="12"/>
      <c r="ACF46" s="12"/>
      <c r="ACG46" s="12"/>
      <c r="ACH46" s="12"/>
      <c r="ACI46" s="12"/>
      <c r="ACJ46" s="12"/>
      <c r="ACK46" s="12"/>
      <c r="ACL46" s="12"/>
      <c r="ACM46" s="12"/>
      <c r="ACN46" s="12"/>
      <c r="ACO46" s="12"/>
      <c r="ACP46" s="12"/>
      <c r="ACQ46" s="12"/>
      <c r="ACR46" s="12"/>
      <c r="ACS46" s="12"/>
      <c r="ACT46" s="12"/>
      <c r="ACU46" s="12"/>
      <c r="ACV46" s="12"/>
      <c r="ACW46" s="12"/>
      <c r="ACX46" s="12"/>
      <c r="ACY46" s="12"/>
      <c r="ACZ46" s="12"/>
      <c r="ADA46" s="12"/>
      <c r="ADB46" s="12"/>
      <c r="ADC46" s="12"/>
      <c r="ADD46" s="12"/>
      <c r="ADE46" s="12"/>
      <c r="ADF46" s="12"/>
      <c r="ADG46" s="12"/>
      <c r="ADH46" s="12"/>
      <c r="ADI46" s="12"/>
      <c r="ADJ46" s="12"/>
      <c r="ADK46" s="12"/>
      <c r="ADL46" s="12"/>
      <c r="ADM46" s="12"/>
      <c r="ADN46" s="12"/>
      <c r="ADO46" s="12"/>
      <c r="ADP46" s="12"/>
      <c r="ADQ46" s="12"/>
      <c r="ADR46" s="12"/>
      <c r="ADS46" s="12"/>
      <c r="ADT46" s="12"/>
      <c r="ADU46" s="12"/>
      <c r="ADV46" s="12"/>
      <c r="ADW46" s="12"/>
      <c r="ADX46" s="12"/>
      <c r="ADY46" s="12"/>
      <c r="ADZ46" s="12"/>
      <c r="AEA46" s="12"/>
      <c r="AEB46" s="12"/>
      <c r="AEC46" s="12"/>
      <c r="AED46" s="12"/>
      <c r="AEE46" s="12"/>
      <c r="AEF46" s="12"/>
      <c r="AEG46" s="12"/>
      <c r="AEH46" s="12"/>
      <c r="AEI46" s="12"/>
      <c r="AEJ46" s="12"/>
      <c r="AEK46" s="12"/>
      <c r="AEL46" s="12"/>
      <c r="AEM46" s="12"/>
      <c r="AEN46" s="12"/>
      <c r="AEO46" s="12"/>
      <c r="AEP46" s="12"/>
      <c r="AEQ46" s="12"/>
      <c r="AER46" s="12"/>
      <c r="AES46" s="12"/>
      <c r="AET46" s="12"/>
      <c r="AEU46" s="12"/>
      <c r="AEV46" s="12"/>
    </row>
    <row r="47" spans="1:828" s="60" customFormat="1" ht="19" x14ac:dyDescent="0.2">
      <c r="A47" s="52" t="s">
        <v>43</v>
      </c>
      <c r="B47" s="53">
        <f t="shared" si="0"/>
        <v>2.3627081267894039E-3</v>
      </c>
      <c r="C47" s="54" t="s">
        <v>44</v>
      </c>
      <c r="D47" s="55">
        <v>255</v>
      </c>
      <c r="E47" s="56">
        <f>SUM(G47:G49)/D74</f>
        <v>5.2072234010025293E-3</v>
      </c>
      <c r="F47" s="57" t="s">
        <v>73</v>
      </c>
      <c r="G47" s="57">
        <v>510</v>
      </c>
      <c r="H47" s="58">
        <f>J47/J74</f>
        <v>2.2907874225314626E-2</v>
      </c>
      <c r="I47" s="54" t="s">
        <v>45</v>
      </c>
      <c r="J47" s="55">
        <v>2410</v>
      </c>
      <c r="K47" s="58">
        <f>SUM(M47:M49)/J74</f>
        <v>2.2166457549142617E-2</v>
      </c>
      <c r="L47" s="54" t="s">
        <v>46</v>
      </c>
      <c r="M47" s="55">
        <v>2128</v>
      </c>
      <c r="N47" s="47">
        <f t="shared" si="1"/>
        <v>4.7254162535788078E-3</v>
      </c>
      <c r="O47" s="47">
        <f t="shared" si="2"/>
        <v>2.022736778069275E-2</v>
      </c>
      <c r="P47" s="48"/>
      <c r="Q47" s="12"/>
      <c r="R47" s="12"/>
      <c r="S47" s="12"/>
      <c r="T47" s="12"/>
      <c r="U47" s="12"/>
      <c r="V47" s="12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9"/>
      <c r="AV47" s="59"/>
      <c r="AW47" s="59"/>
      <c r="AX47" s="59"/>
      <c r="AY47" s="59"/>
      <c r="AZ47" s="59"/>
      <c r="BA47" s="59"/>
      <c r="BB47" s="59"/>
      <c r="BC47" s="59"/>
      <c r="BD47" s="59"/>
      <c r="BE47" s="59"/>
      <c r="BF47" s="59"/>
      <c r="BG47" s="59"/>
      <c r="BH47" s="59"/>
      <c r="BI47" s="59"/>
      <c r="BJ47" s="59"/>
      <c r="BK47" s="59"/>
      <c r="BL47" s="59"/>
      <c r="BM47" s="59"/>
      <c r="BN47" s="59"/>
      <c r="BO47" s="59"/>
      <c r="BP47" s="59"/>
      <c r="BQ47" s="59"/>
      <c r="BR47" s="59"/>
      <c r="BS47" s="59"/>
      <c r="BT47" s="59"/>
      <c r="BU47" s="59"/>
      <c r="BV47" s="59"/>
      <c r="BW47" s="59"/>
      <c r="BX47" s="59"/>
      <c r="BY47" s="59"/>
      <c r="BZ47" s="59"/>
      <c r="CA47" s="59"/>
      <c r="CB47" s="59"/>
      <c r="CC47" s="59"/>
      <c r="CD47" s="59"/>
      <c r="CE47" s="59"/>
      <c r="CF47" s="59"/>
      <c r="CG47" s="59"/>
      <c r="CH47" s="59"/>
      <c r="CI47" s="59"/>
      <c r="CJ47" s="59"/>
      <c r="CK47" s="59"/>
      <c r="CL47" s="59"/>
      <c r="CM47" s="59"/>
      <c r="CN47" s="59"/>
      <c r="CO47" s="59"/>
      <c r="CP47" s="59"/>
      <c r="CQ47" s="59"/>
      <c r="CR47" s="59"/>
      <c r="CS47" s="59"/>
      <c r="CT47" s="59"/>
      <c r="CU47" s="59"/>
      <c r="CV47" s="59"/>
      <c r="CW47" s="59"/>
      <c r="CX47" s="59"/>
      <c r="CY47" s="59"/>
      <c r="CZ47" s="59"/>
      <c r="DA47" s="59"/>
      <c r="DB47" s="59"/>
      <c r="DC47" s="59"/>
      <c r="DD47" s="59"/>
      <c r="DE47" s="59"/>
      <c r="DF47" s="59"/>
      <c r="DG47" s="59"/>
      <c r="DH47" s="59"/>
      <c r="DI47" s="59"/>
      <c r="DJ47" s="59"/>
      <c r="DK47" s="59"/>
      <c r="DL47" s="59"/>
      <c r="DM47" s="59"/>
      <c r="DN47" s="59"/>
      <c r="DO47" s="59"/>
      <c r="DP47" s="59"/>
      <c r="DQ47" s="59"/>
      <c r="DR47" s="59"/>
      <c r="DS47" s="59"/>
      <c r="DT47" s="59"/>
      <c r="DU47" s="59"/>
      <c r="DV47" s="59"/>
      <c r="DW47" s="59"/>
      <c r="DX47" s="59"/>
      <c r="DY47" s="59"/>
      <c r="DZ47" s="59"/>
      <c r="EA47" s="59"/>
      <c r="EB47" s="59"/>
      <c r="EC47" s="59"/>
      <c r="ED47" s="59"/>
      <c r="EE47" s="59"/>
      <c r="EF47" s="59"/>
      <c r="EG47" s="59"/>
      <c r="EH47" s="59"/>
      <c r="EI47" s="59"/>
      <c r="EJ47" s="59"/>
      <c r="EK47" s="59"/>
      <c r="EL47" s="59"/>
      <c r="EM47" s="59"/>
      <c r="EN47" s="59"/>
      <c r="EO47" s="59"/>
      <c r="EP47" s="59"/>
      <c r="EQ47" s="59"/>
      <c r="ER47" s="59"/>
      <c r="ES47" s="59"/>
      <c r="ET47" s="59"/>
      <c r="EU47" s="59"/>
      <c r="EV47" s="59"/>
      <c r="EW47" s="59"/>
      <c r="EX47" s="59"/>
      <c r="EY47" s="59"/>
      <c r="EZ47" s="59"/>
      <c r="FA47" s="59"/>
      <c r="FB47" s="59"/>
      <c r="FC47" s="59"/>
      <c r="FD47" s="59"/>
      <c r="FE47" s="59"/>
      <c r="FF47" s="59"/>
      <c r="FG47" s="59"/>
      <c r="FH47" s="59"/>
      <c r="FI47" s="59"/>
      <c r="FJ47" s="59"/>
      <c r="FK47" s="59"/>
      <c r="FL47" s="59"/>
      <c r="FM47" s="59"/>
      <c r="FN47" s="59"/>
      <c r="FO47" s="59"/>
      <c r="FP47" s="59"/>
      <c r="FQ47" s="59"/>
      <c r="FR47" s="59"/>
      <c r="FS47" s="59"/>
      <c r="FT47" s="59"/>
      <c r="FU47" s="59"/>
      <c r="FV47" s="59"/>
      <c r="FW47" s="59"/>
      <c r="FX47" s="59"/>
      <c r="FY47" s="59"/>
      <c r="FZ47" s="59"/>
      <c r="GA47" s="59"/>
      <c r="GB47" s="59"/>
      <c r="GC47" s="59"/>
      <c r="GD47" s="59"/>
      <c r="GE47" s="59"/>
      <c r="GF47" s="59"/>
      <c r="GG47" s="59"/>
      <c r="GH47" s="59"/>
      <c r="GI47" s="59"/>
      <c r="GJ47" s="59"/>
      <c r="GK47" s="59"/>
      <c r="GL47" s="59"/>
      <c r="GM47" s="59"/>
      <c r="GN47" s="59"/>
      <c r="GO47" s="59"/>
      <c r="GP47" s="59"/>
      <c r="GQ47" s="59"/>
      <c r="GR47" s="59"/>
      <c r="GS47" s="59"/>
      <c r="GT47" s="59"/>
      <c r="GU47" s="59"/>
      <c r="GV47" s="59"/>
      <c r="GW47" s="59"/>
      <c r="GX47" s="59"/>
      <c r="GY47" s="59"/>
      <c r="GZ47" s="59"/>
      <c r="HA47" s="59"/>
      <c r="HB47" s="59"/>
      <c r="HC47" s="59"/>
      <c r="HD47" s="59"/>
      <c r="HE47" s="59"/>
      <c r="HF47" s="59"/>
      <c r="HG47" s="59"/>
      <c r="HH47" s="59"/>
      <c r="HI47" s="59"/>
      <c r="HJ47" s="59"/>
      <c r="HK47" s="59"/>
      <c r="HL47" s="59"/>
      <c r="HM47" s="59"/>
      <c r="HN47" s="59"/>
      <c r="HO47" s="59"/>
      <c r="HP47" s="59"/>
      <c r="HQ47" s="59"/>
      <c r="HR47" s="59"/>
      <c r="HS47" s="59"/>
      <c r="HT47" s="59"/>
      <c r="HU47" s="59"/>
      <c r="HV47" s="59"/>
      <c r="HW47" s="59"/>
      <c r="HX47" s="59"/>
      <c r="HY47" s="59"/>
      <c r="HZ47" s="59"/>
      <c r="IA47" s="59"/>
      <c r="IB47" s="59"/>
      <c r="IC47" s="59"/>
      <c r="ID47" s="59"/>
      <c r="IE47" s="59"/>
      <c r="IF47" s="59"/>
      <c r="IG47" s="59"/>
      <c r="IH47" s="59"/>
      <c r="II47" s="59"/>
      <c r="IJ47" s="59"/>
      <c r="IK47" s="59"/>
      <c r="IL47" s="59"/>
      <c r="IM47" s="59"/>
      <c r="IN47" s="59"/>
      <c r="IO47" s="59"/>
      <c r="IP47" s="59"/>
      <c r="IQ47" s="59"/>
      <c r="IR47" s="59"/>
      <c r="IS47" s="59"/>
      <c r="IT47" s="59"/>
      <c r="IU47" s="59"/>
      <c r="IV47" s="59"/>
      <c r="IW47" s="59"/>
      <c r="IX47" s="59"/>
      <c r="IY47" s="59"/>
      <c r="IZ47" s="59"/>
      <c r="JA47" s="59"/>
      <c r="JB47" s="59"/>
      <c r="JC47" s="59"/>
      <c r="JD47" s="59"/>
      <c r="JE47" s="59"/>
      <c r="JF47" s="59"/>
      <c r="JG47" s="59"/>
      <c r="JH47" s="59"/>
      <c r="JI47" s="59"/>
      <c r="JJ47" s="59"/>
      <c r="JK47" s="59"/>
      <c r="JL47" s="59"/>
      <c r="JM47" s="59"/>
      <c r="JN47" s="59"/>
      <c r="JO47" s="59"/>
      <c r="JP47" s="59"/>
      <c r="JQ47" s="59"/>
      <c r="JR47" s="59"/>
      <c r="JS47" s="59"/>
      <c r="JT47" s="59"/>
      <c r="JU47" s="59"/>
      <c r="JV47" s="59"/>
      <c r="JW47" s="59"/>
      <c r="JX47" s="59"/>
      <c r="JY47" s="59"/>
      <c r="JZ47" s="59"/>
      <c r="KA47" s="59"/>
      <c r="KB47" s="59"/>
      <c r="KC47" s="59"/>
      <c r="KD47" s="59"/>
      <c r="KE47" s="59"/>
      <c r="KF47" s="59"/>
      <c r="KG47" s="59"/>
      <c r="KH47" s="59"/>
      <c r="KI47" s="59"/>
      <c r="KJ47" s="59"/>
      <c r="KK47" s="59"/>
      <c r="KL47" s="59"/>
      <c r="KM47" s="59"/>
      <c r="KN47" s="59"/>
      <c r="KO47" s="59"/>
      <c r="KP47" s="59"/>
      <c r="KQ47" s="59"/>
      <c r="KR47" s="59"/>
      <c r="KS47" s="59"/>
      <c r="KT47" s="59"/>
      <c r="KU47" s="59"/>
      <c r="KV47" s="59"/>
      <c r="KW47" s="59"/>
      <c r="KX47" s="59"/>
      <c r="KY47" s="59"/>
      <c r="KZ47" s="59"/>
      <c r="LA47" s="59"/>
      <c r="LB47" s="59"/>
      <c r="LC47" s="59"/>
      <c r="LD47" s="59"/>
      <c r="LE47" s="59"/>
      <c r="LF47" s="59"/>
      <c r="LG47" s="59"/>
      <c r="LH47" s="59"/>
      <c r="LI47" s="59"/>
      <c r="LJ47" s="59"/>
      <c r="LK47" s="59"/>
      <c r="LL47" s="59"/>
      <c r="LM47" s="59"/>
      <c r="LN47" s="59"/>
      <c r="LO47" s="59"/>
      <c r="LP47" s="59"/>
      <c r="LQ47" s="59"/>
      <c r="LR47" s="59"/>
      <c r="LS47" s="59"/>
      <c r="LT47" s="59"/>
      <c r="LU47" s="59"/>
      <c r="LV47" s="59"/>
      <c r="LW47" s="59"/>
      <c r="LX47" s="59"/>
      <c r="LY47" s="59"/>
      <c r="LZ47" s="59"/>
      <c r="MA47" s="59"/>
      <c r="MB47" s="59"/>
      <c r="MC47" s="59"/>
      <c r="MD47" s="59"/>
      <c r="ME47" s="59"/>
      <c r="MF47" s="59"/>
      <c r="MG47" s="59"/>
      <c r="MH47" s="59"/>
      <c r="MI47" s="59"/>
      <c r="MJ47" s="59"/>
      <c r="MK47" s="59"/>
      <c r="ML47" s="59"/>
      <c r="MM47" s="59"/>
      <c r="MN47" s="59"/>
      <c r="MO47" s="59"/>
      <c r="MP47" s="59"/>
      <c r="MQ47" s="59"/>
      <c r="MR47" s="59"/>
      <c r="MS47" s="59"/>
      <c r="MT47" s="59"/>
      <c r="MU47" s="59"/>
      <c r="MV47" s="59"/>
      <c r="MW47" s="59"/>
      <c r="MX47" s="59"/>
      <c r="MY47" s="59"/>
      <c r="MZ47" s="59"/>
      <c r="NA47" s="59"/>
      <c r="NB47" s="59"/>
      <c r="NC47" s="59"/>
      <c r="ND47" s="59"/>
      <c r="NE47" s="59"/>
      <c r="NF47" s="59"/>
      <c r="NG47" s="59"/>
      <c r="NH47" s="59"/>
      <c r="NI47" s="59"/>
      <c r="NJ47" s="59"/>
      <c r="NK47" s="59"/>
      <c r="NL47" s="59"/>
      <c r="NM47" s="59"/>
      <c r="NN47" s="59"/>
      <c r="NO47" s="59"/>
      <c r="NP47" s="59"/>
      <c r="NQ47" s="59"/>
      <c r="NR47" s="59"/>
      <c r="NS47" s="59"/>
      <c r="NT47" s="59"/>
      <c r="NU47" s="59"/>
      <c r="NV47" s="59"/>
      <c r="NW47" s="59"/>
      <c r="NX47" s="59"/>
      <c r="NY47" s="59"/>
      <c r="NZ47" s="59"/>
      <c r="OA47" s="59"/>
      <c r="OB47" s="59"/>
      <c r="OC47" s="59"/>
      <c r="OD47" s="59"/>
      <c r="OE47" s="59"/>
      <c r="OF47" s="59"/>
      <c r="OG47" s="59"/>
      <c r="OH47" s="59"/>
      <c r="OI47" s="59"/>
      <c r="OJ47" s="59"/>
      <c r="OK47" s="59"/>
      <c r="OL47" s="59"/>
      <c r="OM47" s="59"/>
      <c r="ON47" s="59"/>
      <c r="OO47" s="59"/>
      <c r="OP47" s="59"/>
      <c r="OQ47" s="59"/>
      <c r="OR47" s="59"/>
      <c r="OS47" s="59"/>
      <c r="OT47" s="59"/>
      <c r="OU47" s="59"/>
      <c r="OV47" s="59"/>
      <c r="OW47" s="59"/>
      <c r="OX47" s="59"/>
      <c r="OY47" s="59"/>
      <c r="OZ47" s="59"/>
      <c r="PA47" s="59"/>
      <c r="PB47" s="59"/>
      <c r="PC47" s="59"/>
      <c r="PD47" s="59"/>
      <c r="PE47" s="59"/>
      <c r="PF47" s="59"/>
      <c r="PG47" s="59"/>
      <c r="PH47" s="59"/>
      <c r="PI47" s="59"/>
      <c r="PJ47" s="59"/>
      <c r="PK47" s="59"/>
      <c r="PL47" s="59"/>
      <c r="PM47" s="59"/>
      <c r="PN47" s="59"/>
      <c r="PO47" s="59"/>
      <c r="PP47" s="59"/>
      <c r="PQ47" s="59"/>
      <c r="PR47" s="59"/>
      <c r="PS47" s="59"/>
      <c r="PT47" s="59"/>
      <c r="PU47" s="59"/>
      <c r="PV47" s="59"/>
      <c r="PW47" s="59"/>
      <c r="PX47" s="59"/>
      <c r="PY47" s="59"/>
      <c r="PZ47" s="59"/>
      <c r="QA47" s="59"/>
      <c r="QB47" s="59"/>
      <c r="QC47" s="59"/>
      <c r="QD47" s="59"/>
      <c r="QE47" s="59"/>
      <c r="QF47" s="59"/>
      <c r="QG47" s="59"/>
      <c r="QH47" s="59"/>
      <c r="QI47" s="59"/>
      <c r="QJ47" s="59"/>
      <c r="QK47" s="59"/>
      <c r="QL47" s="59"/>
      <c r="QM47" s="59"/>
      <c r="QN47" s="59"/>
      <c r="QO47" s="59"/>
      <c r="QP47" s="59"/>
      <c r="QQ47" s="59"/>
      <c r="QR47" s="59"/>
      <c r="QS47" s="59"/>
      <c r="QT47" s="59"/>
      <c r="QU47" s="59"/>
      <c r="QV47" s="59"/>
      <c r="QW47" s="59"/>
      <c r="QX47" s="59"/>
      <c r="QY47" s="59"/>
      <c r="QZ47" s="59"/>
      <c r="RA47" s="59"/>
      <c r="RB47" s="59"/>
      <c r="RC47" s="59"/>
      <c r="RD47" s="59"/>
      <c r="RE47" s="59"/>
      <c r="RF47" s="59"/>
      <c r="RG47" s="59"/>
      <c r="RH47" s="59"/>
      <c r="RI47" s="59"/>
      <c r="RJ47" s="59"/>
      <c r="RK47" s="59"/>
      <c r="RL47" s="59"/>
      <c r="RM47" s="59"/>
      <c r="RN47" s="59"/>
      <c r="RO47" s="59"/>
      <c r="RP47" s="59"/>
      <c r="RQ47" s="59"/>
      <c r="RR47" s="59"/>
      <c r="RS47" s="59"/>
      <c r="RT47" s="59"/>
      <c r="RU47" s="59"/>
      <c r="RV47" s="59"/>
      <c r="RW47" s="59"/>
      <c r="RX47" s="59"/>
      <c r="RY47" s="59"/>
      <c r="RZ47" s="59"/>
      <c r="SA47" s="59"/>
      <c r="SB47" s="59"/>
      <c r="SC47" s="59"/>
      <c r="SD47" s="59"/>
      <c r="SE47" s="59"/>
      <c r="SF47" s="59"/>
      <c r="SG47" s="59"/>
      <c r="SH47" s="59"/>
      <c r="SI47" s="59"/>
      <c r="SJ47" s="59"/>
      <c r="SK47" s="59"/>
      <c r="SL47" s="59"/>
      <c r="SM47" s="59"/>
      <c r="SN47" s="59"/>
      <c r="SO47" s="59"/>
      <c r="SP47" s="59"/>
      <c r="SQ47" s="59"/>
      <c r="SR47" s="59"/>
      <c r="SS47" s="59"/>
      <c r="ST47" s="59"/>
      <c r="SU47" s="59"/>
      <c r="SV47" s="59"/>
      <c r="SW47" s="59"/>
      <c r="SX47" s="59"/>
      <c r="SY47" s="59"/>
      <c r="SZ47" s="59"/>
      <c r="TA47" s="59"/>
      <c r="TB47" s="59"/>
      <c r="TC47" s="59"/>
      <c r="TD47" s="59"/>
      <c r="TE47" s="59"/>
      <c r="TF47" s="59"/>
      <c r="TG47" s="59"/>
      <c r="TH47" s="59"/>
      <c r="TI47" s="59"/>
      <c r="TJ47" s="59"/>
      <c r="TK47" s="59"/>
      <c r="TL47" s="59"/>
      <c r="TM47" s="59"/>
      <c r="TN47" s="59"/>
      <c r="TO47" s="59"/>
      <c r="TP47" s="59"/>
      <c r="TQ47" s="59"/>
      <c r="TR47" s="59"/>
      <c r="TS47" s="59"/>
      <c r="TT47" s="59"/>
      <c r="TU47" s="59"/>
      <c r="TV47" s="59"/>
      <c r="TW47" s="59"/>
      <c r="TX47" s="59"/>
      <c r="TY47" s="59"/>
      <c r="TZ47" s="59"/>
      <c r="UA47" s="59"/>
      <c r="UB47" s="59"/>
      <c r="UC47" s="59"/>
      <c r="UD47" s="59"/>
      <c r="UE47" s="59"/>
      <c r="UF47" s="59"/>
      <c r="UG47" s="59"/>
      <c r="UH47" s="59"/>
      <c r="UI47" s="59"/>
      <c r="UJ47" s="59"/>
      <c r="UK47" s="59"/>
      <c r="UL47" s="59"/>
      <c r="UM47" s="59"/>
      <c r="UN47" s="59"/>
      <c r="UO47" s="59"/>
      <c r="UP47" s="59"/>
      <c r="UQ47" s="59"/>
      <c r="UR47" s="59"/>
      <c r="US47" s="59"/>
      <c r="UT47" s="59"/>
      <c r="UU47" s="59"/>
      <c r="UV47" s="59"/>
      <c r="UW47" s="59"/>
      <c r="UX47" s="59"/>
      <c r="UY47" s="59"/>
      <c r="UZ47" s="59"/>
      <c r="VA47" s="59"/>
      <c r="VB47" s="59"/>
      <c r="VC47" s="59"/>
      <c r="VD47" s="59"/>
      <c r="VE47" s="59"/>
      <c r="VF47" s="59"/>
      <c r="VG47" s="59"/>
      <c r="VH47" s="59"/>
      <c r="VI47" s="59"/>
      <c r="VJ47" s="59"/>
      <c r="VK47" s="59"/>
      <c r="VL47" s="59"/>
      <c r="VM47" s="59"/>
      <c r="VN47" s="59"/>
      <c r="VO47" s="59"/>
      <c r="VP47" s="59"/>
      <c r="VQ47" s="59"/>
      <c r="VR47" s="59"/>
      <c r="VS47" s="59"/>
      <c r="VT47" s="59"/>
      <c r="VU47" s="59"/>
      <c r="VV47" s="59"/>
      <c r="VW47" s="59"/>
      <c r="VX47" s="59"/>
      <c r="VY47" s="59"/>
      <c r="VZ47" s="59"/>
      <c r="WA47" s="59"/>
      <c r="WB47" s="59"/>
      <c r="WC47" s="59"/>
      <c r="WD47" s="59"/>
      <c r="WE47" s="59"/>
      <c r="WF47" s="59"/>
      <c r="WG47" s="59"/>
      <c r="WH47" s="59"/>
      <c r="WI47" s="59"/>
      <c r="WJ47" s="59"/>
      <c r="WK47" s="59"/>
      <c r="WL47" s="59"/>
      <c r="WM47" s="59"/>
      <c r="WN47" s="59"/>
      <c r="WO47" s="59"/>
      <c r="WP47" s="59"/>
      <c r="WQ47" s="59"/>
      <c r="WR47" s="59"/>
      <c r="WS47" s="59"/>
      <c r="WT47" s="59"/>
      <c r="WU47" s="59"/>
      <c r="WV47" s="59"/>
      <c r="WW47" s="59"/>
      <c r="WX47" s="59"/>
      <c r="WY47" s="59"/>
      <c r="WZ47" s="59"/>
      <c r="XA47" s="59"/>
      <c r="XB47" s="59"/>
      <c r="XC47" s="59"/>
      <c r="XD47" s="59"/>
      <c r="XE47" s="59"/>
      <c r="XF47" s="59"/>
      <c r="XG47" s="59"/>
      <c r="XH47" s="59"/>
      <c r="XI47" s="59"/>
      <c r="XJ47" s="59"/>
      <c r="XK47" s="59"/>
      <c r="XL47" s="59"/>
      <c r="XM47" s="59"/>
      <c r="XN47" s="59"/>
      <c r="XO47" s="59"/>
      <c r="XP47" s="59"/>
      <c r="XQ47" s="59"/>
      <c r="XR47" s="59"/>
      <c r="XS47" s="59"/>
      <c r="XT47" s="59"/>
      <c r="XU47" s="59"/>
      <c r="XV47" s="59"/>
      <c r="XW47" s="59"/>
      <c r="XX47" s="59"/>
      <c r="XY47" s="59"/>
      <c r="XZ47" s="59"/>
      <c r="YA47" s="59"/>
      <c r="YB47" s="59"/>
      <c r="YC47" s="59"/>
      <c r="YD47" s="59"/>
      <c r="YE47" s="59"/>
      <c r="YF47" s="59"/>
      <c r="YG47" s="59"/>
      <c r="YH47" s="59"/>
      <c r="YI47" s="59"/>
      <c r="YJ47" s="59"/>
      <c r="YK47" s="59"/>
      <c r="YL47" s="59"/>
      <c r="YM47" s="59"/>
      <c r="YN47" s="59"/>
      <c r="YO47" s="59"/>
      <c r="YP47" s="59"/>
      <c r="YQ47" s="59"/>
      <c r="YR47" s="59"/>
      <c r="YS47" s="59"/>
      <c r="YT47" s="59"/>
      <c r="YU47" s="59"/>
      <c r="YV47" s="59"/>
      <c r="YW47" s="59"/>
      <c r="YX47" s="59"/>
      <c r="YY47" s="59"/>
      <c r="YZ47" s="59"/>
      <c r="ZA47" s="59"/>
      <c r="ZB47" s="59"/>
      <c r="ZC47" s="59"/>
      <c r="ZD47" s="59"/>
      <c r="ZE47" s="59"/>
      <c r="ZF47" s="59"/>
      <c r="ZG47" s="59"/>
      <c r="ZH47" s="59"/>
      <c r="ZI47" s="59"/>
      <c r="ZJ47" s="59"/>
      <c r="ZK47" s="59"/>
      <c r="ZL47" s="59"/>
      <c r="ZM47" s="59"/>
      <c r="ZN47" s="59"/>
      <c r="ZO47" s="59"/>
      <c r="ZP47" s="59"/>
      <c r="ZQ47" s="59"/>
      <c r="ZR47" s="59"/>
      <c r="ZS47" s="59"/>
      <c r="ZT47" s="59"/>
      <c r="ZU47" s="59"/>
      <c r="ZV47" s="59"/>
      <c r="ZW47" s="59"/>
      <c r="ZX47" s="59"/>
      <c r="ZY47" s="59"/>
      <c r="ZZ47" s="59"/>
      <c r="AAA47" s="59"/>
      <c r="AAB47" s="59"/>
      <c r="AAC47" s="59"/>
      <c r="AAD47" s="59"/>
      <c r="AAE47" s="59"/>
      <c r="AAF47" s="59"/>
      <c r="AAG47" s="59"/>
      <c r="AAH47" s="59"/>
      <c r="AAI47" s="59"/>
      <c r="AAJ47" s="59"/>
      <c r="AAK47" s="59"/>
      <c r="AAL47" s="59"/>
      <c r="AAM47" s="59"/>
      <c r="AAN47" s="59"/>
      <c r="AAO47" s="59"/>
      <c r="AAP47" s="59"/>
      <c r="AAQ47" s="59"/>
      <c r="AAR47" s="59"/>
      <c r="AAS47" s="59"/>
      <c r="AAT47" s="59"/>
      <c r="AAU47" s="59"/>
      <c r="AAV47" s="59"/>
      <c r="AAW47" s="59"/>
      <c r="AAX47" s="59"/>
      <c r="AAY47" s="59"/>
      <c r="AAZ47" s="59"/>
      <c r="ABA47" s="59"/>
      <c r="ABB47" s="59"/>
      <c r="ABC47" s="59"/>
      <c r="ABD47" s="59"/>
      <c r="ABE47" s="59"/>
      <c r="ABF47" s="59"/>
      <c r="ABG47" s="59"/>
      <c r="ABH47" s="59"/>
      <c r="ABI47" s="59"/>
      <c r="ABJ47" s="59"/>
      <c r="ABK47" s="59"/>
      <c r="ABL47" s="59"/>
      <c r="ABM47" s="59"/>
      <c r="ABN47" s="59"/>
      <c r="ABO47" s="59"/>
      <c r="ABP47" s="59"/>
      <c r="ABQ47" s="59"/>
      <c r="ABR47" s="59"/>
      <c r="ABS47" s="59"/>
      <c r="ABT47" s="59"/>
      <c r="ABU47" s="59"/>
      <c r="ABV47" s="59"/>
      <c r="ABW47" s="59"/>
      <c r="ABX47" s="59"/>
      <c r="ABY47" s="59"/>
      <c r="ABZ47" s="59"/>
      <c r="ACA47" s="59"/>
      <c r="ACB47" s="59"/>
      <c r="ACC47" s="59"/>
      <c r="ACD47" s="59"/>
      <c r="ACE47" s="59"/>
      <c r="ACF47" s="59"/>
      <c r="ACG47" s="59"/>
      <c r="ACH47" s="59"/>
      <c r="ACI47" s="59"/>
      <c r="ACJ47" s="59"/>
      <c r="ACK47" s="59"/>
      <c r="ACL47" s="59"/>
      <c r="ACM47" s="59"/>
      <c r="ACN47" s="59"/>
      <c r="ACO47" s="59"/>
      <c r="ACP47" s="59"/>
      <c r="ACQ47" s="59"/>
      <c r="ACR47" s="59"/>
      <c r="ACS47" s="59"/>
      <c r="ACT47" s="59"/>
      <c r="ACU47" s="59"/>
      <c r="ACV47" s="59"/>
      <c r="ACW47" s="59"/>
      <c r="ACX47" s="59"/>
      <c r="ACY47" s="59"/>
      <c r="ACZ47" s="59"/>
      <c r="ADA47" s="59"/>
      <c r="ADB47" s="59"/>
      <c r="ADC47" s="59"/>
      <c r="ADD47" s="59"/>
      <c r="ADE47" s="59"/>
      <c r="ADF47" s="59"/>
      <c r="ADG47" s="59"/>
      <c r="ADH47" s="59"/>
      <c r="ADI47" s="59"/>
      <c r="ADJ47" s="59"/>
      <c r="ADK47" s="59"/>
      <c r="ADL47" s="59"/>
      <c r="ADM47" s="59"/>
      <c r="ADN47" s="59"/>
      <c r="ADO47" s="59"/>
      <c r="ADP47" s="59"/>
      <c r="ADQ47" s="59"/>
      <c r="ADR47" s="59"/>
      <c r="ADS47" s="59"/>
      <c r="ADT47" s="59"/>
      <c r="ADU47" s="59"/>
      <c r="ADV47" s="59"/>
      <c r="ADW47" s="59"/>
      <c r="ADX47" s="59"/>
      <c r="ADY47" s="59"/>
      <c r="ADZ47" s="59"/>
      <c r="AEA47" s="59"/>
      <c r="AEB47" s="59"/>
      <c r="AEC47" s="59"/>
      <c r="AED47" s="59"/>
      <c r="AEE47" s="59"/>
      <c r="AEF47" s="59"/>
      <c r="AEG47" s="59"/>
      <c r="AEH47" s="59"/>
      <c r="AEI47" s="59"/>
      <c r="AEJ47" s="59"/>
      <c r="AEK47" s="59"/>
      <c r="AEL47" s="59"/>
      <c r="AEM47" s="59"/>
      <c r="AEN47" s="59"/>
      <c r="AEO47" s="59"/>
      <c r="AEP47" s="59"/>
      <c r="AEQ47" s="59"/>
      <c r="AER47" s="59"/>
      <c r="AES47" s="59"/>
      <c r="AET47" s="59"/>
      <c r="AEU47" s="59"/>
      <c r="AEV47" s="59"/>
    </row>
    <row r="48" spans="1:828" s="27" customFormat="1" ht="18" x14ac:dyDescent="0.2">
      <c r="A48" s="61"/>
      <c r="D48" s="29"/>
      <c r="E48" s="23"/>
      <c r="F48" s="27" t="s">
        <v>47</v>
      </c>
      <c r="G48" s="29">
        <v>36</v>
      </c>
      <c r="H48" s="30"/>
      <c r="K48" s="30"/>
      <c r="L48" s="23" t="s">
        <v>47</v>
      </c>
      <c r="M48" s="29">
        <v>134</v>
      </c>
      <c r="N48" s="47">
        <f t="shared" si="1"/>
        <v>3.335587943702688E-4</v>
      </c>
      <c r="O48" s="47">
        <f t="shared" si="2"/>
        <v>1.273715828295502E-3</v>
      </c>
      <c r="P48" s="48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2"/>
      <c r="FJ48" s="12"/>
      <c r="FK48" s="12"/>
      <c r="FL48" s="12"/>
      <c r="FM48" s="12"/>
      <c r="FN48" s="12"/>
      <c r="FO48" s="12"/>
      <c r="FP48" s="12"/>
      <c r="FQ48" s="12"/>
      <c r="FR48" s="12"/>
      <c r="FS48" s="12"/>
      <c r="FT48" s="12"/>
      <c r="FU48" s="12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2"/>
      <c r="GG48" s="12"/>
      <c r="GH48" s="12"/>
      <c r="GI48" s="12"/>
      <c r="GJ48" s="12"/>
      <c r="GK48" s="12"/>
      <c r="GL48" s="12"/>
      <c r="GM48" s="12"/>
      <c r="GN48" s="12"/>
      <c r="GO48" s="12"/>
      <c r="GP48" s="12"/>
      <c r="GQ48" s="12"/>
      <c r="GR48" s="12"/>
      <c r="GS48" s="12"/>
      <c r="GT48" s="12"/>
      <c r="GU48" s="12"/>
      <c r="GV48" s="12"/>
      <c r="GW48" s="12"/>
      <c r="GX48" s="12"/>
      <c r="GY48" s="12"/>
      <c r="GZ48" s="12"/>
      <c r="HA48" s="12"/>
      <c r="HB48" s="12"/>
      <c r="HC48" s="12"/>
      <c r="HD48" s="12"/>
      <c r="HE48" s="12"/>
      <c r="HF48" s="12"/>
      <c r="HG48" s="12"/>
      <c r="HH48" s="12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2"/>
      <c r="HT48" s="12"/>
      <c r="HU48" s="12"/>
      <c r="HV48" s="12"/>
      <c r="HW48" s="12"/>
      <c r="HX48" s="12"/>
      <c r="HY48" s="12"/>
      <c r="HZ48" s="12"/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  <c r="IL48" s="12"/>
      <c r="IM48" s="12"/>
      <c r="IN48" s="12"/>
      <c r="IO48" s="12"/>
      <c r="IP48" s="12"/>
      <c r="IQ48" s="12"/>
      <c r="IR48" s="12"/>
      <c r="IS48" s="12"/>
      <c r="IT48" s="12"/>
      <c r="IU48" s="12"/>
      <c r="IV48" s="12"/>
      <c r="IW48" s="12"/>
      <c r="IX48" s="12"/>
      <c r="IY48" s="12"/>
      <c r="IZ48" s="12"/>
      <c r="JA48" s="12"/>
      <c r="JB48" s="12"/>
      <c r="JC48" s="12"/>
      <c r="JD48" s="12"/>
      <c r="JE48" s="12"/>
      <c r="JF48" s="12"/>
      <c r="JG48" s="12"/>
      <c r="JH48" s="12"/>
      <c r="JI48" s="12"/>
      <c r="JJ48" s="12"/>
      <c r="JK48" s="12"/>
      <c r="JL48" s="12"/>
      <c r="JM48" s="12"/>
      <c r="JN48" s="12"/>
      <c r="JO48" s="12"/>
      <c r="JP48" s="12"/>
      <c r="JQ48" s="12"/>
      <c r="JR48" s="12"/>
      <c r="JS48" s="12"/>
      <c r="JT48" s="12"/>
      <c r="JU48" s="12"/>
      <c r="JV48" s="12"/>
      <c r="JW48" s="12"/>
      <c r="JX48" s="12"/>
      <c r="JY48" s="12"/>
      <c r="JZ48" s="12"/>
      <c r="KA48" s="12"/>
      <c r="KB48" s="12"/>
      <c r="KC48" s="12"/>
      <c r="KD48" s="12"/>
      <c r="KE48" s="12"/>
      <c r="KF48" s="12"/>
      <c r="KG48" s="12"/>
      <c r="KH48" s="12"/>
      <c r="KI48" s="12"/>
      <c r="KJ48" s="12"/>
      <c r="KK48" s="12"/>
      <c r="KL48" s="12"/>
      <c r="KM48" s="12"/>
      <c r="KN48" s="12"/>
      <c r="KO48" s="12"/>
      <c r="KP48" s="12"/>
      <c r="KQ48" s="12"/>
      <c r="KR48" s="12"/>
      <c r="KS48" s="12"/>
      <c r="KT48" s="12"/>
      <c r="KU48" s="12"/>
      <c r="KV48" s="12"/>
      <c r="KW48" s="12"/>
      <c r="KX48" s="12"/>
      <c r="KY48" s="12"/>
      <c r="KZ48" s="12"/>
      <c r="LA48" s="12"/>
      <c r="LB48" s="12"/>
      <c r="LC48" s="12"/>
      <c r="LD48" s="12"/>
      <c r="LE48" s="12"/>
      <c r="LF48" s="12"/>
      <c r="LG48" s="12"/>
      <c r="LH48" s="12"/>
      <c r="LI48" s="12"/>
      <c r="LJ48" s="12"/>
      <c r="LK48" s="12"/>
      <c r="LL48" s="12"/>
      <c r="LM48" s="12"/>
      <c r="LN48" s="12"/>
      <c r="LO48" s="12"/>
      <c r="LP48" s="12"/>
      <c r="LQ48" s="12"/>
      <c r="LR48" s="12"/>
      <c r="LS48" s="12"/>
      <c r="LT48" s="12"/>
      <c r="LU48" s="12"/>
      <c r="LV48" s="12"/>
      <c r="LW48" s="12"/>
      <c r="LX48" s="12"/>
      <c r="LY48" s="12"/>
      <c r="LZ48" s="12"/>
      <c r="MA48" s="12"/>
      <c r="MB48" s="12"/>
      <c r="MC48" s="12"/>
      <c r="MD48" s="12"/>
      <c r="ME48" s="12"/>
      <c r="MF48" s="12"/>
      <c r="MG48" s="12"/>
      <c r="MH48" s="12"/>
      <c r="MI48" s="12"/>
      <c r="MJ48" s="12"/>
      <c r="MK48" s="12"/>
      <c r="ML48" s="12"/>
      <c r="MM48" s="12"/>
      <c r="MN48" s="12"/>
      <c r="MO48" s="12"/>
      <c r="MP48" s="12"/>
      <c r="MQ48" s="12"/>
      <c r="MR48" s="12"/>
      <c r="MS48" s="12"/>
      <c r="MT48" s="12"/>
      <c r="MU48" s="12"/>
      <c r="MV48" s="12"/>
      <c r="MW48" s="12"/>
      <c r="MX48" s="12"/>
      <c r="MY48" s="12"/>
      <c r="MZ48" s="12"/>
      <c r="NA48" s="12"/>
      <c r="NB48" s="12"/>
      <c r="NC48" s="12"/>
      <c r="ND48" s="12"/>
      <c r="NE48" s="12"/>
      <c r="NF48" s="12"/>
      <c r="NG48" s="12"/>
      <c r="NH48" s="12"/>
      <c r="NI48" s="12"/>
      <c r="NJ48" s="12"/>
      <c r="NK48" s="12"/>
      <c r="NL48" s="12"/>
      <c r="NM48" s="12"/>
      <c r="NN48" s="12"/>
      <c r="NO48" s="12"/>
      <c r="NP48" s="12"/>
      <c r="NQ48" s="12"/>
      <c r="NR48" s="12"/>
      <c r="NS48" s="12"/>
      <c r="NT48" s="12"/>
      <c r="NU48" s="12"/>
      <c r="NV48" s="12"/>
      <c r="NW48" s="12"/>
      <c r="NX48" s="12"/>
      <c r="NY48" s="12"/>
      <c r="NZ48" s="12"/>
      <c r="OA48" s="12"/>
      <c r="OB48" s="12"/>
      <c r="OC48" s="12"/>
      <c r="OD48" s="12"/>
      <c r="OE48" s="12"/>
      <c r="OF48" s="12"/>
      <c r="OG48" s="12"/>
      <c r="OH48" s="12"/>
      <c r="OI48" s="12"/>
      <c r="OJ48" s="12"/>
      <c r="OK48" s="12"/>
      <c r="OL48" s="12"/>
      <c r="OM48" s="12"/>
      <c r="ON48" s="12"/>
      <c r="OO48" s="12"/>
      <c r="OP48" s="12"/>
      <c r="OQ48" s="12"/>
      <c r="OR48" s="12"/>
      <c r="OS48" s="12"/>
      <c r="OT48" s="12"/>
      <c r="OU48" s="12"/>
      <c r="OV48" s="12"/>
      <c r="OW48" s="12"/>
      <c r="OX48" s="12"/>
      <c r="OY48" s="12"/>
      <c r="OZ48" s="12"/>
      <c r="PA48" s="12"/>
      <c r="PB48" s="12"/>
      <c r="PC48" s="12"/>
      <c r="PD48" s="12"/>
      <c r="PE48" s="12"/>
      <c r="PF48" s="12"/>
      <c r="PG48" s="12"/>
      <c r="PH48" s="12"/>
      <c r="PI48" s="12"/>
      <c r="PJ48" s="12"/>
      <c r="PK48" s="12"/>
      <c r="PL48" s="12"/>
      <c r="PM48" s="12"/>
      <c r="PN48" s="12"/>
      <c r="PO48" s="12"/>
      <c r="PP48" s="12"/>
      <c r="PQ48" s="12"/>
      <c r="PR48" s="12"/>
      <c r="PS48" s="12"/>
      <c r="PT48" s="12"/>
      <c r="PU48" s="12"/>
      <c r="PV48" s="12"/>
      <c r="PW48" s="12"/>
      <c r="PX48" s="12"/>
      <c r="PY48" s="12"/>
      <c r="PZ48" s="12"/>
      <c r="QA48" s="12"/>
      <c r="QB48" s="12"/>
      <c r="QC48" s="12"/>
      <c r="QD48" s="12"/>
      <c r="QE48" s="12"/>
      <c r="QF48" s="12"/>
      <c r="QG48" s="12"/>
      <c r="QH48" s="12"/>
      <c r="QI48" s="12"/>
      <c r="QJ48" s="12"/>
      <c r="QK48" s="12"/>
      <c r="QL48" s="12"/>
      <c r="QM48" s="12"/>
      <c r="QN48" s="12"/>
      <c r="QO48" s="12"/>
      <c r="QP48" s="12"/>
      <c r="QQ48" s="12"/>
      <c r="QR48" s="12"/>
      <c r="QS48" s="12"/>
      <c r="QT48" s="12"/>
      <c r="QU48" s="12"/>
      <c r="QV48" s="12"/>
      <c r="QW48" s="12"/>
      <c r="QX48" s="12"/>
      <c r="QY48" s="12"/>
      <c r="QZ48" s="12"/>
      <c r="RA48" s="12"/>
      <c r="RB48" s="12"/>
      <c r="RC48" s="12"/>
      <c r="RD48" s="12"/>
      <c r="RE48" s="12"/>
      <c r="RF48" s="12"/>
      <c r="RG48" s="12"/>
      <c r="RH48" s="12"/>
      <c r="RI48" s="12"/>
      <c r="RJ48" s="12"/>
      <c r="RK48" s="12"/>
      <c r="RL48" s="12"/>
      <c r="RM48" s="12"/>
      <c r="RN48" s="12"/>
      <c r="RO48" s="12"/>
      <c r="RP48" s="12"/>
      <c r="RQ48" s="12"/>
      <c r="RR48" s="12"/>
      <c r="RS48" s="12"/>
      <c r="RT48" s="12"/>
      <c r="RU48" s="12"/>
      <c r="RV48" s="12"/>
      <c r="RW48" s="12"/>
      <c r="RX48" s="12"/>
      <c r="RY48" s="12"/>
      <c r="RZ48" s="12"/>
      <c r="SA48" s="12"/>
      <c r="SB48" s="12"/>
      <c r="SC48" s="12"/>
      <c r="SD48" s="12"/>
      <c r="SE48" s="12"/>
      <c r="SF48" s="12"/>
      <c r="SG48" s="12"/>
      <c r="SH48" s="12"/>
      <c r="SI48" s="12"/>
      <c r="SJ48" s="12"/>
      <c r="SK48" s="12"/>
      <c r="SL48" s="12"/>
      <c r="SM48" s="12"/>
      <c r="SN48" s="12"/>
      <c r="SO48" s="12"/>
      <c r="SP48" s="12"/>
      <c r="SQ48" s="12"/>
      <c r="SR48" s="12"/>
      <c r="SS48" s="12"/>
      <c r="ST48" s="12"/>
      <c r="SU48" s="12"/>
      <c r="SV48" s="12"/>
      <c r="SW48" s="12"/>
      <c r="SX48" s="12"/>
      <c r="SY48" s="12"/>
      <c r="SZ48" s="12"/>
      <c r="TA48" s="12"/>
      <c r="TB48" s="12"/>
      <c r="TC48" s="12"/>
      <c r="TD48" s="12"/>
      <c r="TE48" s="12"/>
      <c r="TF48" s="12"/>
      <c r="TG48" s="12"/>
      <c r="TH48" s="12"/>
      <c r="TI48" s="12"/>
      <c r="TJ48" s="12"/>
      <c r="TK48" s="12"/>
      <c r="TL48" s="12"/>
      <c r="TM48" s="12"/>
      <c r="TN48" s="12"/>
      <c r="TO48" s="12"/>
      <c r="TP48" s="12"/>
      <c r="TQ48" s="12"/>
      <c r="TR48" s="12"/>
      <c r="TS48" s="12"/>
      <c r="TT48" s="12"/>
      <c r="TU48" s="12"/>
      <c r="TV48" s="12"/>
      <c r="TW48" s="12"/>
      <c r="TX48" s="12"/>
      <c r="TY48" s="12"/>
      <c r="TZ48" s="12"/>
      <c r="UA48" s="12"/>
      <c r="UB48" s="12"/>
      <c r="UC48" s="12"/>
      <c r="UD48" s="12"/>
      <c r="UE48" s="12"/>
      <c r="UF48" s="12"/>
      <c r="UG48" s="12"/>
      <c r="UH48" s="12"/>
      <c r="UI48" s="12"/>
      <c r="UJ48" s="12"/>
      <c r="UK48" s="12"/>
      <c r="UL48" s="12"/>
      <c r="UM48" s="12"/>
      <c r="UN48" s="12"/>
      <c r="UO48" s="12"/>
      <c r="UP48" s="12"/>
      <c r="UQ48" s="12"/>
      <c r="UR48" s="12"/>
      <c r="US48" s="12"/>
      <c r="UT48" s="12"/>
      <c r="UU48" s="12"/>
      <c r="UV48" s="12"/>
      <c r="UW48" s="12"/>
      <c r="UX48" s="12"/>
      <c r="UY48" s="12"/>
      <c r="UZ48" s="12"/>
      <c r="VA48" s="12"/>
      <c r="VB48" s="12"/>
      <c r="VC48" s="12"/>
      <c r="VD48" s="12"/>
      <c r="VE48" s="12"/>
      <c r="VF48" s="12"/>
      <c r="VG48" s="12"/>
      <c r="VH48" s="12"/>
      <c r="VI48" s="12"/>
      <c r="VJ48" s="12"/>
      <c r="VK48" s="12"/>
      <c r="VL48" s="12"/>
      <c r="VM48" s="12"/>
      <c r="VN48" s="12"/>
      <c r="VO48" s="12"/>
      <c r="VP48" s="12"/>
      <c r="VQ48" s="12"/>
      <c r="VR48" s="12"/>
      <c r="VS48" s="12"/>
      <c r="VT48" s="12"/>
      <c r="VU48" s="12"/>
      <c r="VV48" s="12"/>
      <c r="VW48" s="12"/>
      <c r="VX48" s="12"/>
      <c r="VY48" s="12"/>
      <c r="VZ48" s="12"/>
      <c r="WA48" s="12"/>
      <c r="WB48" s="12"/>
      <c r="WC48" s="12"/>
      <c r="WD48" s="12"/>
      <c r="WE48" s="12"/>
      <c r="WF48" s="12"/>
      <c r="WG48" s="12"/>
      <c r="WH48" s="12"/>
      <c r="WI48" s="12"/>
      <c r="WJ48" s="12"/>
      <c r="WK48" s="12"/>
      <c r="WL48" s="12"/>
      <c r="WM48" s="12"/>
      <c r="WN48" s="12"/>
      <c r="WO48" s="12"/>
      <c r="WP48" s="12"/>
      <c r="WQ48" s="12"/>
      <c r="WR48" s="12"/>
      <c r="WS48" s="12"/>
      <c r="WT48" s="12"/>
      <c r="WU48" s="12"/>
      <c r="WV48" s="12"/>
      <c r="WW48" s="12"/>
      <c r="WX48" s="12"/>
      <c r="WY48" s="12"/>
      <c r="WZ48" s="12"/>
      <c r="XA48" s="12"/>
      <c r="XB48" s="12"/>
      <c r="XC48" s="12"/>
      <c r="XD48" s="12"/>
      <c r="XE48" s="12"/>
      <c r="XF48" s="12"/>
      <c r="XG48" s="12"/>
      <c r="XH48" s="12"/>
      <c r="XI48" s="12"/>
      <c r="XJ48" s="12"/>
      <c r="XK48" s="12"/>
      <c r="XL48" s="12"/>
      <c r="XM48" s="12"/>
      <c r="XN48" s="12"/>
      <c r="XO48" s="12"/>
      <c r="XP48" s="12"/>
      <c r="XQ48" s="12"/>
      <c r="XR48" s="12"/>
      <c r="XS48" s="12"/>
      <c r="XT48" s="12"/>
      <c r="XU48" s="12"/>
      <c r="XV48" s="12"/>
      <c r="XW48" s="12"/>
      <c r="XX48" s="12"/>
      <c r="XY48" s="12"/>
      <c r="XZ48" s="12"/>
      <c r="YA48" s="12"/>
      <c r="YB48" s="12"/>
      <c r="YC48" s="12"/>
      <c r="YD48" s="12"/>
      <c r="YE48" s="12"/>
      <c r="YF48" s="12"/>
      <c r="YG48" s="12"/>
      <c r="YH48" s="12"/>
      <c r="YI48" s="12"/>
      <c r="YJ48" s="12"/>
      <c r="YK48" s="12"/>
      <c r="YL48" s="12"/>
      <c r="YM48" s="12"/>
      <c r="YN48" s="12"/>
      <c r="YO48" s="12"/>
      <c r="YP48" s="12"/>
      <c r="YQ48" s="12"/>
      <c r="YR48" s="12"/>
      <c r="YS48" s="12"/>
      <c r="YT48" s="12"/>
      <c r="YU48" s="12"/>
      <c r="YV48" s="12"/>
      <c r="YW48" s="12"/>
      <c r="YX48" s="12"/>
      <c r="YY48" s="12"/>
      <c r="YZ48" s="12"/>
      <c r="ZA48" s="12"/>
      <c r="ZB48" s="12"/>
      <c r="ZC48" s="12"/>
      <c r="ZD48" s="12"/>
      <c r="ZE48" s="12"/>
      <c r="ZF48" s="12"/>
      <c r="ZG48" s="12"/>
      <c r="ZH48" s="12"/>
      <c r="ZI48" s="12"/>
      <c r="ZJ48" s="12"/>
      <c r="ZK48" s="12"/>
      <c r="ZL48" s="12"/>
      <c r="ZM48" s="12"/>
      <c r="ZN48" s="12"/>
      <c r="ZO48" s="12"/>
      <c r="ZP48" s="12"/>
      <c r="ZQ48" s="12"/>
      <c r="ZR48" s="12"/>
      <c r="ZS48" s="12"/>
      <c r="ZT48" s="12"/>
      <c r="ZU48" s="12"/>
      <c r="ZV48" s="12"/>
      <c r="ZW48" s="12"/>
      <c r="ZX48" s="12"/>
      <c r="ZY48" s="12"/>
      <c r="ZZ48" s="12"/>
      <c r="AAA48" s="12"/>
      <c r="AAB48" s="12"/>
      <c r="AAC48" s="12"/>
      <c r="AAD48" s="12"/>
      <c r="AAE48" s="12"/>
      <c r="AAF48" s="12"/>
      <c r="AAG48" s="12"/>
      <c r="AAH48" s="12"/>
      <c r="AAI48" s="12"/>
      <c r="AAJ48" s="12"/>
      <c r="AAK48" s="12"/>
      <c r="AAL48" s="12"/>
      <c r="AAM48" s="12"/>
      <c r="AAN48" s="12"/>
      <c r="AAO48" s="12"/>
      <c r="AAP48" s="12"/>
      <c r="AAQ48" s="12"/>
      <c r="AAR48" s="12"/>
      <c r="AAS48" s="12"/>
      <c r="AAT48" s="12"/>
      <c r="AAU48" s="12"/>
      <c r="AAV48" s="12"/>
      <c r="AAW48" s="12"/>
      <c r="AAX48" s="12"/>
      <c r="AAY48" s="12"/>
      <c r="AAZ48" s="12"/>
      <c r="ABA48" s="12"/>
      <c r="ABB48" s="12"/>
      <c r="ABC48" s="12"/>
      <c r="ABD48" s="12"/>
      <c r="ABE48" s="12"/>
      <c r="ABF48" s="12"/>
      <c r="ABG48" s="12"/>
      <c r="ABH48" s="12"/>
      <c r="ABI48" s="12"/>
      <c r="ABJ48" s="12"/>
      <c r="ABK48" s="12"/>
      <c r="ABL48" s="12"/>
      <c r="ABM48" s="12"/>
      <c r="ABN48" s="12"/>
      <c r="ABO48" s="12"/>
      <c r="ABP48" s="12"/>
      <c r="ABQ48" s="12"/>
      <c r="ABR48" s="12"/>
      <c r="ABS48" s="12"/>
      <c r="ABT48" s="12"/>
      <c r="ABU48" s="12"/>
      <c r="ABV48" s="12"/>
      <c r="ABW48" s="12"/>
      <c r="ABX48" s="12"/>
      <c r="ABY48" s="12"/>
      <c r="ABZ48" s="12"/>
      <c r="ACA48" s="12"/>
      <c r="ACB48" s="12"/>
      <c r="ACC48" s="12"/>
      <c r="ACD48" s="12"/>
      <c r="ACE48" s="12"/>
      <c r="ACF48" s="12"/>
      <c r="ACG48" s="12"/>
      <c r="ACH48" s="12"/>
      <c r="ACI48" s="12"/>
      <c r="ACJ48" s="12"/>
      <c r="ACK48" s="12"/>
      <c r="ACL48" s="12"/>
      <c r="ACM48" s="12"/>
      <c r="ACN48" s="12"/>
      <c r="ACO48" s="12"/>
      <c r="ACP48" s="12"/>
      <c r="ACQ48" s="12"/>
      <c r="ACR48" s="12"/>
      <c r="ACS48" s="12"/>
      <c r="ACT48" s="12"/>
      <c r="ACU48" s="12"/>
      <c r="ACV48" s="12"/>
      <c r="ACW48" s="12"/>
      <c r="ACX48" s="12"/>
      <c r="ACY48" s="12"/>
      <c r="ACZ48" s="12"/>
      <c r="ADA48" s="12"/>
      <c r="ADB48" s="12"/>
      <c r="ADC48" s="12"/>
      <c r="ADD48" s="12"/>
      <c r="ADE48" s="12"/>
      <c r="ADF48" s="12"/>
      <c r="ADG48" s="12"/>
      <c r="ADH48" s="12"/>
      <c r="ADI48" s="12"/>
      <c r="ADJ48" s="12"/>
      <c r="ADK48" s="12"/>
      <c r="ADL48" s="12"/>
      <c r="ADM48" s="12"/>
      <c r="ADN48" s="12"/>
      <c r="ADO48" s="12"/>
      <c r="ADP48" s="12"/>
      <c r="ADQ48" s="12"/>
      <c r="ADR48" s="12"/>
      <c r="ADS48" s="12"/>
      <c r="ADT48" s="12"/>
      <c r="ADU48" s="12"/>
      <c r="ADV48" s="12"/>
      <c r="ADW48" s="12"/>
      <c r="ADX48" s="12"/>
      <c r="ADY48" s="12"/>
      <c r="ADZ48" s="12"/>
      <c r="AEA48" s="12"/>
      <c r="AEB48" s="12"/>
      <c r="AEC48" s="12"/>
      <c r="AED48" s="12"/>
      <c r="AEE48" s="12"/>
      <c r="AEF48" s="12"/>
      <c r="AEG48" s="12"/>
      <c r="AEH48" s="12"/>
      <c r="AEI48" s="12"/>
      <c r="AEJ48" s="12"/>
      <c r="AEK48" s="12"/>
      <c r="AEL48" s="12"/>
      <c r="AEM48" s="12"/>
      <c r="AEN48" s="12"/>
      <c r="AEO48" s="12"/>
      <c r="AEP48" s="12"/>
      <c r="AEQ48" s="12"/>
      <c r="AER48" s="12"/>
      <c r="AES48" s="12"/>
      <c r="AET48" s="12"/>
      <c r="AEU48" s="12"/>
      <c r="AEV48" s="12"/>
    </row>
    <row r="49" spans="1:828" s="27" customFormat="1" ht="18" x14ac:dyDescent="0.2">
      <c r="A49" s="61"/>
      <c r="D49" s="29"/>
      <c r="E49" s="23"/>
      <c r="F49" s="27" t="s">
        <v>75</v>
      </c>
      <c r="G49" s="29">
        <v>16</v>
      </c>
      <c r="H49" s="30"/>
      <c r="K49" s="30"/>
      <c r="L49" s="23" t="s">
        <v>48</v>
      </c>
      <c r="M49" s="29">
        <v>70</v>
      </c>
      <c r="N49" s="47">
        <f t="shared" si="1"/>
        <v>1.4824835305345279E-4</v>
      </c>
      <c r="O49" s="47">
        <f t="shared" si="2"/>
        <v>6.6537394015436671E-4</v>
      </c>
      <c r="P49" s="48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2"/>
      <c r="FJ49" s="12"/>
      <c r="FK49" s="12"/>
      <c r="FL49" s="12"/>
      <c r="FM49" s="12"/>
      <c r="FN49" s="12"/>
      <c r="FO49" s="12"/>
      <c r="FP49" s="12"/>
      <c r="FQ49" s="12"/>
      <c r="FR49" s="12"/>
      <c r="FS49" s="12"/>
      <c r="FT49" s="12"/>
      <c r="FU49" s="12"/>
      <c r="FV49" s="12"/>
      <c r="FW49" s="12"/>
      <c r="FX49" s="12"/>
      <c r="FY49" s="12"/>
      <c r="FZ49" s="12"/>
      <c r="GA49" s="12"/>
      <c r="GB49" s="12"/>
      <c r="GC49" s="12"/>
      <c r="GD49" s="12"/>
      <c r="GE49" s="12"/>
      <c r="GF49" s="12"/>
      <c r="GG49" s="12"/>
      <c r="GH49" s="12"/>
      <c r="GI49" s="12"/>
      <c r="GJ49" s="12"/>
      <c r="GK49" s="12"/>
      <c r="GL49" s="12"/>
      <c r="GM49" s="12"/>
      <c r="GN49" s="12"/>
      <c r="GO49" s="12"/>
      <c r="GP49" s="12"/>
      <c r="GQ49" s="12"/>
      <c r="GR49" s="12"/>
      <c r="GS49" s="12"/>
      <c r="GT49" s="12"/>
      <c r="GU49" s="12"/>
      <c r="GV49" s="12"/>
      <c r="GW49" s="12"/>
      <c r="GX49" s="12"/>
      <c r="GY49" s="12"/>
      <c r="GZ49" s="12"/>
      <c r="HA49" s="12"/>
      <c r="HB49" s="12"/>
      <c r="HC49" s="12"/>
      <c r="HD49" s="12"/>
      <c r="HE49" s="12"/>
      <c r="HF49" s="12"/>
      <c r="HG49" s="12"/>
      <c r="HH49" s="12"/>
      <c r="HI49" s="12"/>
      <c r="HJ49" s="12"/>
      <c r="HK49" s="12"/>
      <c r="HL49" s="12"/>
      <c r="HM49" s="12"/>
      <c r="HN49" s="12"/>
      <c r="HO49" s="12"/>
      <c r="HP49" s="12"/>
      <c r="HQ49" s="12"/>
      <c r="HR49" s="12"/>
      <c r="HS49" s="12"/>
      <c r="HT49" s="12"/>
      <c r="HU49" s="12"/>
      <c r="HV49" s="12"/>
      <c r="HW49" s="12"/>
      <c r="HX49" s="12"/>
      <c r="HY49" s="12"/>
      <c r="HZ49" s="12"/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  <c r="IL49" s="12"/>
      <c r="IM49" s="12"/>
      <c r="IN49" s="12"/>
      <c r="IO49" s="12"/>
      <c r="IP49" s="12"/>
      <c r="IQ49" s="12"/>
      <c r="IR49" s="12"/>
      <c r="IS49" s="12"/>
      <c r="IT49" s="12"/>
      <c r="IU49" s="12"/>
      <c r="IV49" s="12"/>
      <c r="IW49" s="12"/>
      <c r="IX49" s="12"/>
      <c r="IY49" s="12"/>
      <c r="IZ49" s="12"/>
      <c r="JA49" s="12"/>
      <c r="JB49" s="12"/>
      <c r="JC49" s="12"/>
      <c r="JD49" s="12"/>
      <c r="JE49" s="12"/>
      <c r="JF49" s="12"/>
      <c r="JG49" s="12"/>
      <c r="JH49" s="12"/>
      <c r="JI49" s="12"/>
      <c r="JJ49" s="12"/>
      <c r="JK49" s="12"/>
      <c r="JL49" s="12"/>
      <c r="JM49" s="12"/>
      <c r="JN49" s="12"/>
      <c r="JO49" s="12"/>
      <c r="JP49" s="12"/>
      <c r="JQ49" s="12"/>
      <c r="JR49" s="12"/>
      <c r="JS49" s="12"/>
      <c r="JT49" s="12"/>
      <c r="JU49" s="12"/>
      <c r="JV49" s="12"/>
      <c r="JW49" s="12"/>
      <c r="JX49" s="12"/>
      <c r="JY49" s="12"/>
      <c r="JZ49" s="12"/>
      <c r="KA49" s="12"/>
      <c r="KB49" s="12"/>
      <c r="KC49" s="12"/>
      <c r="KD49" s="12"/>
      <c r="KE49" s="12"/>
      <c r="KF49" s="12"/>
      <c r="KG49" s="12"/>
      <c r="KH49" s="12"/>
      <c r="KI49" s="12"/>
      <c r="KJ49" s="12"/>
      <c r="KK49" s="12"/>
      <c r="KL49" s="12"/>
      <c r="KM49" s="12"/>
      <c r="KN49" s="12"/>
      <c r="KO49" s="12"/>
      <c r="KP49" s="12"/>
      <c r="KQ49" s="12"/>
      <c r="KR49" s="12"/>
      <c r="KS49" s="12"/>
      <c r="KT49" s="12"/>
      <c r="KU49" s="12"/>
      <c r="KV49" s="12"/>
      <c r="KW49" s="12"/>
      <c r="KX49" s="12"/>
      <c r="KY49" s="12"/>
      <c r="KZ49" s="12"/>
      <c r="LA49" s="12"/>
      <c r="LB49" s="12"/>
      <c r="LC49" s="12"/>
      <c r="LD49" s="12"/>
      <c r="LE49" s="12"/>
      <c r="LF49" s="12"/>
      <c r="LG49" s="12"/>
      <c r="LH49" s="12"/>
      <c r="LI49" s="12"/>
      <c r="LJ49" s="12"/>
      <c r="LK49" s="12"/>
      <c r="LL49" s="12"/>
      <c r="LM49" s="12"/>
      <c r="LN49" s="12"/>
      <c r="LO49" s="12"/>
      <c r="LP49" s="12"/>
      <c r="LQ49" s="12"/>
      <c r="LR49" s="12"/>
      <c r="LS49" s="12"/>
      <c r="LT49" s="12"/>
      <c r="LU49" s="12"/>
      <c r="LV49" s="12"/>
      <c r="LW49" s="12"/>
      <c r="LX49" s="12"/>
      <c r="LY49" s="12"/>
      <c r="LZ49" s="12"/>
      <c r="MA49" s="12"/>
      <c r="MB49" s="12"/>
      <c r="MC49" s="12"/>
      <c r="MD49" s="12"/>
      <c r="ME49" s="12"/>
      <c r="MF49" s="12"/>
      <c r="MG49" s="12"/>
      <c r="MH49" s="12"/>
      <c r="MI49" s="12"/>
      <c r="MJ49" s="12"/>
      <c r="MK49" s="12"/>
      <c r="ML49" s="12"/>
      <c r="MM49" s="12"/>
      <c r="MN49" s="12"/>
      <c r="MO49" s="12"/>
      <c r="MP49" s="12"/>
      <c r="MQ49" s="12"/>
      <c r="MR49" s="12"/>
      <c r="MS49" s="12"/>
      <c r="MT49" s="12"/>
      <c r="MU49" s="12"/>
      <c r="MV49" s="12"/>
      <c r="MW49" s="12"/>
      <c r="MX49" s="12"/>
      <c r="MY49" s="12"/>
      <c r="MZ49" s="12"/>
      <c r="NA49" s="12"/>
      <c r="NB49" s="12"/>
      <c r="NC49" s="12"/>
      <c r="ND49" s="12"/>
      <c r="NE49" s="12"/>
      <c r="NF49" s="12"/>
      <c r="NG49" s="12"/>
      <c r="NH49" s="12"/>
      <c r="NI49" s="12"/>
      <c r="NJ49" s="12"/>
      <c r="NK49" s="12"/>
      <c r="NL49" s="12"/>
      <c r="NM49" s="12"/>
      <c r="NN49" s="12"/>
      <c r="NO49" s="12"/>
      <c r="NP49" s="12"/>
      <c r="NQ49" s="12"/>
      <c r="NR49" s="12"/>
      <c r="NS49" s="12"/>
      <c r="NT49" s="12"/>
      <c r="NU49" s="12"/>
      <c r="NV49" s="12"/>
      <c r="NW49" s="12"/>
      <c r="NX49" s="12"/>
      <c r="NY49" s="12"/>
      <c r="NZ49" s="12"/>
      <c r="OA49" s="12"/>
      <c r="OB49" s="12"/>
      <c r="OC49" s="12"/>
      <c r="OD49" s="12"/>
      <c r="OE49" s="12"/>
      <c r="OF49" s="12"/>
      <c r="OG49" s="12"/>
      <c r="OH49" s="12"/>
      <c r="OI49" s="12"/>
      <c r="OJ49" s="12"/>
      <c r="OK49" s="12"/>
      <c r="OL49" s="12"/>
      <c r="OM49" s="12"/>
      <c r="ON49" s="12"/>
      <c r="OO49" s="12"/>
      <c r="OP49" s="12"/>
      <c r="OQ49" s="12"/>
      <c r="OR49" s="12"/>
      <c r="OS49" s="12"/>
      <c r="OT49" s="12"/>
      <c r="OU49" s="12"/>
      <c r="OV49" s="12"/>
      <c r="OW49" s="12"/>
      <c r="OX49" s="12"/>
      <c r="OY49" s="12"/>
      <c r="OZ49" s="12"/>
      <c r="PA49" s="12"/>
      <c r="PB49" s="12"/>
      <c r="PC49" s="12"/>
      <c r="PD49" s="12"/>
      <c r="PE49" s="12"/>
      <c r="PF49" s="12"/>
      <c r="PG49" s="12"/>
      <c r="PH49" s="12"/>
      <c r="PI49" s="12"/>
      <c r="PJ49" s="12"/>
      <c r="PK49" s="12"/>
      <c r="PL49" s="12"/>
      <c r="PM49" s="12"/>
      <c r="PN49" s="12"/>
      <c r="PO49" s="12"/>
      <c r="PP49" s="12"/>
      <c r="PQ49" s="12"/>
      <c r="PR49" s="12"/>
      <c r="PS49" s="12"/>
      <c r="PT49" s="12"/>
      <c r="PU49" s="12"/>
      <c r="PV49" s="12"/>
      <c r="PW49" s="12"/>
      <c r="PX49" s="12"/>
      <c r="PY49" s="12"/>
      <c r="PZ49" s="12"/>
      <c r="QA49" s="12"/>
      <c r="QB49" s="12"/>
      <c r="QC49" s="12"/>
      <c r="QD49" s="12"/>
      <c r="QE49" s="12"/>
      <c r="QF49" s="12"/>
      <c r="QG49" s="12"/>
      <c r="QH49" s="12"/>
      <c r="QI49" s="12"/>
      <c r="QJ49" s="12"/>
      <c r="QK49" s="12"/>
      <c r="QL49" s="12"/>
      <c r="QM49" s="12"/>
      <c r="QN49" s="12"/>
      <c r="QO49" s="12"/>
      <c r="QP49" s="12"/>
      <c r="QQ49" s="12"/>
      <c r="QR49" s="12"/>
      <c r="QS49" s="12"/>
      <c r="QT49" s="12"/>
      <c r="QU49" s="12"/>
      <c r="QV49" s="12"/>
      <c r="QW49" s="12"/>
      <c r="QX49" s="12"/>
      <c r="QY49" s="12"/>
      <c r="QZ49" s="12"/>
      <c r="RA49" s="12"/>
      <c r="RB49" s="12"/>
      <c r="RC49" s="12"/>
      <c r="RD49" s="12"/>
      <c r="RE49" s="12"/>
      <c r="RF49" s="12"/>
      <c r="RG49" s="12"/>
      <c r="RH49" s="12"/>
      <c r="RI49" s="12"/>
      <c r="RJ49" s="12"/>
      <c r="RK49" s="12"/>
      <c r="RL49" s="12"/>
      <c r="RM49" s="12"/>
      <c r="RN49" s="12"/>
      <c r="RO49" s="12"/>
      <c r="RP49" s="12"/>
      <c r="RQ49" s="12"/>
      <c r="RR49" s="12"/>
      <c r="RS49" s="12"/>
      <c r="RT49" s="12"/>
      <c r="RU49" s="12"/>
      <c r="RV49" s="12"/>
      <c r="RW49" s="12"/>
      <c r="RX49" s="12"/>
      <c r="RY49" s="12"/>
      <c r="RZ49" s="12"/>
      <c r="SA49" s="12"/>
      <c r="SB49" s="12"/>
      <c r="SC49" s="12"/>
      <c r="SD49" s="12"/>
      <c r="SE49" s="12"/>
      <c r="SF49" s="12"/>
      <c r="SG49" s="12"/>
      <c r="SH49" s="12"/>
      <c r="SI49" s="12"/>
      <c r="SJ49" s="12"/>
      <c r="SK49" s="12"/>
      <c r="SL49" s="12"/>
      <c r="SM49" s="12"/>
      <c r="SN49" s="12"/>
      <c r="SO49" s="12"/>
      <c r="SP49" s="12"/>
      <c r="SQ49" s="12"/>
      <c r="SR49" s="12"/>
      <c r="SS49" s="12"/>
      <c r="ST49" s="12"/>
      <c r="SU49" s="12"/>
      <c r="SV49" s="12"/>
      <c r="SW49" s="12"/>
      <c r="SX49" s="12"/>
      <c r="SY49" s="12"/>
      <c r="SZ49" s="12"/>
      <c r="TA49" s="12"/>
      <c r="TB49" s="12"/>
      <c r="TC49" s="12"/>
      <c r="TD49" s="12"/>
      <c r="TE49" s="12"/>
      <c r="TF49" s="12"/>
      <c r="TG49" s="12"/>
      <c r="TH49" s="12"/>
      <c r="TI49" s="12"/>
      <c r="TJ49" s="12"/>
      <c r="TK49" s="12"/>
      <c r="TL49" s="12"/>
      <c r="TM49" s="12"/>
      <c r="TN49" s="12"/>
      <c r="TO49" s="12"/>
      <c r="TP49" s="12"/>
      <c r="TQ49" s="12"/>
      <c r="TR49" s="12"/>
      <c r="TS49" s="12"/>
      <c r="TT49" s="12"/>
      <c r="TU49" s="12"/>
      <c r="TV49" s="12"/>
      <c r="TW49" s="12"/>
      <c r="TX49" s="12"/>
      <c r="TY49" s="12"/>
      <c r="TZ49" s="12"/>
      <c r="UA49" s="12"/>
      <c r="UB49" s="12"/>
      <c r="UC49" s="12"/>
      <c r="UD49" s="12"/>
      <c r="UE49" s="12"/>
      <c r="UF49" s="12"/>
      <c r="UG49" s="12"/>
      <c r="UH49" s="12"/>
      <c r="UI49" s="12"/>
      <c r="UJ49" s="12"/>
      <c r="UK49" s="12"/>
      <c r="UL49" s="12"/>
      <c r="UM49" s="12"/>
      <c r="UN49" s="12"/>
      <c r="UO49" s="12"/>
      <c r="UP49" s="12"/>
      <c r="UQ49" s="12"/>
      <c r="UR49" s="12"/>
      <c r="US49" s="12"/>
      <c r="UT49" s="12"/>
      <c r="UU49" s="12"/>
      <c r="UV49" s="12"/>
      <c r="UW49" s="12"/>
      <c r="UX49" s="12"/>
      <c r="UY49" s="12"/>
      <c r="UZ49" s="12"/>
      <c r="VA49" s="12"/>
      <c r="VB49" s="12"/>
      <c r="VC49" s="12"/>
      <c r="VD49" s="12"/>
      <c r="VE49" s="12"/>
      <c r="VF49" s="12"/>
      <c r="VG49" s="12"/>
      <c r="VH49" s="12"/>
      <c r="VI49" s="12"/>
      <c r="VJ49" s="12"/>
      <c r="VK49" s="12"/>
      <c r="VL49" s="12"/>
      <c r="VM49" s="12"/>
      <c r="VN49" s="12"/>
      <c r="VO49" s="12"/>
      <c r="VP49" s="12"/>
      <c r="VQ49" s="12"/>
      <c r="VR49" s="12"/>
      <c r="VS49" s="12"/>
      <c r="VT49" s="12"/>
      <c r="VU49" s="12"/>
      <c r="VV49" s="12"/>
      <c r="VW49" s="12"/>
      <c r="VX49" s="12"/>
      <c r="VY49" s="12"/>
      <c r="VZ49" s="12"/>
      <c r="WA49" s="12"/>
      <c r="WB49" s="12"/>
      <c r="WC49" s="12"/>
      <c r="WD49" s="12"/>
      <c r="WE49" s="12"/>
      <c r="WF49" s="12"/>
      <c r="WG49" s="12"/>
      <c r="WH49" s="12"/>
      <c r="WI49" s="12"/>
      <c r="WJ49" s="12"/>
      <c r="WK49" s="12"/>
      <c r="WL49" s="12"/>
      <c r="WM49" s="12"/>
      <c r="WN49" s="12"/>
      <c r="WO49" s="12"/>
      <c r="WP49" s="12"/>
      <c r="WQ49" s="12"/>
      <c r="WR49" s="12"/>
      <c r="WS49" s="12"/>
      <c r="WT49" s="12"/>
      <c r="WU49" s="12"/>
      <c r="WV49" s="12"/>
      <c r="WW49" s="12"/>
      <c r="WX49" s="12"/>
      <c r="WY49" s="12"/>
      <c r="WZ49" s="12"/>
      <c r="XA49" s="12"/>
      <c r="XB49" s="12"/>
      <c r="XC49" s="12"/>
      <c r="XD49" s="12"/>
      <c r="XE49" s="12"/>
      <c r="XF49" s="12"/>
      <c r="XG49" s="12"/>
      <c r="XH49" s="12"/>
      <c r="XI49" s="12"/>
      <c r="XJ49" s="12"/>
      <c r="XK49" s="12"/>
      <c r="XL49" s="12"/>
      <c r="XM49" s="12"/>
      <c r="XN49" s="12"/>
      <c r="XO49" s="12"/>
      <c r="XP49" s="12"/>
      <c r="XQ49" s="12"/>
      <c r="XR49" s="12"/>
      <c r="XS49" s="12"/>
      <c r="XT49" s="12"/>
      <c r="XU49" s="12"/>
      <c r="XV49" s="12"/>
      <c r="XW49" s="12"/>
      <c r="XX49" s="12"/>
      <c r="XY49" s="12"/>
      <c r="XZ49" s="12"/>
      <c r="YA49" s="12"/>
      <c r="YB49" s="12"/>
      <c r="YC49" s="12"/>
      <c r="YD49" s="12"/>
      <c r="YE49" s="12"/>
      <c r="YF49" s="12"/>
      <c r="YG49" s="12"/>
      <c r="YH49" s="12"/>
      <c r="YI49" s="12"/>
      <c r="YJ49" s="12"/>
      <c r="YK49" s="12"/>
      <c r="YL49" s="12"/>
      <c r="YM49" s="12"/>
      <c r="YN49" s="12"/>
      <c r="YO49" s="12"/>
      <c r="YP49" s="12"/>
      <c r="YQ49" s="12"/>
      <c r="YR49" s="12"/>
      <c r="YS49" s="12"/>
      <c r="YT49" s="12"/>
      <c r="YU49" s="12"/>
      <c r="YV49" s="12"/>
      <c r="YW49" s="12"/>
      <c r="YX49" s="12"/>
      <c r="YY49" s="12"/>
      <c r="YZ49" s="12"/>
      <c r="ZA49" s="12"/>
      <c r="ZB49" s="12"/>
      <c r="ZC49" s="12"/>
      <c r="ZD49" s="12"/>
      <c r="ZE49" s="12"/>
      <c r="ZF49" s="12"/>
      <c r="ZG49" s="12"/>
      <c r="ZH49" s="12"/>
      <c r="ZI49" s="12"/>
      <c r="ZJ49" s="12"/>
      <c r="ZK49" s="12"/>
      <c r="ZL49" s="12"/>
      <c r="ZM49" s="12"/>
      <c r="ZN49" s="12"/>
      <c r="ZO49" s="12"/>
      <c r="ZP49" s="12"/>
      <c r="ZQ49" s="12"/>
      <c r="ZR49" s="12"/>
      <c r="ZS49" s="12"/>
      <c r="ZT49" s="12"/>
      <c r="ZU49" s="12"/>
      <c r="ZV49" s="12"/>
      <c r="ZW49" s="12"/>
      <c r="ZX49" s="12"/>
      <c r="ZY49" s="12"/>
      <c r="ZZ49" s="12"/>
      <c r="AAA49" s="12"/>
      <c r="AAB49" s="12"/>
      <c r="AAC49" s="12"/>
      <c r="AAD49" s="12"/>
      <c r="AAE49" s="12"/>
      <c r="AAF49" s="12"/>
      <c r="AAG49" s="12"/>
      <c r="AAH49" s="12"/>
      <c r="AAI49" s="12"/>
      <c r="AAJ49" s="12"/>
      <c r="AAK49" s="12"/>
      <c r="AAL49" s="12"/>
      <c r="AAM49" s="12"/>
      <c r="AAN49" s="12"/>
      <c r="AAO49" s="12"/>
      <c r="AAP49" s="12"/>
      <c r="AAQ49" s="12"/>
      <c r="AAR49" s="12"/>
      <c r="AAS49" s="12"/>
      <c r="AAT49" s="12"/>
      <c r="AAU49" s="12"/>
      <c r="AAV49" s="12"/>
      <c r="AAW49" s="12"/>
      <c r="AAX49" s="12"/>
      <c r="AAY49" s="12"/>
      <c r="AAZ49" s="12"/>
      <c r="ABA49" s="12"/>
      <c r="ABB49" s="12"/>
      <c r="ABC49" s="12"/>
      <c r="ABD49" s="12"/>
      <c r="ABE49" s="12"/>
      <c r="ABF49" s="12"/>
      <c r="ABG49" s="12"/>
      <c r="ABH49" s="12"/>
      <c r="ABI49" s="12"/>
      <c r="ABJ49" s="12"/>
      <c r="ABK49" s="12"/>
      <c r="ABL49" s="12"/>
      <c r="ABM49" s="12"/>
      <c r="ABN49" s="12"/>
      <c r="ABO49" s="12"/>
      <c r="ABP49" s="12"/>
      <c r="ABQ49" s="12"/>
      <c r="ABR49" s="12"/>
      <c r="ABS49" s="12"/>
      <c r="ABT49" s="12"/>
      <c r="ABU49" s="12"/>
      <c r="ABV49" s="12"/>
      <c r="ABW49" s="12"/>
      <c r="ABX49" s="12"/>
      <c r="ABY49" s="12"/>
      <c r="ABZ49" s="12"/>
      <c r="ACA49" s="12"/>
      <c r="ACB49" s="12"/>
      <c r="ACC49" s="12"/>
      <c r="ACD49" s="12"/>
      <c r="ACE49" s="12"/>
      <c r="ACF49" s="12"/>
      <c r="ACG49" s="12"/>
      <c r="ACH49" s="12"/>
      <c r="ACI49" s="12"/>
      <c r="ACJ49" s="12"/>
      <c r="ACK49" s="12"/>
      <c r="ACL49" s="12"/>
      <c r="ACM49" s="12"/>
      <c r="ACN49" s="12"/>
      <c r="ACO49" s="12"/>
      <c r="ACP49" s="12"/>
      <c r="ACQ49" s="12"/>
      <c r="ACR49" s="12"/>
      <c r="ACS49" s="12"/>
      <c r="ACT49" s="12"/>
      <c r="ACU49" s="12"/>
      <c r="ACV49" s="12"/>
      <c r="ACW49" s="12"/>
      <c r="ACX49" s="12"/>
      <c r="ACY49" s="12"/>
      <c r="ACZ49" s="12"/>
      <c r="ADA49" s="12"/>
      <c r="ADB49" s="12"/>
      <c r="ADC49" s="12"/>
      <c r="ADD49" s="12"/>
      <c r="ADE49" s="12"/>
      <c r="ADF49" s="12"/>
      <c r="ADG49" s="12"/>
      <c r="ADH49" s="12"/>
      <c r="ADI49" s="12"/>
      <c r="ADJ49" s="12"/>
      <c r="ADK49" s="12"/>
      <c r="ADL49" s="12"/>
      <c r="ADM49" s="12"/>
      <c r="ADN49" s="12"/>
      <c r="ADO49" s="12"/>
      <c r="ADP49" s="12"/>
      <c r="ADQ49" s="12"/>
      <c r="ADR49" s="12"/>
      <c r="ADS49" s="12"/>
      <c r="ADT49" s="12"/>
      <c r="ADU49" s="12"/>
      <c r="ADV49" s="12"/>
      <c r="ADW49" s="12"/>
      <c r="ADX49" s="12"/>
      <c r="ADY49" s="12"/>
      <c r="ADZ49" s="12"/>
      <c r="AEA49" s="12"/>
      <c r="AEB49" s="12"/>
      <c r="AEC49" s="12"/>
      <c r="AED49" s="12"/>
      <c r="AEE49" s="12"/>
      <c r="AEF49" s="12"/>
      <c r="AEG49" s="12"/>
      <c r="AEH49" s="12"/>
      <c r="AEI49" s="12"/>
      <c r="AEJ49" s="12"/>
      <c r="AEK49" s="12"/>
      <c r="AEL49" s="12"/>
      <c r="AEM49" s="12"/>
      <c r="AEN49" s="12"/>
      <c r="AEO49" s="12"/>
      <c r="AEP49" s="12"/>
      <c r="AEQ49" s="12"/>
      <c r="AER49" s="12"/>
      <c r="AES49" s="12"/>
      <c r="AET49" s="12"/>
      <c r="AEU49" s="12"/>
      <c r="AEV49" s="12"/>
    </row>
    <row r="50" spans="1:828" s="27" customFormat="1" ht="18" x14ac:dyDescent="0.2">
      <c r="A50" s="61"/>
      <c r="D50" s="29"/>
      <c r="E50" s="23"/>
      <c r="F50" s="23"/>
      <c r="G50" s="23"/>
      <c r="H50" s="30"/>
      <c r="K50" s="30"/>
      <c r="L50" s="23"/>
      <c r="M50" s="29"/>
      <c r="N50" s="47"/>
      <c r="O50" s="47"/>
      <c r="P50" s="48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2"/>
      <c r="FJ50" s="12"/>
      <c r="FK50" s="12"/>
      <c r="FL50" s="12"/>
      <c r="FM50" s="12"/>
      <c r="FN50" s="12"/>
      <c r="FO50" s="12"/>
      <c r="FP50" s="12"/>
      <c r="FQ50" s="12"/>
      <c r="FR50" s="12"/>
      <c r="FS50" s="12"/>
      <c r="FT50" s="12"/>
      <c r="FU50" s="12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2"/>
      <c r="GG50" s="12"/>
      <c r="GH50" s="12"/>
      <c r="GI50" s="12"/>
      <c r="GJ50" s="12"/>
      <c r="GK50" s="12"/>
      <c r="GL50" s="12"/>
      <c r="GM50" s="12"/>
      <c r="GN50" s="12"/>
      <c r="GO50" s="12"/>
      <c r="GP50" s="12"/>
      <c r="GQ50" s="12"/>
      <c r="GR50" s="12"/>
      <c r="GS50" s="12"/>
      <c r="GT50" s="12"/>
      <c r="GU50" s="12"/>
      <c r="GV50" s="12"/>
      <c r="GW50" s="12"/>
      <c r="GX50" s="12"/>
      <c r="GY50" s="12"/>
      <c r="GZ50" s="12"/>
      <c r="HA50" s="12"/>
      <c r="HB50" s="12"/>
      <c r="HC50" s="12"/>
      <c r="HD50" s="12"/>
      <c r="HE50" s="12"/>
      <c r="HF50" s="12"/>
      <c r="HG50" s="12"/>
      <c r="HH50" s="12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2"/>
      <c r="HT50" s="12"/>
      <c r="HU50" s="12"/>
      <c r="HV50" s="12"/>
      <c r="HW50" s="12"/>
      <c r="HX50" s="12"/>
      <c r="HY50" s="12"/>
      <c r="HZ50" s="12"/>
      <c r="IA50" s="12"/>
      <c r="IB50" s="12"/>
      <c r="IC50" s="12"/>
      <c r="ID50" s="12"/>
      <c r="IE50" s="12"/>
      <c r="IF50" s="12"/>
      <c r="IG50" s="12"/>
      <c r="IH50" s="12"/>
      <c r="II50" s="12"/>
      <c r="IJ50" s="12"/>
      <c r="IK50" s="12"/>
      <c r="IL50" s="12"/>
      <c r="IM50" s="12"/>
      <c r="IN50" s="12"/>
      <c r="IO50" s="12"/>
      <c r="IP50" s="12"/>
      <c r="IQ50" s="12"/>
      <c r="IR50" s="12"/>
      <c r="IS50" s="12"/>
      <c r="IT50" s="12"/>
      <c r="IU50" s="12"/>
      <c r="IV50" s="12"/>
      <c r="IW50" s="12"/>
      <c r="IX50" s="12"/>
      <c r="IY50" s="12"/>
      <c r="IZ50" s="12"/>
      <c r="JA50" s="12"/>
      <c r="JB50" s="12"/>
      <c r="JC50" s="12"/>
      <c r="JD50" s="12"/>
      <c r="JE50" s="12"/>
      <c r="JF50" s="12"/>
      <c r="JG50" s="12"/>
      <c r="JH50" s="12"/>
      <c r="JI50" s="12"/>
      <c r="JJ50" s="12"/>
      <c r="JK50" s="12"/>
      <c r="JL50" s="12"/>
      <c r="JM50" s="12"/>
      <c r="JN50" s="12"/>
      <c r="JO50" s="12"/>
      <c r="JP50" s="12"/>
      <c r="JQ50" s="12"/>
      <c r="JR50" s="12"/>
      <c r="JS50" s="12"/>
      <c r="JT50" s="12"/>
      <c r="JU50" s="12"/>
      <c r="JV50" s="12"/>
      <c r="JW50" s="12"/>
      <c r="JX50" s="12"/>
      <c r="JY50" s="12"/>
      <c r="JZ50" s="12"/>
      <c r="KA50" s="12"/>
      <c r="KB50" s="12"/>
      <c r="KC50" s="12"/>
      <c r="KD50" s="12"/>
      <c r="KE50" s="12"/>
      <c r="KF50" s="12"/>
      <c r="KG50" s="12"/>
      <c r="KH50" s="12"/>
      <c r="KI50" s="12"/>
      <c r="KJ50" s="12"/>
      <c r="KK50" s="12"/>
      <c r="KL50" s="12"/>
      <c r="KM50" s="12"/>
      <c r="KN50" s="12"/>
      <c r="KO50" s="12"/>
      <c r="KP50" s="12"/>
      <c r="KQ50" s="12"/>
      <c r="KR50" s="12"/>
      <c r="KS50" s="12"/>
      <c r="KT50" s="12"/>
      <c r="KU50" s="12"/>
      <c r="KV50" s="12"/>
      <c r="KW50" s="12"/>
      <c r="KX50" s="12"/>
      <c r="KY50" s="12"/>
      <c r="KZ50" s="12"/>
      <c r="LA50" s="12"/>
      <c r="LB50" s="12"/>
      <c r="LC50" s="12"/>
      <c r="LD50" s="12"/>
      <c r="LE50" s="12"/>
      <c r="LF50" s="12"/>
      <c r="LG50" s="12"/>
      <c r="LH50" s="12"/>
      <c r="LI50" s="12"/>
      <c r="LJ50" s="12"/>
      <c r="LK50" s="12"/>
      <c r="LL50" s="12"/>
      <c r="LM50" s="12"/>
      <c r="LN50" s="12"/>
      <c r="LO50" s="12"/>
      <c r="LP50" s="12"/>
      <c r="LQ50" s="12"/>
      <c r="LR50" s="12"/>
      <c r="LS50" s="12"/>
      <c r="LT50" s="12"/>
      <c r="LU50" s="12"/>
      <c r="LV50" s="12"/>
      <c r="LW50" s="12"/>
      <c r="LX50" s="12"/>
      <c r="LY50" s="12"/>
      <c r="LZ50" s="12"/>
      <c r="MA50" s="12"/>
      <c r="MB50" s="12"/>
      <c r="MC50" s="12"/>
      <c r="MD50" s="12"/>
      <c r="ME50" s="12"/>
      <c r="MF50" s="12"/>
      <c r="MG50" s="12"/>
      <c r="MH50" s="12"/>
      <c r="MI50" s="12"/>
      <c r="MJ50" s="12"/>
      <c r="MK50" s="12"/>
      <c r="ML50" s="12"/>
      <c r="MM50" s="12"/>
      <c r="MN50" s="12"/>
      <c r="MO50" s="12"/>
      <c r="MP50" s="12"/>
      <c r="MQ50" s="12"/>
      <c r="MR50" s="12"/>
      <c r="MS50" s="12"/>
      <c r="MT50" s="12"/>
      <c r="MU50" s="12"/>
      <c r="MV50" s="12"/>
      <c r="MW50" s="12"/>
      <c r="MX50" s="12"/>
      <c r="MY50" s="12"/>
      <c r="MZ50" s="12"/>
      <c r="NA50" s="12"/>
      <c r="NB50" s="12"/>
      <c r="NC50" s="12"/>
      <c r="ND50" s="12"/>
      <c r="NE50" s="12"/>
      <c r="NF50" s="12"/>
      <c r="NG50" s="12"/>
      <c r="NH50" s="12"/>
      <c r="NI50" s="12"/>
      <c r="NJ50" s="12"/>
      <c r="NK50" s="12"/>
      <c r="NL50" s="12"/>
      <c r="NM50" s="12"/>
      <c r="NN50" s="12"/>
      <c r="NO50" s="12"/>
      <c r="NP50" s="12"/>
      <c r="NQ50" s="12"/>
      <c r="NR50" s="12"/>
      <c r="NS50" s="12"/>
      <c r="NT50" s="12"/>
      <c r="NU50" s="12"/>
      <c r="NV50" s="12"/>
      <c r="NW50" s="12"/>
      <c r="NX50" s="12"/>
      <c r="NY50" s="12"/>
      <c r="NZ50" s="12"/>
      <c r="OA50" s="12"/>
      <c r="OB50" s="12"/>
      <c r="OC50" s="12"/>
      <c r="OD50" s="12"/>
      <c r="OE50" s="12"/>
      <c r="OF50" s="12"/>
      <c r="OG50" s="12"/>
      <c r="OH50" s="12"/>
      <c r="OI50" s="12"/>
      <c r="OJ50" s="12"/>
      <c r="OK50" s="12"/>
      <c r="OL50" s="12"/>
      <c r="OM50" s="12"/>
      <c r="ON50" s="12"/>
      <c r="OO50" s="12"/>
      <c r="OP50" s="12"/>
      <c r="OQ50" s="12"/>
      <c r="OR50" s="12"/>
      <c r="OS50" s="12"/>
      <c r="OT50" s="12"/>
      <c r="OU50" s="12"/>
      <c r="OV50" s="12"/>
      <c r="OW50" s="12"/>
      <c r="OX50" s="12"/>
      <c r="OY50" s="12"/>
      <c r="OZ50" s="12"/>
      <c r="PA50" s="12"/>
      <c r="PB50" s="12"/>
      <c r="PC50" s="12"/>
      <c r="PD50" s="12"/>
      <c r="PE50" s="12"/>
      <c r="PF50" s="12"/>
      <c r="PG50" s="12"/>
      <c r="PH50" s="12"/>
      <c r="PI50" s="12"/>
      <c r="PJ50" s="12"/>
      <c r="PK50" s="12"/>
      <c r="PL50" s="12"/>
      <c r="PM50" s="12"/>
      <c r="PN50" s="12"/>
      <c r="PO50" s="12"/>
      <c r="PP50" s="12"/>
      <c r="PQ50" s="12"/>
      <c r="PR50" s="12"/>
      <c r="PS50" s="12"/>
      <c r="PT50" s="12"/>
      <c r="PU50" s="12"/>
      <c r="PV50" s="12"/>
      <c r="PW50" s="12"/>
      <c r="PX50" s="12"/>
      <c r="PY50" s="12"/>
      <c r="PZ50" s="12"/>
      <c r="QA50" s="12"/>
      <c r="QB50" s="12"/>
      <c r="QC50" s="12"/>
      <c r="QD50" s="12"/>
      <c r="QE50" s="12"/>
      <c r="QF50" s="12"/>
      <c r="QG50" s="12"/>
      <c r="QH50" s="12"/>
      <c r="QI50" s="12"/>
      <c r="QJ50" s="12"/>
      <c r="QK50" s="12"/>
      <c r="QL50" s="12"/>
      <c r="QM50" s="12"/>
      <c r="QN50" s="12"/>
      <c r="QO50" s="12"/>
      <c r="QP50" s="12"/>
      <c r="QQ50" s="12"/>
      <c r="QR50" s="12"/>
      <c r="QS50" s="12"/>
      <c r="QT50" s="12"/>
      <c r="QU50" s="12"/>
      <c r="QV50" s="12"/>
      <c r="QW50" s="12"/>
      <c r="QX50" s="12"/>
      <c r="QY50" s="12"/>
      <c r="QZ50" s="12"/>
      <c r="RA50" s="12"/>
      <c r="RB50" s="12"/>
      <c r="RC50" s="12"/>
      <c r="RD50" s="12"/>
      <c r="RE50" s="12"/>
      <c r="RF50" s="12"/>
      <c r="RG50" s="12"/>
      <c r="RH50" s="12"/>
      <c r="RI50" s="12"/>
      <c r="RJ50" s="12"/>
      <c r="RK50" s="12"/>
      <c r="RL50" s="12"/>
      <c r="RM50" s="12"/>
      <c r="RN50" s="12"/>
      <c r="RO50" s="12"/>
      <c r="RP50" s="12"/>
      <c r="RQ50" s="12"/>
      <c r="RR50" s="12"/>
      <c r="RS50" s="12"/>
      <c r="RT50" s="12"/>
      <c r="RU50" s="12"/>
      <c r="RV50" s="12"/>
      <c r="RW50" s="12"/>
      <c r="RX50" s="12"/>
      <c r="RY50" s="12"/>
      <c r="RZ50" s="12"/>
      <c r="SA50" s="12"/>
      <c r="SB50" s="12"/>
      <c r="SC50" s="12"/>
      <c r="SD50" s="12"/>
      <c r="SE50" s="12"/>
      <c r="SF50" s="12"/>
      <c r="SG50" s="12"/>
      <c r="SH50" s="12"/>
      <c r="SI50" s="12"/>
      <c r="SJ50" s="12"/>
      <c r="SK50" s="12"/>
      <c r="SL50" s="12"/>
      <c r="SM50" s="12"/>
      <c r="SN50" s="12"/>
      <c r="SO50" s="12"/>
      <c r="SP50" s="12"/>
      <c r="SQ50" s="12"/>
      <c r="SR50" s="12"/>
      <c r="SS50" s="12"/>
      <c r="ST50" s="12"/>
      <c r="SU50" s="12"/>
      <c r="SV50" s="12"/>
      <c r="SW50" s="12"/>
      <c r="SX50" s="12"/>
      <c r="SY50" s="12"/>
      <c r="SZ50" s="12"/>
      <c r="TA50" s="12"/>
      <c r="TB50" s="12"/>
      <c r="TC50" s="12"/>
      <c r="TD50" s="12"/>
      <c r="TE50" s="12"/>
      <c r="TF50" s="12"/>
      <c r="TG50" s="12"/>
      <c r="TH50" s="12"/>
      <c r="TI50" s="12"/>
      <c r="TJ50" s="12"/>
      <c r="TK50" s="12"/>
      <c r="TL50" s="12"/>
      <c r="TM50" s="12"/>
      <c r="TN50" s="12"/>
      <c r="TO50" s="12"/>
      <c r="TP50" s="12"/>
      <c r="TQ50" s="12"/>
      <c r="TR50" s="12"/>
      <c r="TS50" s="12"/>
      <c r="TT50" s="12"/>
      <c r="TU50" s="12"/>
      <c r="TV50" s="12"/>
      <c r="TW50" s="12"/>
      <c r="TX50" s="12"/>
      <c r="TY50" s="12"/>
      <c r="TZ50" s="12"/>
      <c r="UA50" s="12"/>
      <c r="UB50" s="12"/>
      <c r="UC50" s="12"/>
      <c r="UD50" s="12"/>
      <c r="UE50" s="12"/>
      <c r="UF50" s="12"/>
      <c r="UG50" s="12"/>
      <c r="UH50" s="12"/>
      <c r="UI50" s="12"/>
      <c r="UJ50" s="12"/>
      <c r="UK50" s="12"/>
      <c r="UL50" s="12"/>
      <c r="UM50" s="12"/>
      <c r="UN50" s="12"/>
      <c r="UO50" s="12"/>
      <c r="UP50" s="12"/>
      <c r="UQ50" s="12"/>
      <c r="UR50" s="12"/>
      <c r="US50" s="12"/>
      <c r="UT50" s="12"/>
      <c r="UU50" s="12"/>
      <c r="UV50" s="12"/>
      <c r="UW50" s="12"/>
      <c r="UX50" s="12"/>
      <c r="UY50" s="12"/>
      <c r="UZ50" s="12"/>
      <c r="VA50" s="12"/>
      <c r="VB50" s="12"/>
      <c r="VC50" s="12"/>
      <c r="VD50" s="12"/>
      <c r="VE50" s="12"/>
      <c r="VF50" s="12"/>
      <c r="VG50" s="12"/>
      <c r="VH50" s="12"/>
      <c r="VI50" s="12"/>
      <c r="VJ50" s="12"/>
      <c r="VK50" s="12"/>
      <c r="VL50" s="12"/>
      <c r="VM50" s="12"/>
      <c r="VN50" s="12"/>
      <c r="VO50" s="12"/>
      <c r="VP50" s="12"/>
      <c r="VQ50" s="12"/>
      <c r="VR50" s="12"/>
      <c r="VS50" s="12"/>
      <c r="VT50" s="12"/>
      <c r="VU50" s="12"/>
      <c r="VV50" s="12"/>
      <c r="VW50" s="12"/>
      <c r="VX50" s="12"/>
      <c r="VY50" s="12"/>
      <c r="VZ50" s="12"/>
      <c r="WA50" s="12"/>
      <c r="WB50" s="12"/>
      <c r="WC50" s="12"/>
      <c r="WD50" s="12"/>
      <c r="WE50" s="12"/>
      <c r="WF50" s="12"/>
      <c r="WG50" s="12"/>
      <c r="WH50" s="12"/>
      <c r="WI50" s="12"/>
      <c r="WJ50" s="12"/>
      <c r="WK50" s="12"/>
      <c r="WL50" s="12"/>
      <c r="WM50" s="12"/>
      <c r="WN50" s="12"/>
      <c r="WO50" s="12"/>
      <c r="WP50" s="12"/>
      <c r="WQ50" s="12"/>
      <c r="WR50" s="12"/>
      <c r="WS50" s="12"/>
      <c r="WT50" s="12"/>
      <c r="WU50" s="12"/>
      <c r="WV50" s="12"/>
      <c r="WW50" s="12"/>
      <c r="WX50" s="12"/>
      <c r="WY50" s="12"/>
      <c r="WZ50" s="12"/>
      <c r="XA50" s="12"/>
      <c r="XB50" s="12"/>
      <c r="XC50" s="12"/>
      <c r="XD50" s="12"/>
      <c r="XE50" s="12"/>
      <c r="XF50" s="12"/>
      <c r="XG50" s="12"/>
      <c r="XH50" s="12"/>
      <c r="XI50" s="12"/>
      <c r="XJ50" s="12"/>
      <c r="XK50" s="12"/>
      <c r="XL50" s="12"/>
      <c r="XM50" s="12"/>
      <c r="XN50" s="12"/>
      <c r="XO50" s="12"/>
      <c r="XP50" s="12"/>
      <c r="XQ50" s="12"/>
      <c r="XR50" s="12"/>
      <c r="XS50" s="12"/>
      <c r="XT50" s="12"/>
      <c r="XU50" s="12"/>
      <c r="XV50" s="12"/>
      <c r="XW50" s="12"/>
      <c r="XX50" s="12"/>
      <c r="XY50" s="12"/>
      <c r="XZ50" s="12"/>
      <c r="YA50" s="12"/>
      <c r="YB50" s="12"/>
      <c r="YC50" s="12"/>
      <c r="YD50" s="12"/>
      <c r="YE50" s="12"/>
      <c r="YF50" s="12"/>
      <c r="YG50" s="12"/>
      <c r="YH50" s="12"/>
      <c r="YI50" s="12"/>
      <c r="YJ50" s="12"/>
      <c r="YK50" s="12"/>
      <c r="YL50" s="12"/>
      <c r="YM50" s="12"/>
      <c r="YN50" s="12"/>
      <c r="YO50" s="12"/>
      <c r="YP50" s="12"/>
      <c r="YQ50" s="12"/>
      <c r="YR50" s="12"/>
      <c r="YS50" s="12"/>
      <c r="YT50" s="12"/>
      <c r="YU50" s="12"/>
      <c r="YV50" s="12"/>
      <c r="YW50" s="12"/>
      <c r="YX50" s="12"/>
      <c r="YY50" s="12"/>
      <c r="YZ50" s="12"/>
      <c r="ZA50" s="12"/>
      <c r="ZB50" s="12"/>
      <c r="ZC50" s="12"/>
      <c r="ZD50" s="12"/>
      <c r="ZE50" s="12"/>
      <c r="ZF50" s="12"/>
      <c r="ZG50" s="12"/>
      <c r="ZH50" s="12"/>
      <c r="ZI50" s="12"/>
      <c r="ZJ50" s="12"/>
      <c r="ZK50" s="12"/>
      <c r="ZL50" s="12"/>
      <c r="ZM50" s="12"/>
      <c r="ZN50" s="12"/>
      <c r="ZO50" s="12"/>
      <c r="ZP50" s="12"/>
      <c r="ZQ50" s="12"/>
      <c r="ZR50" s="12"/>
      <c r="ZS50" s="12"/>
      <c r="ZT50" s="12"/>
      <c r="ZU50" s="12"/>
      <c r="ZV50" s="12"/>
      <c r="ZW50" s="12"/>
      <c r="ZX50" s="12"/>
      <c r="ZY50" s="12"/>
      <c r="ZZ50" s="12"/>
      <c r="AAA50" s="12"/>
      <c r="AAB50" s="12"/>
      <c r="AAC50" s="12"/>
      <c r="AAD50" s="12"/>
      <c r="AAE50" s="12"/>
      <c r="AAF50" s="12"/>
      <c r="AAG50" s="12"/>
      <c r="AAH50" s="12"/>
      <c r="AAI50" s="12"/>
      <c r="AAJ50" s="12"/>
      <c r="AAK50" s="12"/>
      <c r="AAL50" s="12"/>
      <c r="AAM50" s="12"/>
      <c r="AAN50" s="12"/>
      <c r="AAO50" s="12"/>
      <c r="AAP50" s="12"/>
      <c r="AAQ50" s="12"/>
      <c r="AAR50" s="12"/>
      <c r="AAS50" s="12"/>
      <c r="AAT50" s="12"/>
      <c r="AAU50" s="12"/>
      <c r="AAV50" s="12"/>
      <c r="AAW50" s="12"/>
      <c r="AAX50" s="12"/>
      <c r="AAY50" s="12"/>
      <c r="AAZ50" s="12"/>
      <c r="ABA50" s="12"/>
      <c r="ABB50" s="12"/>
      <c r="ABC50" s="12"/>
      <c r="ABD50" s="12"/>
      <c r="ABE50" s="12"/>
      <c r="ABF50" s="12"/>
      <c r="ABG50" s="12"/>
      <c r="ABH50" s="12"/>
      <c r="ABI50" s="12"/>
      <c r="ABJ50" s="12"/>
      <c r="ABK50" s="12"/>
      <c r="ABL50" s="12"/>
      <c r="ABM50" s="12"/>
      <c r="ABN50" s="12"/>
      <c r="ABO50" s="12"/>
      <c r="ABP50" s="12"/>
      <c r="ABQ50" s="12"/>
      <c r="ABR50" s="12"/>
      <c r="ABS50" s="12"/>
      <c r="ABT50" s="12"/>
      <c r="ABU50" s="12"/>
      <c r="ABV50" s="12"/>
      <c r="ABW50" s="12"/>
      <c r="ABX50" s="12"/>
      <c r="ABY50" s="12"/>
      <c r="ABZ50" s="12"/>
      <c r="ACA50" s="12"/>
      <c r="ACB50" s="12"/>
      <c r="ACC50" s="12"/>
      <c r="ACD50" s="12"/>
      <c r="ACE50" s="12"/>
      <c r="ACF50" s="12"/>
      <c r="ACG50" s="12"/>
      <c r="ACH50" s="12"/>
      <c r="ACI50" s="12"/>
      <c r="ACJ50" s="12"/>
      <c r="ACK50" s="12"/>
      <c r="ACL50" s="12"/>
      <c r="ACM50" s="12"/>
      <c r="ACN50" s="12"/>
      <c r="ACO50" s="12"/>
      <c r="ACP50" s="12"/>
      <c r="ACQ50" s="12"/>
      <c r="ACR50" s="12"/>
      <c r="ACS50" s="12"/>
      <c r="ACT50" s="12"/>
      <c r="ACU50" s="12"/>
      <c r="ACV50" s="12"/>
      <c r="ACW50" s="12"/>
      <c r="ACX50" s="12"/>
      <c r="ACY50" s="12"/>
      <c r="ACZ50" s="12"/>
      <c r="ADA50" s="12"/>
      <c r="ADB50" s="12"/>
      <c r="ADC50" s="12"/>
      <c r="ADD50" s="12"/>
      <c r="ADE50" s="12"/>
      <c r="ADF50" s="12"/>
      <c r="ADG50" s="12"/>
      <c r="ADH50" s="12"/>
      <c r="ADI50" s="12"/>
      <c r="ADJ50" s="12"/>
      <c r="ADK50" s="12"/>
      <c r="ADL50" s="12"/>
      <c r="ADM50" s="12"/>
      <c r="ADN50" s="12"/>
      <c r="ADO50" s="12"/>
      <c r="ADP50" s="12"/>
      <c r="ADQ50" s="12"/>
      <c r="ADR50" s="12"/>
      <c r="ADS50" s="12"/>
      <c r="ADT50" s="12"/>
      <c r="ADU50" s="12"/>
      <c r="ADV50" s="12"/>
      <c r="ADW50" s="12"/>
      <c r="ADX50" s="12"/>
      <c r="ADY50" s="12"/>
      <c r="ADZ50" s="12"/>
      <c r="AEA50" s="12"/>
      <c r="AEB50" s="12"/>
      <c r="AEC50" s="12"/>
      <c r="AED50" s="12"/>
      <c r="AEE50" s="12"/>
      <c r="AEF50" s="12"/>
      <c r="AEG50" s="12"/>
      <c r="AEH50" s="12"/>
      <c r="AEI50" s="12"/>
      <c r="AEJ50" s="12"/>
      <c r="AEK50" s="12"/>
      <c r="AEL50" s="12"/>
      <c r="AEM50" s="12"/>
      <c r="AEN50" s="12"/>
      <c r="AEO50" s="12"/>
      <c r="AEP50" s="12"/>
      <c r="AEQ50" s="12"/>
      <c r="AER50" s="12"/>
      <c r="AES50" s="12"/>
      <c r="AET50" s="12"/>
      <c r="AEU50" s="12"/>
      <c r="AEV50" s="12"/>
    </row>
    <row r="51" spans="1:828" s="27" customFormat="1" ht="18" x14ac:dyDescent="0.2">
      <c r="A51" s="61"/>
      <c r="D51" s="29"/>
      <c r="E51" s="23"/>
      <c r="F51" s="23"/>
      <c r="G51" s="23"/>
      <c r="H51" s="30"/>
      <c r="I51" s="23"/>
      <c r="J51" s="29"/>
      <c r="K51" s="30"/>
      <c r="L51" s="23"/>
      <c r="M51" s="29"/>
      <c r="N51" s="47"/>
      <c r="O51" s="47"/>
      <c r="P51" s="48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  <c r="FZ51" s="12"/>
      <c r="GA51" s="12"/>
      <c r="GB51" s="12"/>
      <c r="GC51" s="12"/>
      <c r="GD51" s="12"/>
      <c r="GE51" s="12"/>
      <c r="GF51" s="12"/>
      <c r="GG51" s="12"/>
      <c r="GH51" s="12"/>
      <c r="GI51" s="12"/>
      <c r="GJ51" s="12"/>
      <c r="GK51" s="12"/>
      <c r="GL51" s="12"/>
      <c r="GM51" s="12"/>
      <c r="GN51" s="12"/>
      <c r="GO51" s="12"/>
      <c r="GP51" s="12"/>
      <c r="GQ51" s="12"/>
      <c r="GR51" s="12"/>
      <c r="GS51" s="12"/>
      <c r="GT51" s="12"/>
      <c r="GU51" s="12"/>
      <c r="GV51" s="12"/>
      <c r="GW51" s="12"/>
      <c r="GX51" s="12"/>
      <c r="GY51" s="12"/>
      <c r="GZ51" s="12"/>
      <c r="HA51" s="12"/>
      <c r="HB51" s="12"/>
      <c r="HC51" s="12"/>
      <c r="HD51" s="12"/>
      <c r="HE51" s="12"/>
      <c r="HF51" s="12"/>
      <c r="HG51" s="12"/>
      <c r="HH51" s="12"/>
      <c r="HI51" s="12"/>
      <c r="HJ51" s="12"/>
      <c r="HK51" s="12"/>
      <c r="HL51" s="12"/>
      <c r="HM51" s="12"/>
      <c r="HN51" s="12"/>
      <c r="HO51" s="12"/>
      <c r="HP51" s="12"/>
      <c r="HQ51" s="12"/>
      <c r="HR51" s="12"/>
      <c r="HS51" s="12"/>
      <c r="HT51" s="12"/>
      <c r="HU51" s="12"/>
      <c r="HV51" s="12"/>
      <c r="HW51" s="12"/>
      <c r="HX51" s="12"/>
      <c r="HY51" s="12"/>
      <c r="HZ51" s="12"/>
      <c r="IA51" s="12"/>
      <c r="IB51" s="12"/>
      <c r="IC51" s="12"/>
      <c r="ID51" s="12"/>
      <c r="IE51" s="12"/>
      <c r="IF51" s="12"/>
      <c r="IG51" s="12"/>
      <c r="IH51" s="12"/>
      <c r="II51" s="12"/>
      <c r="IJ51" s="12"/>
      <c r="IK51" s="12"/>
      <c r="IL51" s="12"/>
      <c r="IM51" s="12"/>
      <c r="IN51" s="12"/>
      <c r="IO51" s="12"/>
      <c r="IP51" s="12"/>
      <c r="IQ51" s="12"/>
      <c r="IR51" s="12"/>
      <c r="IS51" s="12"/>
      <c r="IT51" s="12"/>
      <c r="IU51" s="12"/>
      <c r="IV51" s="12"/>
      <c r="IW51" s="12"/>
      <c r="IX51" s="12"/>
      <c r="IY51" s="12"/>
      <c r="IZ51" s="12"/>
      <c r="JA51" s="12"/>
      <c r="JB51" s="12"/>
      <c r="JC51" s="12"/>
      <c r="JD51" s="12"/>
      <c r="JE51" s="12"/>
      <c r="JF51" s="12"/>
      <c r="JG51" s="12"/>
      <c r="JH51" s="12"/>
      <c r="JI51" s="12"/>
      <c r="JJ51" s="12"/>
      <c r="JK51" s="12"/>
      <c r="JL51" s="12"/>
      <c r="JM51" s="12"/>
      <c r="JN51" s="12"/>
      <c r="JO51" s="12"/>
      <c r="JP51" s="12"/>
      <c r="JQ51" s="12"/>
      <c r="JR51" s="12"/>
      <c r="JS51" s="12"/>
      <c r="JT51" s="12"/>
      <c r="JU51" s="12"/>
      <c r="JV51" s="12"/>
      <c r="JW51" s="12"/>
      <c r="JX51" s="12"/>
      <c r="JY51" s="12"/>
      <c r="JZ51" s="12"/>
      <c r="KA51" s="12"/>
      <c r="KB51" s="12"/>
      <c r="KC51" s="12"/>
      <c r="KD51" s="12"/>
      <c r="KE51" s="12"/>
      <c r="KF51" s="12"/>
      <c r="KG51" s="12"/>
      <c r="KH51" s="12"/>
      <c r="KI51" s="12"/>
      <c r="KJ51" s="12"/>
      <c r="KK51" s="12"/>
      <c r="KL51" s="12"/>
      <c r="KM51" s="12"/>
      <c r="KN51" s="12"/>
      <c r="KO51" s="12"/>
      <c r="KP51" s="12"/>
      <c r="KQ51" s="12"/>
      <c r="KR51" s="12"/>
      <c r="KS51" s="12"/>
      <c r="KT51" s="12"/>
      <c r="KU51" s="12"/>
      <c r="KV51" s="12"/>
      <c r="KW51" s="12"/>
      <c r="KX51" s="12"/>
      <c r="KY51" s="12"/>
      <c r="KZ51" s="12"/>
      <c r="LA51" s="12"/>
      <c r="LB51" s="12"/>
      <c r="LC51" s="12"/>
      <c r="LD51" s="12"/>
      <c r="LE51" s="12"/>
      <c r="LF51" s="12"/>
      <c r="LG51" s="12"/>
      <c r="LH51" s="12"/>
      <c r="LI51" s="12"/>
      <c r="LJ51" s="12"/>
      <c r="LK51" s="12"/>
      <c r="LL51" s="12"/>
      <c r="LM51" s="12"/>
      <c r="LN51" s="12"/>
      <c r="LO51" s="12"/>
      <c r="LP51" s="12"/>
      <c r="LQ51" s="12"/>
      <c r="LR51" s="12"/>
      <c r="LS51" s="12"/>
      <c r="LT51" s="12"/>
      <c r="LU51" s="12"/>
      <c r="LV51" s="12"/>
      <c r="LW51" s="12"/>
      <c r="LX51" s="12"/>
      <c r="LY51" s="12"/>
      <c r="LZ51" s="12"/>
      <c r="MA51" s="12"/>
      <c r="MB51" s="12"/>
      <c r="MC51" s="12"/>
      <c r="MD51" s="12"/>
      <c r="ME51" s="12"/>
      <c r="MF51" s="12"/>
      <c r="MG51" s="12"/>
      <c r="MH51" s="12"/>
      <c r="MI51" s="12"/>
      <c r="MJ51" s="12"/>
      <c r="MK51" s="12"/>
      <c r="ML51" s="12"/>
      <c r="MM51" s="12"/>
      <c r="MN51" s="12"/>
      <c r="MO51" s="12"/>
      <c r="MP51" s="12"/>
      <c r="MQ51" s="12"/>
      <c r="MR51" s="12"/>
      <c r="MS51" s="12"/>
      <c r="MT51" s="12"/>
      <c r="MU51" s="12"/>
      <c r="MV51" s="12"/>
      <c r="MW51" s="12"/>
      <c r="MX51" s="12"/>
      <c r="MY51" s="12"/>
      <c r="MZ51" s="12"/>
      <c r="NA51" s="12"/>
      <c r="NB51" s="12"/>
      <c r="NC51" s="12"/>
      <c r="ND51" s="12"/>
      <c r="NE51" s="12"/>
      <c r="NF51" s="12"/>
      <c r="NG51" s="12"/>
      <c r="NH51" s="12"/>
      <c r="NI51" s="12"/>
      <c r="NJ51" s="12"/>
      <c r="NK51" s="12"/>
      <c r="NL51" s="12"/>
      <c r="NM51" s="12"/>
      <c r="NN51" s="12"/>
      <c r="NO51" s="12"/>
      <c r="NP51" s="12"/>
      <c r="NQ51" s="12"/>
      <c r="NR51" s="12"/>
      <c r="NS51" s="12"/>
      <c r="NT51" s="12"/>
      <c r="NU51" s="12"/>
      <c r="NV51" s="12"/>
      <c r="NW51" s="12"/>
      <c r="NX51" s="12"/>
      <c r="NY51" s="12"/>
      <c r="NZ51" s="12"/>
      <c r="OA51" s="12"/>
      <c r="OB51" s="12"/>
      <c r="OC51" s="12"/>
      <c r="OD51" s="12"/>
      <c r="OE51" s="12"/>
      <c r="OF51" s="12"/>
      <c r="OG51" s="12"/>
      <c r="OH51" s="12"/>
      <c r="OI51" s="12"/>
      <c r="OJ51" s="12"/>
      <c r="OK51" s="12"/>
      <c r="OL51" s="12"/>
      <c r="OM51" s="12"/>
      <c r="ON51" s="12"/>
      <c r="OO51" s="12"/>
      <c r="OP51" s="12"/>
      <c r="OQ51" s="12"/>
      <c r="OR51" s="12"/>
      <c r="OS51" s="12"/>
      <c r="OT51" s="12"/>
      <c r="OU51" s="12"/>
      <c r="OV51" s="12"/>
      <c r="OW51" s="12"/>
      <c r="OX51" s="12"/>
      <c r="OY51" s="12"/>
      <c r="OZ51" s="12"/>
      <c r="PA51" s="12"/>
      <c r="PB51" s="12"/>
      <c r="PC51" s="12"/>
      <c r="PD51" s="12"/>
      <c r="PE51" s="12"/>
      <c r="PF51" s="12"/>
      <c r="PG51" s="12"/>
      <c r="PH51" s="12"/>
      <c r="PI51" s="12"/>
      <c r="PJ51" s="12"/>
      <c r="PK51" s="12"/>
      <c r="PL51" s="12"/>
      <c r="PM51" s="12"/>
      <c r="PN51" s="12"/>
      <c r="PO51" s="12"/>
      <c r="PP51" s="12"/>
      <c r="PQ51" s="12"/>
      <c r="PR51" s="12"/>
      <c r="PS51" s="12"/>
      <c r="PT51" s="12"/>
      <c r="PU51" s="12"/>
      <c r="PV51" s="12"/>
      <c r="PW51" s="12"/>
      <c r="PX51" s="12"/>
      <c r="PY51" s="12"/>
      <c r="PZ51" s="12"/>
      <c r="QA51" s="12"/>
      <c r="QB51" s="12"/>
      <c r="QC51" s="12"/>
      <c r="QD51" s="12"/>
      <c r="QE51" s="12"/>
      <c r="QF51" s="12"/>
      <c r="QG51" s="12"/>
      <c r="QH51" s="12"/>
      <c r="QI51" s="12"/>
      <c r="QJ51" s="12"/>
      <c r="QK51" s="12"/>
      <c r="QL51" s="12"/>
      <c r="QM51" s="12"/>
      <c r="QN51" s="12"/>
      <c r="QO51" s="12"/>
      <c r="QP51" s="12"/>
      <c r="QQ51" s="12"/>
      <c r="QR51" s="12"/>
      <c r="QS51" s="12"/>
      <c r="QT51" s="12"/>
      <c r="QU51" s="12"/>
      <c r="QV51" s="12"/>
      <c r="QW51" s="12"/>
      <c r="QX51" s="12"/>
      <c r="QY51" s="12"/>
      <c r="QZ51" s="12"/>
      <c r="RA51" s="12"/>
      <c r="RB51" s="12"/>
      <c r="RC51" s="12"/>
      <c r="RD51" s="12"/>
      <c r="RE51" s="12"/>
      <c r="RF51" s="12"/>
      <c r="RG51" s="12"/>
      <c r="RH51" s="12"/>
      <c r="RI51" s="12"/>
      <c r="RJ51" s="12"/>
      <c r="RK51" s="12"/>
      <c r="RL51" s="12"/>
      <c r="RM51" s="12"/>
      <c r="RN51" s="12"/>
      <c r="RO51" s="12"/>
      <c r="RP51" s="12"/>
      <c r="RQ51" s="12"/>
      <c r="RR51" s="12"/>
      <c r="RS51" s="12"/>
      <c r="RT51" s="12"/>
      <c r="RU51" s="12"/>
      <c r="RV51" s="12"/>
      <c r="RW51" s="12"/>
      <c r="RX51" s="12"/>
      <c r="RY51" s="12"/>
      <c r="RZ51" s="12"/>
      <c r="SA51" s="12"/>
      <c r="SB51" s="12"/>
      <c r="SC51" s="12"/>
      <c r="SD51" s="12"/>
      <c r="SE51" s="12"/>
      <c r="SF51" s="12"/>
      <c r="SG51" s="12"/>
      <c r="SH51" s="12"/>
      <c r="SI51" s="12"/>
      <c r="SJ51" s="12"/>
      <c r="SK51" s="12"/>
      <c r="SL51" s="12"/>
      <c r="SM51" s="12"/>
      <c r="SN51" s="12"/>
      <c r="SO51" s="12"/>
      <c r="SP51" s="12"/>
      <c r="SQ51" s="12"/>
      <c r="SR51" s="12"/>
      <c r="SS51" s="12"/>
      <c r="ST51" s="12"/>
      <c r="SU51" s="12"/>
      <c r="SV51" s="12"/>
      <c r="SW51" s="12"/>
      <c r="SX51" s="12"/>
      <c r="SY51" s="12"/>
      <c r="SZ51" s="12"/>
      <c r="TA51" s="12"/>
      <c r="TB51" s="12"/>
      <c r="TC51" s="12"/>
      <c r="TD51" s="12"/>
      <c r="TE51" s="12"/>
      <c r="TF51" s="12"/>
      <c r="TG51" s="12"/>
      <c r="TH51" s="12"/>
      <c r="TI51" s="12"/>
      <c r="TJ51" s="12"/>
      <c r="TK51" s="12"/>
      <c r="TL51" s="12"/>
      <c r="TM51" s="12"/>
      <c r="TN51" s="12"/>
      <c r="TO51" s="12"/>
      <c r="TP51" s="12"/>
      <c r="TQ51" s="12"/>
      <c r="TR51" s="12"/>
      <c r="TS51" s="12"/>
      <c r="TT51" s="12"/>
      <c r="TU51" s="12"/>
      <c r="TV51" s="12"/>
      <c r="TW51" s="12"/>
      <c r="TX51" s="12"/>
      <c r="TY51" s="12"/>
      <c r="TZ51" s="12"/>
      <c r="UA51" s="12"/>
      <c r="UB51" s="12"/>
      <c r="UC51" s="12"/>
      <c r="UD51" s="12"/>
      <c r="UE51" s="12"/>
      <c r="UF51" s="12"/>
      <c r="UG51" s="12"/>
      <c r="UH51" s="12"/>
      <c r="UI51" s="12"/>
      <c r="UJ51" s="12"/>
      <c r="UK51" s="12"/>
      <c r="UL51" s="12"/>
      <c r="UM51" s="12"/>
      <c r="UN51" s="12"/>
      <c r="UO51" s="12"/>
      <c r="UP51" s="12"/>
      <c r="UQ51" s="12"/>
      <c r="UR51" s="12"/>
      <c r="US51" s="12"/>
      <c r="UT51" s="12"/>
      <c r="UU51" s="12"/>
      <c r="UV51" s="12"/>
      <c r="UW51" s="12"/>
      <c r="UX51" s="12"/>
      <c r="UY51" s="12"/>
      <c r="UZ51" s="12"/>
      <c r="VA51" s="12"/>
      <c r="VB51" s="12"/>
      <c r="VC51" s="12"/>
      <c r="VD51" s="12"/>
      <c r="VE51" s="12"/>
      <c r="VF51" s="12"/>
      <c r="VG51" s="12"/>
      <c r="VH51" s="12"/>
      <c r="VI51" s="12"/>
      <c r="VJ51" s="12"/>
      <c r="VK51" s="12"/>
      <c r="VL51" s="12"/>
      <c r="VM51" s="12"/>
      <c r="VN51" s="12"/>
      <c r="VO51" s="12"/>
      <c r="VP51" s="12"/>
      <c r="VQ51" s="12"/>
      <c r="VR51" s="12"/>
      <c r="VS51" s="12"/>
      <c r="VT51" s="12"/>
      <c r="VU51" s="12"/>
      <c r="VV51" s="12"/>
      <c r="VW51" s="12"/>
      <c r="VX51" s="12"/>
      <c r="VY51" s="12"/>
      <c r="VZ51" s="12"/>
      <c r="WA51" s="12"/>
      <c r="WB51" s="12"/>
      <c r="WC51" s="12"/>
      <c r="WD51" s="12"/>
      <c r="WE51" s="12"/>
      <c r="WF51" s="12"/>
      <c r="WG51" s="12"/>
      <c r="WH51" s="12"/>
      <c r="WI51" s="12"/>
      <c r="WJ51" s="12"/>
      <c r="WK51" s="12"/>
      <c r="WL51" s="12"/>
      <c r="WM51" s="12"/>
      <c r="WN51" s="12"/>
      <c r="WO51" s="12"/>
      <c r="WP51" s="12"/>
      <c r="WQ51" s="12"/>
      <c r="WR51" s="12"/>
      <c r="WS51" s="12"/>
      <c r="WT51" s="12"/>
      <c r="WU51" s="12"/>
      <c r="WV51" s="12"/>
      <c r="WW51" s="12"/>
      <c r="WX51" s="12"/>
      <c r="WY51" s="12"/>
      <c r="WZ51" s="12"/>
      <c r="XA51" s="12"/>
      <c r="XB51" s="12"/>
      <c r="XC51" s="12"/>
      <c r="XD51" s="12"/>
      <c r="XE51" s="12"/>
      <c r="XF51" s="12"/>
      <c r="XG51" s="12"/>
      <c r="XH51" s="12"/>
      <c r="XI51" s="12"/>
      <c r="XJ51" s="12"/>
      <c r="XK51" s="12"/>
      <c r="XL51" s="12"/>
      <c r="XM51" s="12"/>
      <c r="XN51" s="12"/>
      <c r="XO51" s="12"/>
      <c r="XP51" s="12"/>
      <c r="XQ51" s="12"/>
      <c r="XR51" s="12"/>
      <c r="XS51" s="12"/>
      <c r="XT51" s="12"/>
      <c r="XU51" s="12"/>
      <c r="XV51" s="12"/>
      <c r="XW51" s="12"/>
      <c r="XX51" s="12"/>
      <c r="XY51" s="12"/>
      <c r="XZ51" s="12"/>
      <c r="YA51" s="12"/>
      <c r="YB51" s="12"/>
      <c r="YC51" s="12"/>
      <c r="YD51" s="12"/>
      <c r="YE51" s="12"/>
      <c r="YF51" s="12"/>
      <c r="YG51" s="12"/>
      <c r="YH51" s="12"/>
      <c r="YI51" s="12"/>
      <c r="YJ51" s="12"/>
      <c r="YK51" s="12"/>
      <c r="YL51" s="12"/>
      <c r="YM51" s="12"/>
      <c r="YN51" s="12"/>
      <c r="YO51" s="12"/>
      <c r="YP51" s="12"/>
      <c r="YQ51" s="12"/>
      <c r="YR51" s="12"/>
      <c r="YS51" s="12"/>
      <c r="YT51" s="12"/>
      <c r="YU51" s="12"/>
      <c r="YV51" s="12"/>
      <c r="YW51" s="12"/>
      <c r="YX51" s="12"/>
      <c r="YY51" s="12"/>
      <c r="YZ51" s="12"/>
      <c r="ZA51" s="12"/>
      <c r="ZB51" s="12"/>
      <c r="ZC51" s="12"/>
      <c r="ZD51" s="12"/>
      <c r="ZE51" s="12"/>
      <c r="ZF51" s="12"/>
      <c r="ZG51" s="12"/>
      <c r="ZH51" s="12"/>
      <c r="ZI51" s="12"/>
      <c r="ZJ51" s="12"/>
      <c r="ZK51" s="12"/>
      <c r="ZL51" s="12"/>
      <c r="ZM51" s="12"/>
      <c r="ZN51" s="12"/>
      <c r="ZO51" s="12"/>
      <c r="ZP51" s="12"/>
      <c r="ZQ51" s="12"/>
      <c r="ZR51" s="12"/>
      <c r="ZS51" s="12"/>
      <c r="ZT51" s="12"/>
      <c r="ZU51" s="12"/>
      <c r="ZV51" s="12"/>
      <c r="ZW51" s="12"/>
      <c r="ZX51" s="12"/>
      <c r="ZY51" s="12"/>
      <c r="ZZ51" s="12"/>
      <c r="AAA51" s="12"/>
      <c r="AAB51" s="12"/>
      <c r="AAC51" s="12"/>
      <c r="AAD51" s="12"/>
      <c r="AAE51" s="12"/>
      <c r="AAF51" s="12"/>
      <c r="AAG51" s="12"/>
      <c r="AAH51" s="12"/>
      <c r="AAI51" s="12"/>
      <c r="AAJ51" s="12"/>
      <c r="AAK51" s="12"/>
      <c r="AAL51" s="12"/>
      <c r="AAM51" s="12"/>
      <c r="AAN51" s="12"/>
      <c r="AAO51" s="12"/>
      <c r="AAP51" s="12"/>
      <c r="AAQ51" s="12"/>
      <c r="AAR51" s="12"/>
      <c r="AAS51" s="12"/>
      <c r="AAT51" s="12"/>
      <c r="AAU51" s="12"/>
      <c r="AAV51" s="12"/>
      <c r="AAW51" s="12"/>
      <c r="AAX51" s="12"/>
      <c r="AAY51" s="12"/>
      <c r="AAZ51" s="12"/>
      <c r="ABA51" s="12"/>
      <c r="ABB51" s="12"/>
      <c r="ABC51" s="12"/>
      <c r="ABD51" s="12"/>
      <c r="ABE51" s="12"/>
      <c r="ABF51" s="12"/>
      <c r="ABG51" s="12"/>
      <c r="ABH51" s="12"/>
      <c r="ABI51" s="12"/>
      <c r="ABJ51" s="12"/>
      <c r="ABK51" s="12"/>
      <c r="ABL51" s="12"/>
      <c r="ABM51" s="12"/>
      <c r="ABN51" s="12"/>
      <c r="ABO51" s="12"/>
      <c r="ABP51" s="12"/>
      <c r="ABQ51" s="12"/>
      <c r="ABR51" s="12"/>
      <c r="ABS51" s="12"/>
      <c r="ABT51" s="12"/>
      <c r="ABU51" s="12"/>
      <c r="ABV51" s="12"/>
      <c r="ABW51" s="12"/>
      <c r="ABX51" s="12"/>
      <c r="ABY51" s="12"/>
      <c r="ABZ51" s="12"/>
      <c r="ACA51" s="12"/>
      <c r="ACB51" s="12"/>
      <c r="ACC51" s="12"/>
      <c r="ACD51" s="12"/>
      <c r="ACE51" s="12"/>
      <c r="ACF51" s="12"/>
      <c r="ACG51" s="12"/>
      <c r="ACH51" s="12"/>
      <c r="ACI51" s="12"/>
      <c r="ACJ51" s="12"/>
      <c r="ACK51" s="12"/>
      <c r="ACL51" s="12"/>
      <c r="ACM51" s="12"/>
      <c r="ACN51" s="12"/>
      <c r="ACO51" s="12"/>
      <c r="ACP51" s="12"/>
      <c r="ACQ51" s="12"/>
      <c r="ACR51" s="12"/>
      <c r="ACS51" s="12"/>
      <c r="ACT51" s="12"/>
      <c r="ACU51" s="12"/>
      <c r="ACV51" s="12"/>
      <c r="ACW51" s="12"/>
      <c r="ACX51" s="12"/>
      <c r="ACY51" s="12"/>
      <c r="ACZ51" s="12"/>
      <c r="ADA51" s="12"/>
      <c r="ADB51" s="12"/>
      <c r="ADC51" s="12"/>
      <c r="ADD51" s="12"/>
      <c r="ADE51" s="12"/>
      <c r="ADF51" s="12"/>
      <c r="ADG51" s="12"/>
      <c r="ADH51" s="12"/>
      <c r="ADI51" s="12"/>
      <c r="ADJ51" s="12"/>
      <c r="ADK51" s="12"/>
      <c r="ADL51" s="12"/>
      <c r="ADM51" s="12"/>
      <c r="ADN51" s="12"/>
      <c r="ADO51" s="12"/>
      <c r="ADP51" s="12"/>
      <c r="ADQ51" s="12"/>
      <c r="ADR51" s="12"/>
      <c r="ADS51" s="12"/>
      <c r="ADT51" s="12"/>
      <c r="ADU51" s="12"/>
      <c r="ADV51" s="12"/>
      <c r="ADW51" s="12"/>
      <c r="ADX51" s="12"/>
      <c r="ADY51" s="12"/>
      <c r="ADZ51" s="12"/>
      <c r="AEA51" s="12"/>
      <c r="AEB51" s="12"/>
      <c r="AEC51" s="12"/>
      <c r="AED51" s="12"/>
      <c r="AEE51" s="12"/>
      <c r="AEF51" s="12"/>
      <c r="AEG51" s="12"/>
      <c r="AEH51" s="12"/>
      <c r="AEI51" s="12"/>
      <c r="AEJ51" s="12"/>
      <c r="AEK51" s="12"/>
      <c r="AEL51" s="12"/>
      <c r="AEM51" s="12"/>
      <c r="AEN51" s="12"/>
      <c r="AEO51" s="12"/>
      <c r="AEP51" s="12"/>
      <c r="AEQ51" s="12"/>
      <c r="AER51" s="12"/>
      <c r="AES51" s="12"/>
      <c r="AET51" s="12"/>
      <c r="AEU51" s="12"/>
      <c r="AEV51" s="12"/>
    </row>
    <row r="52" spans="1:828" s="27" customFormat="1" ht="18" x14ac:dyDescent="0.2">
      <c r="A52" s="61"/>
      <c r="D52" s="29"/>
      <c r="E52" s="23"/>
      <c r="F52" s="23"/>
      <c r="G52" s="23"/>
      <c r="H52" s="30"/>
      <c r="I52" s="23"/>
      <c r="J52" s="29"/>
      <c r="K52" s="30"/>
      <c r="L52" s="23"/>
      <c r="M52" s="29"/>
      <c r="N52" s="47"/>
      <c r="O52" s="47"/>
      <c r="P52" s="48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  <c r="FZ52" s="12"/>
      <c r="GA52" s="12"/>
      <c r="GB52" s="12"/>
      <c r="GC52" s="12"/>
      <c r="GD52" s="12"/>
      <c r="GE52" s="12"/>
      <c r="GF52" s="12"/>
      <c r="GG52" s="12"/>
      <c r="GH52" s="12"/>
      <c r="GI52" s="12"/>
      <c r="GJ52" s="12"/>
      <c r="GK52" s="12"/>
      <c r="GL52" s="12"/>
      <c r="GM52" s="12"/>
      <c r="GN52" s="12"/>
      <c r="GO52" s="12"/>
      <c r="GP52" s="12"/>
      <c r="GQ52" s="12"/>
      <c r="GR52" s="12"/>
      <c r="GS52" s="12"/>
      <c r="GT52" s="12"/>
      <c r="GU52" s="12"/>
      <c r="GV52" s="12"/>
      <c r="GW52" s="12"/>
      <c r="GX52" s="12"/>
      <c r="GY52" s="12"/>
      <c r="GZ52" s="12"/>
      <c r="HA52" s="12"/>
      <c r="HB52" s="12"/>
      <c r="HC52" s="12"/>
      <c r="HD52" s="12"/>
      <c r="HE52" s="12"/>
      <c r="HF52" s="12"/>
      <c r="HG52" s="12"/>
      <c r="HH52" s="12"/>
      <c r="HI52" s="12"/>
      <c r="HJ52" s="12"/>
      <c r="HK52" s="12"/>
      <c r="HL52" s="12"/>
      <c r="HM52" s="12"/>
      <c r="HN52" s="12"/>
      <c r="HO52" s="12"/>
      <c r="HP52" s="12"/>
      <c r="HQ52" s="12"/>
      <c r="HR52" s="12"/>
      <c r="HS52" s="12"/>
      <c r="HT52" s="12"/>
      <c r="HU52" s="12"/>
      <c r="HV52" s="12"/>
      <c r="HW52" s="12"/>
      <c r="HX52" s="12"/>
      <c r="HY52" s="12"/>
      <c r="HZ52" s="12"/>
      <c r="IA52" s="12"/>
      <c r="IB52" s="12"/>
      <c r="IC52" s="12"/>
      <c r="ID52" s="12"/>
      <c r="IE52" s="12"/>
      <c r="IF52" s="12"/>
      <c r="IG52" s="12"/>
      <c r="IH52" s="12"/>
      <c r="II52" s="12"/>
      <c r="IJ52" s="12"/>
      <c r="IK52" s="12"/>
      <c r="IL52" s="12"/>
      <c r="IM52" s="12"/>
      <c r="IN52" s="12"/>
      <c r="IO52" s="12"/>
      <c r="IP52" s="12"/>
      <c r="IQ52" s="12"/>
      <c r="IR52" s="12"/>
      <c r="IS52" s="12"/>
      <c r="IT52" s="12"/>
      <c r="IU52" s="12"/>
      <c r="IV52" s="12"/>
      <c r="IW52" s="12"/>
      <c r="IX52" s="12"/>
      <c r="IY52" s="12"/>
      <c r="IZ52" s="12"/>
      <c r="JA52" s="12"/>
      <c r="JB52" s="12"/>
      <c r="JC52" s="12"/>
      <c r="JD52" s="12"/>
      <c r="JE52" s="12"/>
      <c r="JF52" s="12"/>
      <c r="JG52" s="12"/>
      <c r="JH52" s="12"/>
      <c r="JI52" s="12"/>
      <c r="JJ52" s="12"/>
      <c r="JK52" s="12"/>
      <c r="JL52" s="12"/>
      <c r="JM52" s="12"/>
      <c r="JN52" s="12"/>
      <c r="JO52" s="12"/>
      <c r="JP52" s="12"/>
      <c r="JQ52" s="12"/>
      <c r="JR52" s="12"/>
      <c r="JS52" s="12"/>
      <c r="JT52" s="12"/>
      <c r="JU52" s="12"/>
      <c r="JV52" s="12"/>
      <c r="JW52" s="12"/>
      <c r="JX52" s="12"/>
      <c r="JY52" s="12"/>
      <c r="JZ52" s="12"/>
      <c r="KA52" s="12"/>
      <c r="KB52" s="12"/>
      <c r="KC52" s="12"/>
      <c r="KD52" s="12"/>
      <c r="KE52" s="12"/>
      <c r="KF52" s="12"/>
      <c r="KG52" s="12"/>
      <c r="KH52" s="12"/>
      <c r="KI52" s="12"/>
      <c r="KJ52" s="12"/>
      <c r="KK52" s="12"/>
      <c r="KL52" s="12"/>
      <c r="KM52" s="12"/>
      <c r="KN52" s="12"/>
      <c r="KO52" s="12"/>
      <c r="KP52" s="12"/>
      <c r="KQ52" s="12"/>
      <c r="KR52" s="12"/>
      <c r="KS52" s="12"/>
      <c r="KT52" s="12"/>
      <c r="KU52" s="12"/>
      <c r="KV52" s="12"/>
      <c r="KW52" s="12"/>
      <c r="KX52" s="12"/>
      <c r="KY52" s="12"/>
      <c r="KZ52" s="12"/>
      <c r="LA52" s="12"/>
      <c r="LB52" s="12"/>
      <c r="LC52" s="12"/>
      <c r="LD52" s="12"/>
      <c r="LE52" s="12"/>
      <c r="LF52" s="12"/>
      <c r="LG52" s="12"/>
      <c r="LH52" s="12"/>
      <c r="LI52" s="12"/>
      <c r="LJ52" s="12"/>
      <c r="LK52" s="12"/>
      <c r="LL52" s="12"/>
      <c r="LM52" s="12"/>
      <c r="LN52" s="12"/>
      <c r="LO52" s="12"/>
      <c r="LP52" s="12"/>
      <c r="LQ52" s="12"/>
      <c r="LR52" s="12"/>
      <c r="LS52" s="12"/>
      <c r="LT52" s="12"/>
      <c r="LU52" s="12"/>
      <c r="LV52" s="12"/>
      <c r="LW52" s="12"/>
      <c r="LX52" s="12"/>
      <c r="LY52" s="12"/>
      <c r="LZ52" s="12"/>
      <c r="MA52" s="12"/>
      <c r="MB52" s="12"/>
      <c r="MC52" s="12"/>
      <c r="MD52" s="12"/>
      <c r="ME52" s="12"/>
      <c r="MF52" s="12"/>
      <c r="MG52" s="12"/>
      <c r="MH52" s="12"/>
      <c r="MI52" s="12"/>
      <c r="MJ52" s="12"/>
      <c r="MK52" s="12"/>
      <c r="ML52" s="12"/>
      <c r="MM52" s="12"/>
      <c r="MN52" s="12"/>
      <c r="MO52" s="12"/>
      <c r="MP52" s="12"/>
      <c r="MQ52" s="12"/>
      <c r="MR52" s="12"/>
      <c r="MS52" s="12"/>
      <c r="MT52" s="12"/>
      <c r="MU52" s="12"/>
      <c r="MV52" s="12"/>
      <c r="MW52" s="12"/>
      <c r="MX52" s="12"/>
      <c r="MY52" s="12"/>
      <c r="MZ52" s="12"/>
      <c r="NA52" s="12"/>
      <c r="NB52" s="12"/>
      <c r="NC52" s="12"/>
      <c r="ND52" s="12"/>
      <c r="NE52" s="12"/>
      <c r="NF52" s="12"/>
      <c r="NG52" s="12"/>
      <c r="NH52" s="12"/>
      <c r="NI52" s="12"/>
      <c r="NJ52" s="12"/>
      <c r="NK52" s="12"/>
      <c r="NL52" s="12"/>
      <c r="NM52" s="12"/>
      <c r="NN52" s="12"/>
      <c r="NO52" s="12"/>
      <c r="NP52" s="12"/>
      <c r="NQ52" s="12"/>
      <c r="NR52" s="12"/>
      <c r="NS52" s="12"/>
      <c r="NT52" s="12"/>
      <c r="NU52" s="12"/>
      <c r="NV52" s="12"/>
      <c r="NW52" s="12"/>
      <c r="NX52" s="12"/>
      <c r="NY52" s="12"/>
      <c r="NZ52" s="12"/>
      <c r="OA52" s="12"/>
      <c r="OB52" s="12"/>
      <c r="OC52" s="12"/>
      <c r="OD52" s="12"/>
      <c r="OE52" s="12"/>
      <c r="OF52" s="12"/>
      <c r="OG52" s="12"/>
      <c r="OH52" s="12"/>
      <c r="OI52" s="12"/>
      <c r="OJ52" s="12"/>
      <c r="OK52" s="12"/>
      <c r="OL52" s="12"/>
      <c r="OM52" s="12"/>
      <c r="ON52" s="12"/>
      <c r="OO52" s="12"/>
      <c r="OP52" s="12"/>
      <c r="OQ52" s="12"/>
      <c r="OR52" s="12"/>
      <c r="OS52" s="12"/>
      <c r="OT52" s="12"/>
      <c r="OU52" s="12"/>
      <c r="OV52" s="12"/>
      <c r="OW52" s="12"/>
      <c r="OX52" s="12"/>
      <c r="OY52" s="12"/>
      <c r="OZ52" s="12"/>
      <c r="PA52" s="12"/>
      <c r="PB52" s="12"/>
      <c r="PC52" s="12"/>
      <c r="PD52" s="12"/>
      <c r="PE52" s="12"/>
      <c r="PF52" s="12"/>
      <c r="PG52" s="12"/>
      <c r="PH52" s="12"/>
      <c r="PI52" s="12"/>
      <c r="PJ52" s="12"/>
      <c r="PK52" s="12"/>
      <c r="PL52" s="12"/>
      <c r="PM52" s="12"/>
      <c r="PN52" s="12"/>
      <c r="PO52" s="12"/>
      <c r="PP52" s="12"/>
      <c r="PQ52" s="12"/>
      <c r="PR52" s="12"/>
      <c r="PS52" s="12"/>
      <c r="PT52" s="12"/>
      <c r="PU52" s="12"/>
      <c r="PV52" s="12"/>
      <c r="PW52" s="12"/>
      <c r="PX52" s="12"/>
      <c r="PY52" s="12"/>
      <c r="PZ52" s="12"/>
      <c r="QA52" s="12"/>
      <c r="QB52" s="12"/>
      <c r="QC52" s="12"/>
      <c r="QD52" s="12"/>
      <c r="QE52" s="12"/>
      <c r="QF52" s="12"/>
      <c r="QG52" s="12"/>
      <c r="QH52" s="12"/>
      <c r="QI52" s="12"/>
      <c r="QJ52" s="12"/>
      <c r="QK52" s="12"/>
      <c r="QL52" s="12"/>
      <c r="QM52" s="12"/>
      <c r="QN52" s="12"/>
      <c r="QO52" s="12"/>
      <c r="QP52" s="12"/>
      <c r="QQ52" s="12"/>
      <c r="QR52" s="12"/>
      <c r="QS52" s="12"/>
      <c r="QT52" s="12"/>
      <c r="QU52" s="12"/>
      <c r="QV52" s="12"/>
      <c r="QW52" s="12"/>
      <c r="QX52" s="12"/>
      <c r="QY52" s="12"/>
      <c r="QZ52" s="12"/>
      <c r="RA52" s="12"/>
      <c r="RB52" s="12"/>
      <c r="RC52" s="12"/>
      <c r="RD52" s="12"/>
      <c r="RE52" s="12"/>
      <c r="RF52" s="12"/>
      <c r="RG52" s="12"/>
      <c r="RH52" s="12"/>
      <c r="RI52" s="12"/>
      <c r="RJ52" s="12"/>
      <c r="RK52" s="12"/>
      <c r="RL52" s="12"/>
      <c r="RM52" s="12"/>
      <c r="RN52" s="12"/>
      <c r="RO52" s="12"/>
      <c r="RP52" s="12"/>
      <c r="RQ52" s="12"/>
      <c r="RR52" s="12"/>
      <c r="RS52" s="12"/>
      <c r="RT52" s="12"/>
      <c r="RU52" s="12"/>
      <c r="RV52" s="12"/>
      <c r="RW52" s="12"/>
      <c r="RX52" s="12"/>
      <c r="RY52" s="12"/>
      <c r="RZ52" s="12"/>
      <c r="SA52" s="12"/>
      <c r="SB52" s="12"/>
      <c r="SC52" s="12"/>
      <c r="SD52" s="12"/>
      <c r="SE52" s="12"/>
      <c r="SF52" s="12"/>
      <c r="SG52" s="12"/>
      <c r="SH52" s="12"/>
      <c r="SI52" s="12"/>
      <c r="SJ52" s="12"/>
      <c r="SK52" s="12"/>
      <c r="SL52" s="12"/>
      <c r="SM52" s="12"/>
      <c r="SN52" s="12"/>
      <c r="SO52" s="12"/>
      <c r="SP52" s="12"/>
      <c r="SQ52" s="12"/>
      <c r="SR52" s="12"/>
      <c r="SS52" s="12"/>
      <c r="ST52" s="12"/>
      <c r="SU52" s="12"/>
      <c r="SV52" s="12"/>
      <c r="SW52" s="12"/>
      <c r="SX52" s="12"/>
      <c r="SY52" s="12"/>
      <c r="SZ52" s="12"/>
      <c r="TA52" s="12"/>
      <c r="TB52" s="12"/>
      <c r="TC52" s="12"/>
      <c r="TD52" s="12"/>
      <c r="TE52" s="12"/>
      <c r="TF52" s="12"/>
      <c r="TG52" s="12"/>
      <c r="TH52" s="12"/>
      <c r="TI52" s="12"/>
      <c r="TJ52" s="12"/>
      <c r="TK52" s="12"/>
      <c r="TL52" s="12"/>
      <c r="TM52" s="12"/>
      <c r="TN52" s="12"/>
      <c r="TO52" s="12"/>
      <c r="TP52" s="12"/>
      <c r="TQ52" s="12"/>
      <c r="TR52" s="12"/>
      <c r="TS52" s="12"/>
      <c r="TT52" s="12"/>
      <c r="TU52" s="12"/>
      <c r="TV52" s="12"/>
      <c r="TW52" s="12"/>
      <c r="TX52" s="12"/>
      <c r="TY52" s="12"/>
      <c r="TZ52" s="12"/>
      <c r="UA52" s="12"/>
      <c r="UB52" s="12"/>
      <c r="UC52" s="12"/>
      <c r="UD52" s="12"/>
      <c r="UE52" s="12"/>
      <c r="UF52" s="12"/>
      <c r="UG52" s="12"/>
      <c r="UH52" s="12"/>
      <c r="UI52" s="12"/>
      <c r="UJ52" s="12"/>
      <c r="UK52" s="12"/>
      <c r="UL52" s="12"/>
      <c r="UM52" s="12"/>
      <c r="UN52" s="12"/>
      <c r="UO52" s="12"/>
      <c r="UP52" s="12"/>
      <c r="UQ52" s="12"/>
      <c r="UR52" s="12"/>
      <c r="US52" s="12"/>
      <c r="UT52" s="12"/>
      <c r="UU52" s="12"/>
      <c r="UV52" s="12"/>
      <c r="UW52" s="12"/>
      <c r="UX52" s="12"/>
      <c r="UY52" s="12"/>
      <c r="UZ52" s="12"/>
      <c r="VA52" s="12"/>
      <c r="VB52" s="12"/>
      <c r="VC52" s="12"/>
      <c r="VD52" s="12"/>
      <c r="VE52" s="12"/>
      <c r="VF52" s="12"/>
      <c r="VG52" s="12"/>
      <c r="VH52" s="12"/>
      <c r="VI52" s="12"/>
      <c r="VJ52" s="12"/>
      <c r="VK52" s="12"/>
      <c r="VL52" s="12"/>
      <c r="VM52" s="12"/>
      <c r="VN52" s="12"/>
      <c r="VO52" s="12"/>
      <c r="VP52" s="12"/>
      <c r="VQ52" s="12"/>
      <c r="VR52" s="12"/>
      <c r="VS52" s="12"/>
      <c r="VT52" s="12"/>
      <c r="VU52" s="12"/>
      <c r="VV52" s="12"/>
      <c r="VW52" s="12"/>
      <c r="VX52" s="12"/>
      <c r="VY52" s="12"/>
      <c r="VZ52" s="12"/>
      <c r="WA52" s="12"/>
      <c r="WB52" s="12"/>
      <c r="WC52" s="12"/>
      <c r="WD52" s="12"/>
      <c r="WE52" s="12"/>
      <c r="WF52" s="12"/>
      <c r="WG52" s="12"/>
      <c r="WH52" s="12"/>
      <c r="WI52" s="12"/>
      <c r="WJ52" s="12"/>
      <c r="WK52" s="12"/>
      <c r="WL52" s="12"/>
      <c r="WM52" s="12"/>
      <c r="WN52" s="12"/>
      <c r="WO52" s="12"/>
      <c r="WP52" s="12"/>
      <c r="WQ52" s="12"/>
      <c r="WR52" s="12"/>
      <c r="WS52" s="12"/>
      <c r="WT52" s="12"/>
      <c r="WU52" s="12"/>
      <c r="WV52" s="12"/>
      <c r="WW52" s="12"/>
      <c r="WX52" s="12"/>
      <c r="WY52" s="12"/>
      <c r="WZ52" s="12"/>
      <c r="XA52" s="12"/>
      <c r="XB52" s="12"/>
      <c r="XC52" s="12"/>
      <c r="XD52" s="12"/>
      <c r="XE52" s="12"/>
      <c r="XF52" s="12"/>
      <c r="XG52" s="12"/>
      <c r="XH52" s="12"/>
      <c r="XI52" s="12"/>
      <c r="XJ52" s="12"/>
      <c r="XK52" s="12"/>
      <c r="XL52" s="12"/>
      <c r="XM52" s="12"/>
      <c r="XN52" s="12"/>
      <c r="XO52" s="12"/>
      <c r="XP52" s="12"/>
      <c r="XQ52" s="12"/>
      <c r="XR52" s="12"/>
      <c r="XS52" s="12"/>
      <c r="XT52" s="12"/>
      <c r="XU52" s="12"/>
      <c r="XV52" s="12"/>
      <c r="XW52" s="12"/>
      <c r="XX52" s="12"/>
      <c r="XY52" s="12"/>
      <c r="XZ52" s="12"/>
      <c r="YA52" s="12"/>
      <c r="YB52" s="12"/>
      <c r="YC52" s="12"/>
      <c r="YD52" s="12"/>
      <c r="YE52" s="12"/>
      <c r="YF52" s="12"/>
      <c r="YG52" s="12"/>
      <c r="YH52" s="12"/>
      <c r="YI52" s="12"/>
      <c r="YJ52" s="12"/>
      <c r="YK52" s="12"/>
      <c r="YL52" s="12"/>
      <c r="YM52" s="12"/>
      <c r="YN52" s="12"/>
      <c r="YO52" s="12"/>
      <c r="YP52" s="12"/>
      <c r="YQ52" s="12"/>
      <c r="YR52" s="12"/>
      <c r="YS52" s="12"/>
      <c r="YT52" s="12"/>
      <c r="YU52" s="12"/>
      <c r="YV52" s="12"/>
      <c r="YW52" s="12"/>
      <c r="YX52" s="12"/>
      <c r="YY52" s="12"/>
      <c r="YZ52" s="12"/>
      <c r="ZA52" s="12"/>
      <c r="ZB52" s="12"/>
      <c r="ZC52" s="12"/>
      <c r="ZD52" s="12"/>
      <c r="ZE52" s="12"/>
      <c r="ZF52" s="12"/>
      <c r="ZG52" s="12"/>
      <c r="ZH52" s="12"/>
      <c r="ZI52" s="12"/>
      <c r="ZJ52" s="12"/>
      <c r="ZK52" s="12"/>
      <c r="ZL52" s="12"/>
      <c r="ZM52" s="12"/>
      <c r="ZN52" s="12"/>
      <c r="ZO52" s="12"/>
      <c r="ZP52" s="12"/>
      <c r="ZQ52" s="12"/>
      <c r="ZR52" s="12"/>
      <c r="ZS52" s="12"/>
      <c r="ZT52" s="12"/>
      <c r="ZU52" s="12"/>
      <c r="ZV52" s="12"/>
      <c r="ZW52" s="12"/>
      <c r="ZX52" s="12"/>
      <c r="ZY52" s="12"/>
      <c r="ZZ52" s="12"/>
      <c r="AAA52" s="12"/>
      <c r="AAB52" s="12"/>
      <c r="AAC52" s="12"/>
      <c r="AAD52" s="12"/>
      <c r="AAE52" s="12"/>
      <c r="AAF52" s="12"/>
      <c r="AAG52" s="12"/>
      <c r="AAH52" s="12"/>
      <c r="AAI52" s="12"/>
      <c r="AAJ52" s="12"/>
      <c r="AAK52" s="12"/>
      <c r="AAL52" s="12"/>
      <c r="AAM52" s="12"/>
      <c r="AAN52" s="12"/>
      <c r="AAO52" s="12"/>
      <c r="AAP52" s="12"/>
      <c r="AAQ52" s="12"/>
      <c r="AAR52" s="12"/>
      <c r="AAS52" s="12"/>
      <c r="AAT52" s="12"/>
      <c r="AAU52" s="12"/>
      <c r="AAV52" s="12"/>
      <c r="AAW52" s="12"/>
      <c r="AAX52" s="12"/>
      <c r="AAY52" s="12"/>
      <c r="AAZ52" s="12"/>
      <c r="ABA52" s="12"/>
      <c r="ABB52" s="12"/>
      <c r="ABC52" s="12"/>
      <c r="ABD52" s="12"/>
      <c r="ABE52" s="12"/>
      <c r="ABF52" s="12"/>
      <c r="ABG52" s="12"/>
      <c r="ABH52" s="12"/>
      <c r="ABI52" s="12"/>
      <c r="ABJ52" s="12"/>
      <c r="ABK52" s="12"/>
      <c r="ABL52" s="12"/>
      <c r="ABM52" s="12"/>
      <c r="ABN52" s="12"/>
      <c r="ABO52" s="12"/>
      <c r="ABP52" s="12"/>
      <c r="ABQ52" s="12"/>
      <c r="ABR52" s="12"/>
      <c r="ABS52" s="12"/>
      <c r="ABT52" s="12"/>
      <c r="ABU52" s="12"/>
      <c r="ABV52" s="12"/>
      <c r="ABW52" s="12"/>
      <c r="ABX52" s="12"/>
      <c r="ABY52" s="12"/>
      <c r="ABZ52" s="12"/>
      <c r="ACA52" s="12"/>
      <c r="ACB52" s="12"/>
      <c r="ACC52" s="12"/>
      <c r="ACD52" s="12"/>
      <c r="ACE52" s="12"/>
      <c r="ACF52" s="12"/>
      <c r="ACG52" s="12"/>
      <c r="ACH52" s="12"/>
      <c r="ACI52" s="12"/>
      <c r="ACJ52" s="12"/>
      <c r="ACK52" s="12"/>
      <c r="ACL52" s="12"/>
      <c r="ACM52" s="12"/>
      <c r="ACN52" s="12"/>
      <c r="ACO52" s="12"/>
      <c r="ACP52" s="12"/>
      <c r="ACQ52" s="12"/>
      <c r="ACR52" s="12"/>
      <c r="ACS52" s="12"/>
      <c r="ACT52" s="12"/>
      <c r="ACU52" s="12"/>
      <c r="ACV52" s="12"/>
      <c r="ACW52" s="12"/>
      <c r="ACX52" s="12"/>
      <c r="ACY52" s="12"/>
      <c r="ACZ52" s="12"/>
      <c r="ADA52" s="12"/>
      <c r="ADB52" s="12"/>
      <c r="ADC52" s="12"/>
      <c r="ADD52" s="12"/>
      <c r="ADE52" s="12"/>
      <c r="ADF52" s="12"/>
      <c r="ADG52" s="12"/>
      <c r="ADH52" s="12"/>
      <c r="ADI52" s="12"/>
      <c r="ADJ52" s="12"/>
      <c r="ADK52" s="12"/>
      <c r="ADL52" s="12"/>
      <c r="ADM52" s="12"/>
      <c r="ADN52" s="12"/>
      <c r="ADO52" s="12"/>
      <c r="ADP52" s="12"/>
      <c r="ADQ52" s="12"/>
      <c r="ADR52" s="12"/>
      <c r="ADS52" s="12"/>
      <c r="ADT52" s="12"/>
      <c r="ADU52" s="12"/>
      <c r="ADV52" s="12"/>
      <c r="ADW52" s="12"/>
      <c r="ADX52" s="12"/>
      <c r="ADY52" s="12"/>
      <c r="ADZ52" s="12"/>
      <c r="AEA52" s="12"/>
      <c r="AEB52" s="12"/>
      <c r="AEC52" s="12"/>
      <c r="AED52" s="12"/>
      <c r="AEE52" s="12"/>
      <c r="AEF52" s="12"/>
      <c r="AEG52" s="12"/>
      <c r="AEH52" s="12"/>
      <c r="AEI52" s="12"/>
      <c r="AEJ52" s="12"/>
      <c r="AEK52" s="12"/>
      <c r="AEL52" s="12"/>
      <c r="AEM52" s="12"/>
      <c r="AEN52" s="12"/>
      <c r="AEO52" s="12"/>
      <c r="AEP52" s="12"/>
      <c r="AEQ52" s="12"/>
      <c r="AER52" s="12"/>
      <c r="AES52" s="12"/>
      <c r="AET52" s="12"/>
      <c r="AEU52" s="12"/>
      <c r="AEV52" s="12"/>
    </row>
    <row r="53" spans="1:828" s="27" customFormat="1" ht="18" x14ac:dyDescent="0.2">
      <c r="A53" s="61"/>
      <c r="D53" s="29"/>
      <c r="E53" s="23"/>
      <c r="F53" s="23"/>
      <c r="G53" s="23"/>
      <c r="H53" s="30"/>
      <c r="K53" s="30"/>
      <c r="L53" s="23"/>
      <c r="M53" s="29"/>
      <c r="N53" s="47"/>
      <c r="O53" s="47"/>
      <c r="P53" s="48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2"/>
      <c r="EJ53" s="12"/>
      <c r="EK53" s="12"/>
      <c r="EL53" s="12"/>
      <c r="EM53" s="12"/>
      <c r="EN53" s="12"/>
      <c r="EO53" s="12"/>
      <c r="EP53" s="12"/>
      <c r="EQ53" s="12"/>
      <c r="ER53" s="12"/>
      <c r="ES53" s="12"/>
      <c r="ET53" s="12"/>
      <c r="EU53" s="12"/>
      <c r="EV53" s="12"/>
      <c r="EW53" s="12"/>
      <c r="EX53" s="12"/>
      <c r="EY53" s="12"/>
      <c r="EZ53" s="12"/>
      <c r="FA53" s="12"/>
      <c r="FB53" s="12"/>
      <c r="FC53" s="12"/>
      <c r="FD53" s="12"/>
      <c r="FE53" s="12"/>
      <c r="FF53" s="12"/>
      <c r="FG53" s="12"/>
      <c r="FH53" s="12"/>
      <c r="FI53" s="12"/>
      <c r="FJ53" s="12"/>
      <c r="FK53" s="12"/>
      <c r="FL53" s="12"/>
      <c r="FM53" s="12"/>
      <c r="FN53" s="12"/>
      <c r="FO53" s="12"/>
      <c r="FP53" s="12"/>
      <c r="FQ53" s="12"/>
      <c r="FR53" s="12"/>
      <c r="FS53" s="12"/>
      <c r="FT53" s="12"/>
      <c r="FU53" s="12"/>
      <c r="FV53" s="12"/>
      <c r="FW53" s="12"/>
      <c r="FX53" s="12"/>
      <c r="FY53" s="12"/>
      <c r="FZ53" s="12"/>
      <c r="GA53" s="12"/>
      <c r="GB53" s="12"/>
      <c r="GC53" s="12"/>
      <c r="GD53" s="12"/>
      <c r="GE53" s="12"/>
      <c r="GF53" s="12"/>
      <c r="GG53" s="12"/>
      <c r="GH53" s="12"/>
      <c r="GI53" s="12"/>
      <c r="GJ53" s="12"/>
      <c r="GK53" s="12"/>
      <c r="GL53" s="12"/>
      <c r="GM53" s="12"/>
      <c r="GN53" s="12"/>
      <c r="GO53" s="12"/>
      <c r="GP53" s="12"/>
      <c r="GQ53" s="12"/>
      <c r="GR53" s="12"/>
      <c r="GS53" s="12"/>
      <c r="GT53" s="12"/>
      <c r="GU53" s="12"/>
      <c r="GV53" s="12"/>
      <c r="GW53" s="12"/>
      <c r="GX53" s="12"/>
      <c r="GY53" s="12"/>
      <c r="GZ53" s="12"/>
      <c r="HA53" s="12"/>
      <c r="HB53" s="12"/>
      <c r="HC53" s="12"/>
      <c r="HD53" s="12"/>
      <c r="HE53" s="12"/>
      <c r="HF53" s="12"/>
      <c r="HG53" s="12"/>
      <c r="HH53" s="12"/>
      <c r="HI53" s="12"/>
      <c r="HJ53" s="12"/>
      <c r="HK53" s="12"/>
      <c r="HL53" s="12"/>
      <c r="HM53" s="12"/>
      <c r="HN53" s="12"/>
      <c r="HO53" s="12"/>
      <c r="HP53" s="12"/>
      <c r="HQ53" s="12"/>
      <c r="HR53" s="12"/>
      <c r="HS53" s="12"/>
      <c r="HT53" s="12"/>
      <c r="HU53" s="12"/>
      <c r="HV53" s="12"/>
      <c r="HW53" s="12"/>
      <c r="HX53" s="12"/>
      <c r="HY53" s="12"/>
      <c r="HZ53" s="12"/>
      <c r="IA53" s="12"/>
      <c r="IB53" s="12"/>
      <c r="IC53" s="12"/>
      <c r="ID53" s="12"/>
      <c r="IE53" s="12"/>
      <c r="IF53" s="12"/>
      <c r="IG53" s="12"/>
      <c r="IH53" s="12"/>
      <c r="II53" s="12"/>
      <c r="IJ53" s="12"/>
      <c r="IK53" s="12"/>
      <c r="IL53" s="12"/>
      <c r="IM53" s="12"/>
      <c r="IN53" s="12"/>
      <c r="IO53" s="12"/>
      <c r="IP53" s="12"/>
      <c r="IQ53" s="12"/>
      <c r="IR53" s="12"/>
      <c r="IS53" s="12"/>
      <c r="IT53" s="12"/>
      <c r="IU53" s="12"/>
      <c r="IV53" s="12"/>
      <c r="IW53" s="12"/>
      <c r="IX53" s="12"/>
      <c r="IY53" s="12"/>
      <c r="IZ53" s="12"/>
      <c r="JA53" s="12"/>
      <c r="JB53" s="12"/>
      <c r="JC53" s="12"/>
      <c r="JD53" s="12"/>
      <c r="JE53" s="12"/>
      <c r="JF53" s="12"/>
      <c r="JG53" s="12"/>
      <c r="JH53" s="12"/>
      <c r="JI53" s="12"/>
      <c r="JJ53" s="12"/>
      <c r="JK53" s="12"/>
      <c r="JL53" s="12"/>
      <c r="JM53" s="12"/>
      <c r="JN53" s="12"/>
      <c r="JO53" s="12"/>
      <c r="JP53" s="12"/>
      <c r="JQ53" s="12"/>
      <c r="JR53" s="12"/>
      <c r="JS53" s="12"/>
      <c r="JT53" s="12"/>
      <c r="JU53" s="12"/>
      <c r="JV53" s="12"/>
      <c r="JW53" s="12"/>
      <c r="JX53" s="12"/>
      <c r="JY53" s="12"/>
      <c r="JZ53" s="12"/>
      <c r="KA53" s="12"/>
      <c r="KB53" s="12"/>
      <c r="KC53" s="12"/>
      <c r="KD53" s="12"/>
      <c r="KE53" s="12"/>
      <c r="KF53" s="12"/>
      <c r="KG53" s="12"/>
      <c r="KH53" s="12"/>
      <c r="KI53" s="12"/>
      <c r="KJ53" s="12"/>
      <c r="KK53" s="12"/>
      <c r="KL53" s="12"/>
      <c r="KM53" s="12"/>
      <c r="KN53" s="12"/>
      <c r="KO53" s="12"/>
      <c r="KP53" s="12"/>
      <c r="KQ53" s="12"/>
      <c r="KR53" s="12"/>
      <c r="KS53" s="12"/>
      <c r="KT53" s="12"/>
      <c r="KU53" s="12"/>
      <c r="KV53" s="12"/>
      <c r="KW53" s="12"/>
      <c r="KX53" s="12"/>
      <c r="KY53" s="12"/>
      <c r="KZ53" s="12"/>
      <c r="LA53" s="12"/>
      <c r="LB53" s="12"/>
      <c r="LC53" s="12"/>
      <c r="LD53" s="12"/>
      <c r="LE53" s="12"/>
      <c r="LF53" s="12"/>
      <c r="LG53" s="12"/>
      <c r="LH53" s="12"/>
      <c r="LI53" s="12"/>
      <c r="LJ53" s="12"/>
      <c r="LK53" s="12"/>
      <c r="LL53" s="12"/>
      <c r="LM53" s="12"/>
      <c r="LN53" s="12"/>
      <c r="LO53" s="12"/>
      <c r="LP53" s="12"/>
      <c r="LQ53" s="12"/>
      <c r="LR53" s="12"/>
      <c r="LS53" s="12"/>
      <c r="LT53" s="12"/>
      <c r="LU53" s="12"/>
      <c r="LV53" s="12"/>
      <c r="LW53" s="12"/>
      <c r="LX53" s="12"/>
      <c r="LY53" s="12"/>
      <c r="LZ53" s="12"/>
      <c r="MA53" s="12"/>
      <c r="MB53" s="12"/>
      <c r="MC53" s="12"/>
      <c r="MD53" s="12"/>
      <c r="ME53" s="12"/>
      <c r="MF53" s="12"/>
      <c r="MG53" s="12"/>
      <c r="MH53" s="12"/>
      <c r="MI53" s="12"/>
      <c r="MJ53" s="12"/>
      <c r="MK53" s="12"/>
      <c r="ML53" s="12"/>
      <c r="MM53" s="12"/>
      <c r="MN53" s="12"/>
      <c r="MO53" s="12"/>
      <c r="MP53" s="12"/>
      <c r="MQ53" s="12"/>
      <c r="MR53" s="12"/>
      <c r="MS53" s="12"/>
      <c r="MT53" s="12"/>
      <c r="MU53" s="12"/>
      <c r="MV53" s="12"/>
      <c r="MW53" s="12"/>
      <c r="MX53" s="12"/>
      <c r="MY53" s="12"/>
      <c r="MZ53" s="12"/>
      <c r="NA53" s="12"/>
      <c r="NB53" s="12"/>
      <c r="NC53" s="12"/>
      <c r="ND53" s="12"/>
      <c r="NE53" s="12"/>
      <c r="NF53" s="12"/>
      <c r="NG53" s="12"/>
      <c r="NH53" s="12"/>
      <c r="NI53" s="12"/>
      <c r="NJ53" s="12"/>
      <c r="NK53" s="12"/>
      <c r="NL53" s="12"/>
      <c r="NM53" s="12"/>
      <c r="NN53" s="12"/>
      <c r="NO53" s="12"/>
      <c r="NP53" s="12"/>
      <c r="NQ53" s="12"/>
      <c r="NR53" s="12"/>
      <c r="NS53" s="12"/>
      <c r="NT53" s="12"/>
      <c r="NU53" s="12"/>
      <c r="NV53" s="12"/>
      <c r="NW53" s="12"/>
      <c r="NX53" s="12"/>
      <c r="NY53" s="12"/>
      <c r="NZ53" s="12"/>
      <c r="OA53" s="12"/>
      <c r="OB53" s="12"/>
      <c r="OC53" s="12"/>
      <c r="OD53" s="12"/>
      <c r="OE53" s="12"/>
      <c r="OF53" s="12"/>
      <c r="OG53" s="12"/>
      <c r="OH53" s="12"/>
      <c r="OI53" s="12"/>
      <c r="OJ53" s="12"/>
      <c r="OK53" s="12"/>
      <c r="OL53" s="12"/>
      <c r="OM53" s="12"/>
      <c r="ON53" s="12"/>
      <c r="OO53" s="12"/>
      <c r="OP53" s="12"/>
      <c r="OQ53" s="12"/>
      <c r="OR53" s="12"/>
      <c r="OS53" s="12"/>
      <c r="OT53" s="12"/>
      <c r="OU53" s="12"/>
      <c r="OV53" s="12"/>
      <c r="OW53" s="12"/>
      <c r="OX53" s="12"/>
      <c r="OY53" s="12"/>
      <c r="OZ53" s="12"/>
      <c r="PA53" s="12"/>
      <c r="PB53" s="12"/>
      <c r="PC53" s="12"/>
      <c r="PD53" s="12"/>
      <c r="PE53" s="12"/>
      <c r="PF53" s="12"/>
      <c r="PG53" s="12"/>
      <c r="PH53" s="12"/>
      <c r="PI53" s="12"/>
      <c r="PJ53" s="12"/>
      <c r="PK53" s="12"/>
      <c r="PL53" s="12"/>
      <c r="PM53" s="12"/>
      <c r="PN53" s="12"/>
      <c r="PO53" s="12"/>
      <c r="PP53" s="12"/>
      <c r="PQ53" s="12"/>
      <c r="PR53" s="12"/>
      <c r="PS53" s="12"/>
      <c r="PT53" s="12"/>
      <c r="PU53" s="12"/>
      <c r="PV53" s="12"/>
      <c r="PW53" s="12"/>
      <c r="PX53" s="12"/>
      <c r="PY53" s="12"/>
      <c r="PZ53" s="12"/>
      <c r="QA53" s="12"/>
      <c r="QB53" s="12"/>
      <c r="QC53" s="12"/>
      <c r="QD53" s="12"/>
      <c r="QE53" s="12"/>
      <c r="QF53" s="12"/>
      <c r="QG53" s="12"/>
      <c r="QH53" s="12"/>
      <c r="QI53" s="12"/>
      <c r="QJ53" s="12"/>
      <c r="QK53" s="12"/>
      <c r="QL53" s="12"/>
      <c r="QM53" s="12"/>
      <c r="QN53" s="12"/>
      <c r="QO53" s="12"/>
      <c r="QP53" s="12"/>
      <c r="QQ53" s="12"/>
      <c r="QR53" s="12"/>
      <c r="QS53" s="12"/>
      <c r="QT53" s="12"/>
      <c r="QU53" s="12"/>
      <c r="QV53" s="12"/>
      <c r="QW53" s="12"/>
      <c r="QX53" s="12"/>
      <c r="QY53" s="12"/>
      <c r="QZ53" s="12"/>
      <c r="RA53" s="12"/>
      <c r="RB53" s="12"/>
      <c r="RC53" s="12"/>
      <c r="RD53" s="12"/>
      <c r="RE53" s="12"/>
      <c r="RF53" s="12"/>
      <c r="RG53" s="12"/>
      <c r="RH53" s="12"/>
      <c r="RI53" s="12"/>
      <c r="RJ53" s="12"/>
      <c r="RK53" s="12"/>
      <c r="RL53" s="12"/>
      <c r="RM53" s="12"/>
      <c r="RN53" s="12"/>
      <c r="RO53" s="12"/>
      <c r="RP53" s="12"/>
      <c r="RQ53" s="12"/>
      <c r="RR53" s="12"/>
      <c r="RS53" s="12"/>
      <c r="RT53" s="12"/>
      <c r="RU53" s="12"/>
      <c r="RV53" s="12"/>
      <c r="RW53" s="12"/>
      <c r="RX53" s="12"/>
      <c r="RY53" s="12"/>
      <c r="RZ53" s="12"/>
      <c r="SA53" s="12"/>
      <c r="SB53" s="12"/>
      <c r="SC53" s="12"/>
      <c r="SD53" s="12"/>
      <c r="SE53" s="12"/>
      <c r="SF53" s="12"/>
      <c r="SG53" s="12"/>
      <c r="SH53" s="12"/>
      <c r="SI53" s="12"/>
      <c r="SJ53" s="12"/>
      <c r="SK53" s="12"/>
      <c r="SL53" s="12"/>
      <c r="SM53" s="12"/>
      <c r="SN53" s="12"/>
      <c r="SO53" s="12"/>
      <c r="SP53" s="12"/>
      <c r="SQ53" s="12"/>
      <c r="SR53" s="12"/>
      <c r="SS53" s="12"/>
      <c r="ST53" s="12"/>
      <c r="SU53" s="12"/>
      <c r="SV53" s="12"/>
      <c r="SW53" s="12"/>
      <c r="SX53" s="12"/>
      <c r="SY53" s="12"/>
      <c r="SZ53" s="12"/>
      <c r="TA53" s="12"/>
      <c r="TB53" s="12"/>
      <c r="TC53" s="12"/>
      <c r="TD53" s="12"/>
      <c r="TE53" s="12"/>
      <c r="TF53" s="12"/>
      <c r="TG53" s="12"/>
      <c r="TH53" s="12"/>
      <c r="TI53" s="12"/>
      <c r="TJ53" s="12"/>
      <c r="TK53" s="12"/>
      <c r="TL53" s="12"/>
      <c r="TM53" s="12"/>
      <c r="TN53" s="12"/>
      <c r="TO53" s="12"/>
      <c r="TP53" s="12"/>
      <c r="TQ53" s="12"/>
      <c r="TR53" s="12"/>
      <c r="TS53" s="12"/>
      <c r="TT53" s="12"/>
      <c r="TU53" s="12"/>
      <c r="TV53" s="12"/>
      <c r="TW53" s="12"/>
      <c r="TX53" s="12"/>
      <c r="TY53" s="12"/>
      <c r="TZ53" s="12"/>
      <c r="UA53" s="12"/>
      <c r="UB53" s="12"/>
      <c r="UC53" s="12"/>
      <c r="UD53" s="12"/>
      <c r="UE53" s="12"/>
      <c r="UF53" s="12"/>
      <c r="UG53" s="12"/>
      <c r="UH53" s="12"/>
      <c r="UI53" s="12"/>
      <c r="UJ53" s="12"/>
      <c r="UK53" s="12"/>
      <c r="UL53" s="12"/>
      <c r="UM53" s="12"/>
      <c r="UN53" s="12"/>
      <c r="UO53" s="12"/>
      <c r="UP53" s="12"/>
      <c r="UQ53" s="12"/>
      <c r="UR53" s="12"/>
      <c r="US53" s="12"/>
      <c r="UT53" s="12"/>
      <c r="UU53" s="12"/>
      <c r="UV53" s="12"/>
      <c r="UW53" s="12"/>
      <c r="UX53" s="12"/>
      <c r="UY53" s="12"/>
      <c r="UZ53" s="12"/>
      <c r="VA53" s="12"/>
      <c r="VB53" s="12"/>
      <c r="VC53" s="12"/>
      <c r="VD53" s="12"/>
      <c r="VE53" s="12"/>
      <c r="VF53" s="12"/>
      <c r="VG53" s="12"/>
      <c r="VH53" s="12"/>
      <c r="VI53" s="12"/>
      <c r="VJ53" s="12"/>
      <c r="VK53" s="12"/>
      <c r="VL53" s="12"/>
      <c r="VM53" s="12"/>
      <c r="VN53" s="12"/>
      <c r="VO53" s="12"/>
      <c r="VP53" s="12"/>
      <c r="VQ53" s="12"/>
      <c r="VR53" s="12"/>
      <c r="VS53" s="12"/>
      <c r="VT53" s="12"/>
      <c r="VU53" s="12"/>
      <c r="VV53" s="12"/>
      <c r="VW53" s="12"/>
      <c r="VX53" s="12"/>
      <c r="VY53" s="12"/>
      <c r="VZ53" s="12"/>
      <c r="WA53" s="12"/>
      <c r="WB53" s="12"/>
      <c r="WC53" s="12"/>
      <c r="WD53" s="12"/>
      <c r="WE53" s="12"/>
      <c r="WF53" s="12"/>
      <c r="WG53" s="12"/>
      <c r="WH53" s="12"/>
      <c r="WI53" s="12"/>
      <c r="WJ53" s="12"/>
      <c r="WK53" s="12"/>
      <c r="WL53" s="12"/>
      <c r="WM53" s="12"/>
      <c r="WN53" s="12"/>
      <c r="WO53" s="12"/>
      <c r="WP53" s="12"/>
      <c r="WQ53" s="12"/>
      <c r="WR53" s="12"/>
      <c r="WS53" s="12"/>
      <c r="WT53" s="12"/>
      <c r="WU53" s="12"/>
      <c r="WV53" s="12"/>
      <c r="WW53" s="12"/>
      <c r="WX53" s="12"/>
      <c r="WY53" s="12"/>
      <c r="WZ53" s="12"/>
      <c r="XA53" s="12"/>
      <c r="XB53" s="12"/>
      <c r="XC53" s="12"/>
      <c r="XD53" s="12"/>
      <c r="XE53" s="12"/>
      <c r="XF53" s="12"/>
      <c r="XG53" s="12"/>
      <c r="XH53" s="12"/>
      <c r="XI53" s="12"/>
      <c r="XJ53" s="12"/>
      <c r="XK53" s="12"/>
      <c r="XL53" s="12"/>
      <c r="XM53" s="12"/>
      <c r="XN53" s="12"/>
      <c r="XO53" s="12"/>
      <c r="XP53" s="12"/>
      <c r="XQ53" s="12"/>
      <c r="XR53" s="12"/>
      <c r="XS53" s="12"/>
      <c r="XT53" s="12"/>
      <c r="XU53" s="12"/>
      <c r="XV53" s="12"/>
      <c r="XW53" s="12"/>
      <c r="XX53" s="12"/>
      <c r="XY53" s="12"/>
      <c r="XZ53" s="12"/>
      <c r="YA53" s="12"/>
      <c r="YB53" s="12"/>
      <c r="YC53" s="12"/>
      <c r="YD53" s="12"/>
      <c r="YE53" s="12"/>
      <c r="YF53" s="12"/>
      <c r="YG53" s="12"/>
      <c r="YH53" s="12"/>
      <c r="YI53" s="12"/>
      <c r="YJ53" s="12"/>
      <c r="YK53" s="12"/>
      <c r="YL53" s="12"/>
      <c r="YM53" s="12"/>
      <c r="YN53" s="12"/>
      <c r="YO53" s="12"/>
      <c r="YP53" s="12"/>
      <c r="YQ53" s="12"/>
      <c r="YR53" s="12"/>
      <c r="YS53" s="12"/>
      <c r="YT53" s="12"/>
      <c r="YU53" s="12"/>
      <c r="YV53" s="12"/>
      <c r="YW53" s="12"/>
      <c r="YX53" s="12"/>
      <c r="YY53" s="12"/>
      <c r="YZ53" s="12"/>
      <c r="ZA53" s="12"/>
      <c r="ZB53" s="12"/>
      <c r="ZC53" s="12"/>
      <c r="ZD53" s="12"/>
      <c r="ZE53" s="12"/>
      <c r="ZF53" s="12"/>
      <c r="ZG53" s="12"/>
      <c r="ZH53" s="12"/>
      <c r="ZI53" s="12"/>
      <c r="ZJ53" s="12"/>
      <c r="ZK53" s="12"/>
      <c r="ZL53" s="12"/>
      <c r="ZM53" s="12"/>
      <c r="ZN53" s="12"/>
      <c r="ZO53" s="12"/>
      <c r="ZP53" s="12"/>
      <c r="ZQ53" s="12"/>
      <c r="ZR53" s="12"/>
      <c r="ZS53" s="12"/>
      <c r="ZT53" s="12"/>
      <c r="ZU53" s="12"/>
      <c r="ZV53" s="12"/>
      <c r="ZW53" s="12"/>
      <c r="ZX53" s="12"/>
      <c r="ZY53" s="12"/>
      <c r="ZZ53" s="12"/>
      <c r="AAA53" s="12"/>
      <c r="AAB53" s="12"/>
      <c r="AAC53" s="12"/>
      <c r="AAD53" s="12"/>
      <c r="AAE53" s="12"/>
      <c r="AAF53" s="12"/>
      <c r="AAG53" s="12"/>
      <c r="AAH53" s="12"/>
      <c r="AAI53" s="12"/>
      <c r="AAJ53" s="12"/>
      <c r="AAK53" s="12"/>
      <c r="AAL53" s="12"/>
      <c r="AAM53" s="12"/>
      <c r="AAN53" s="12"/>
      <c r="AAO53" s="12"/>
      <c r="AAP53" s="12"/>
      <c r="AAQ53" s="12"/>
      <c r="AAR53" s="12"/>
      <c r="AAS53" s="12"/>
      <c r="AAT53" s="12"/>
      <c r="AAU53" s="12"/>
      <c r="AAV53" s="12"/>
      <c r="AAW53" s="12"/>
      <c r="AAX53" s="12"/>
      <c r="AAY53" s="12"/>
      <c r="AAZ53" s="12"/>
      <c r="ABA53" s="12"/>
      <c r="ABB53" s="12"/>
      <c r="ABC53" s="12"/>
      <c r="ABD53" s="12"/>
      <c r="ABE53" s="12"/>
      <c r="ABF53" s="12"/>
      <c r="ABG53" s="12"/>
      <c r="ABH53" s="12"/>
      <c r="ABI53" s="12"/>
      <c r="ABJ53" s="12"/>
      <c r="ABK53" s="12"/>
      <c r="ABL53" s="12"/>
      <c r="ABM53" s="12"/>
      <c r="ABN53" s="12"/>
      <c r="ABO53" s="12"/>
      <c r="ABP53" s="12"/>
      <c r="ABQ53" s="12"/>
      <c r="ABR53" s="12"/>
      <c r="ABS53" s="12"/>
      <c r="ABT53" s="12"/>
      <c r="ABU53" s="12"/>
      <c r="ABV53" s="12"/>
      <c r="ABW53" s="12"/>
      <c r="ABX53" s="12"/>
      <c r="ABY53" s="12"/>
      <c r="ABZ53" s="12"/>
      <c r="ACA53" s="12"/>
      <c r="ACB53" s="12"/>
      <c r="ACC53" s="12"/>
      <c r="ACD53" s="12"/>
      <c r="ACE53" s="12"/>
      <c r="ACF53" s="12"/>
      <c r="ACG53" s="12"/>
      <c r="ACH53" s="12"/>
      <c r="ACI53" s="12"/>
      <c r="ACJ53" s="12"/>
      <c r="ACK53" s="12"/>
      <c r="ACL53" s="12"/>
      <c r="ACM53" s="12"/>
      <c r="ACN53" s="12"/>
      <c r="ACO53" s="12"/>
      <c r="ACP53" s="12"/>
      <c r="ACQ53" s="12"/>
      <c r="ACR53" s="12"/>
      <c r="ACS53" s="12"/>
      <c r="ACT53" s="12"/>
      <c r="ACU53" s="12"/>
      <c r="ACV53" s="12"/>
      <c r="ACW53" s="12"/>
      <c r="ACX53" s="12"/>
      <c r="ACY53" s="12"/>
      <c r="ACZ53" s="12"/>
      <c r="ADA53" s="12"/>
      <c r="ADB53" s="12"/>
      <c r="ADC53" s="12"/>
      <c r="ADD53" s="12"/>
      <c r="ADE53" s="12"/>
      <c r="ADF53" s="12"/>
      <c r="ADG53" s="12"/>
      <c r="ADH53" s="12"/>
      <c r="ADI53" s="12"/>
      <c r="ADJ53" s="12"/>
      <c r="ADK53" s="12"/>
      <c r="ADL53" s="12"/>
      <c r="ADM53" s="12"/>
      <c r="ADN53" s="12"/>
      <c r="ADO53" s="12"/>
      <c r="ADP53" s="12"/>
      <c r="ADQ53" s="12"/>
      <c r="ADR53" s="12"/>
      <c r="ADS53" s="12"/>
      <c r="ADT53" s="12"/>
      <c r="ADU53" s="12"/>
      <c r="ADV53" s="12"/>
      <c r="ADW53" s="12"/>
      <c r="ADX53" s="12"/>
      <c r="ADY53" s="12"/>
      <c r="ADZ53" s="12"/>
      <c r="AEA53" s="12"/>
      <c r="AEB53" s="12"/>
      <c r="AEC53" s="12"/>
      <c r="AED53" s="12"/>
      <c r="AEE53" s="12"/>
      <c r="AEF53" s="12"/>
      <c r="AEG53" s="12"/>
      <c r="AEH53" s="12"/>
      <c r="AEI53" s="12"/>
      <c r="AEJ53" s="12"/>
      <c r="AEK53" s="12"/>
      <c r="AEL53" s="12"/>
      <c r="AEM53" s="12"/>
      <c r="AEN53" s="12"/>
      <c r="AEO53" s="12"/>
      <c r="AEP53" s="12"/>
      <c r="AEQ53" s="12"/>
      <c r="AER53" s="12"/>
      <c r="AES53" s="12"/>
      <c r="AET53" s="12"/>
      <c r="AEU53" s="12"/>
      <c r="AEV53" s="12"/>
    </row>
    <row r="54" spans="1:828" s="27" customFormat="1" ht="18" x14ac:dyDescent="0.2">
      <c r="A54" s="61"/>
      <c r="C54" s="23"/>
      <c r="D54" s="29"/>
      <c r="E54" s="23"/>
      <c r="F54" s="23"/>
      <c r="G54" s="23"/>
      <c r="H54" s="30"/>
      <c r="K54" s="30"/>
      <c r="L54" s="23"/>
      <c r="M54" s="29"/>
      <c r="N54" s="47"/>
      <c r="O54" s="47"/>
      <c r="P54" s="48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2"/>
      <c r="FJ54" s="12"/>
      <c r="FK54" s="12"/>
      <c r="FL54" s="12"/>
      <c r="FM54" s="12"/>
      <c r="FN54" s="12"/>
      <c r="FO54" s="12"/>
      <c r="FP54" s="12"/>
      <c r="FQ54" s="12"/>
      <c r="FR54" s="12"/>
      <c r="FS54" s="12"/>
      <c r="FT54" s="12"/>
      <c r="FU54" s="12"/>
      <c r="FV54" s="12"/>
      <c r="FW54" s="12"/>
      <c r="FX54" s="12"/>
      <c r="FY54" s="12"/>
      <c r="FZ54" s="12"/>
      <c r="GA54" s="12"/>
      <c r="GB54" s="12"/>
      <c r="GC54" s="12"/>
      <c r="GD54" s="12"/>
      <c r="GE54" s="12"/>
      <c r="GF54" s="12"/>
      <c r="GG54" s="12"/>
      <c r="GH54" s="12"/>
      <c r="GI54" s="12"/>
      <c r="GJ54" s="12"/>
      <c r="GK54" s="12"/>
      <c r="GL54" s="12"/>
      <c r="GM54" s="12"/>
      <c r="GN54" s="12"/>
      <c r="GO54" s="12"/>
      <c r="GP54" s="12"/>
      <c r="GQ54" s="12"/>
      <c r="GR54" s="12"/>
      <c r="GS54" s="12"/>
      <c r="GT54" s="12"/>
      <c r="GU54" s="12"/>
      <c r="GV54" s="12"/>
      <c r="GW54" s="12"/>
      <c r="GX54" s="12"/>
      <c r="GY54" s="12"/>
      <c r="GZ54" s="12"/>
      <c r="HA54" s="12"/>
      <c r="HB54" s="12"/>
      <c r="HC54" s="12"/>
      <c r="HD54" s="12"/>
      <c r="HE54" s="12"/>
      <c r="HF54" s="12"/>
      <c r="HG54" s="12"/>
      <c r="HH54" s="12"/>
      <c r="HI54" s="12"/>
      <c r="HJ54" s="12"/>
      <c r="HK54" s="12"/>
      <c r="HL54" s="12"/>
      <c r="HM54" s="12"/>
      <c r="HN54" s="12"/>
      <c r="HO54" s="12"/>
      <c r="HP54" s="12"/>
      <c r="HQ54" s="12"/>
      <c r="HR54" s="12"/>
      <c r="HS54" s="12"/>
      <c r="HT54" s="12"/>
      <c r="HU54" s="12"/>
      <c r="HV54" s="12"/>
      <c r="HW54" s="12"/>
      <c r="HX54" s="12"/>
      <c r="HY54" s="12"/>
      <c r="HZ54" s="12"/>
      <c r="IA54" s="12"/>
      <c r="IB54" s="12"/>
      <c r="IC54" s="12"/>
      <c r="ID54" s="12"/>
      <c r="IE54" s="12"/>
      <c r="IF54" s="12"/>
      <c r="IG54" s="12"/>
      <c r="IH54" s="12"/>
      <c r="II54" s="12"/>
      <c r="IJ54" s="12"/>
      <c r="IK54" s="12"/>
      <c r="IL54" s="12"/>
      <c r="IM54" s="12"/>
      <c r="IN54" s="12"/>
      <c r="IO54" s="12"/>
      <c r="IP54" s="12"/>
      <c r="IQ54" s="12"/>
      <c r="IR54" s="12"/>
      <c r="IS54" s="12"/>
      <c r="IT54" s="12"/>
      <c r="IU54" s="12"/>
      <c r="IV54" s="12"/>
      <c r="IW54" s="12"/>
      <c r="IX54" s="12"/>
      <c r="IY54" s="12"/>
      <c r="IZ54" s="12"/>
      <c r="JA54" s="12"/>
      <c r="JB54" s="12"/>
      <c r="JC54" s="12"/>
      <c r="JD54" s="12"/>
      <c r="JE54" s="12"/>
      <c r="JF54" s="12"/>
      <c r="JG54" s="12"/>
      <c r="JH54" s="12"/>
      <c r="JI54" s="12"/>
      <c r="JJ54" s="12"/>
      <c r="JK54" s="12"/>
      <c r="JL54" s="12"/>
      <c r="JM54" s="12"/>
      <c r="JN54" s="12"/>
      <c r="JO54" s="12"/>
      <c r="JP54" s="12"/>
      <c r="JQ54" s="12"/>
      <c r="JR54" s="12"/>
      <c r="JS54" s="12"/>
      <c r="JT54" s="12"/>
      <c r="JU54" s="12"/>
      <c r="JV54" s="12"/>
      <c r="JW54" s="12"/>
      <c r="JX54" s="12"/>
      <c r="JY54" s="12"/>
      <c r="JZ54" s="12"/>
      <c r="KA54" s="12"/>
      <c r="KB54" s="12"/>
      <c r="KC54" s="12"/>
      <c r="KD54" s="12"/>
      <c r="KE54" s="12"/>
      <c r="KF54" s="12"/>
      <c r="KG54" s="12"/>
      <c r="KH54" s="12"/>
      <c r="KI54" s="12"/>
      <c r="KJ54" s="12"/>
      <c r="KK54" s="12"/>
      <c r="KL54" s="12"/>
      <c r="KM54" s="12"/>
      <c r="KN54" s="12"/>
      <c r="KO54" s="12"/>
      <c r="KP54" s="12"/>
      <c r="KQ54" s="12"/>
      <c r="KR54" s="12"/>
      <c r="KS54" s="12"/>
      <c r="KT54" s="12"/>
      <c r="KU54" s="12"/>
      <c r="KV54" s="12"/>
      <c r="KW54" s="12"/>
      <c r="KX54" s="12"/>
      <c r="KY54" s="12"/>
      <c r="KZ54" s="12"/>
      <c r="LA54" s="12"/>
      <c r="LB54" s="12"/>
      <c r="LC54" s="12"/>
      <c r="LD54" s="12"/>
      <c r="LE54" s="12"/>
      <c r="LF54" s="12"/>
      <c r="LG54" s="12"/>
      <c r="LH54" s="12"/>
      <c r="LI54" s="12"/>
      <c r="LJ54" s="12"/>
      <c r="LK54" s="12"/>
      <c r="LL54" s="12"/>
      <c r="LM54" s="12"/>
      <c r="LN54" s="12"/>
      <c r="LO54" s="12"/>
      <c r="LP54" s="12"/>
      <c r="LQ54" s="12"/>
      <c r="LR54" s="12"/>
      <c r="LS54" s="12"/>
      <c r="LT54" s="12"/>
      <c r="LU54" s="12"/>
      <c r="LV54" s="12"/>
      <c r="LW54" s="12"/>
      <c r="LX54" s="12"/>
      <c r="LY54" s="12"/>
      <c r="LZ54" s="12"/>
      <c r="MA54" s="12"/>
      <c r="MB54" s="12"/>
      <c r="MC54" s="12"/>
      <c r="MD54" s="12"/>
      <c r="ME54" s="12"/>
      <c r="MF54" s="12"/>
      <c r="MG54" s="12"/>
      <c r="MH54" s="12"/>
      <c r="MI54" s="12"/>
      <c r="MJ54" s="12"/>
      <c r="MK54" s="12"/>
      <c r="ML54" s="12"/>
      <c r="MM54" s="12"/>
      <c r="MN54" s="12"/>
      <c r="MO54" s="12"/>
      <c r="MP54" s="12"/>
      <c r="MQ54" s="12"/>
      <c r="MR54" s="12"/>
      <c r="MS54" s="12"/>
      <c r="MT54" s="12"/>
      <c r="MU54" s="12"/>
      <c r="MV54" s="12"/>
      <c r="MW54" s="12"/>
      <c r="MX54" s="12"/>
      <c r="MY54" s="12"/>
      <c r="MZ54" s="12"/>
      <c r="NA54" s="12"/>
      <c r="NB54" s="12"/>
      <c r="NC54" s="12"/>
      <c r="ND54" s="12"/>
      <c r="NE54" s="12"/>
      <c r="NF54" s="12"/>
      <c r="NG54" s="12"/>
      <c r="NH54" s="12"/>
      <c r="NI54" s="12"/>
      <c r="NJ54" s="12"/>
      <c r="NK54" s="12"/>
      <c r="NL54" s="12"/>
      <c r="NM54" s="12"/>
      <c r="NN54" s="12"/>
      <c r="NO54" s="12"/>
      <c r="NP54" s="12"/>
      <c r="NQ54" s="12"/>
      <c r="NR54" s="12"/>
      <c r="NS54" s="12"/>
      <c r="NT54" s="12"/>
      <c r="NU54" s="12"/>
      <c r="NV54" s="12"/>
      <c r="NW54" s="12"/>
      <c r="NX54" s="12"/>
      <c r="NY54" s="12"/>
      <c r="NZ54" s="12"/>
      <c r="OA54" s="12"/>
      <c r="OB54" s="12"/>
      <c r="OC54" s="12"/>
      <c r="OD54" s="12"/>
      <c r="OE54" s="12"/>
      <c r="OF54" s="12"/>
      <c r="OG54" s="12"/>
      <c r="OH54" s="12"/>
      <c r="OI54" s="12"/>
      <c r="OJ54" s="12"/>
      <c r="OK54" s="12"/>
      <c r="OL54" s="12"/>
      <c r="OM54" s="12"/>
      <c r="ON54" s="12"/>
      <c r="OO54" s="12"/>
      <c r="OP54" s="12"/>
      <c r="OQ54" s="12"/>
      <c r="OR54" s="12"/>
      <c r="OS54" s="12"/>
      <c r="OT54" s="12"/>
      <c r="OU54" s="12"/>
      <c r="OV54" s="12"/>
      <c r="OW54" s="12"/>
      <c r="OX54" s="12"/>
      <c r="OY54" s="12"/>
      <c r="OZ54" s="12"/>
      <c r="PA54" s="12"/>
      <c r="PB54" s="12"/>
      <c r="PC54" s="12"/>
      <c r="PD54" s="12"/>
      <c r="PE54" s="12"/>
      <c r="PF54" s="12"/>
      <c r="PG54" s="12"/>
      <c r="PH54" s="12"/>
      <c r="PI54" s="12"/>
      <c r="PJ54" s="12"/>
      <c r="PK54" s="12"/>
      <c r="PL54" s="12"/>
      <c r="PM54" s="12"/>
      <c r="PN54" s="12"/>
      <c r="PO54" s="12"/>
      <c r="PP54" s="12"/>
      <c r="PQ54" s="12"/>
      <c r="PR54" s="12"/>
      <c r="PS54" s="12"/>
      <c r="PT54" s="12"/>
      <c r="PU54" s="12"/>
      <c r="PV54" s="12"/>
      <c r="PW54" s="12"/>
      <c r="PX54" s="12"/>
      <c r="PY54" s="12"/>
      <c r="PZ54" s="12"/>
      <c r="QA54" s="12"/>
      <c r="QB54" s="12"/>
      <c r="QC54" s="12"/>
      <c r="QD54" s="12"/>
      <c r="QE54" s="12"/>
      <c r="QF54" s="12"/>
      <c r="QG54" s="12"/>
      <c r="QH54" s="12"/>
      <c r="QI54" s="12"/>
      <c r="QJ54" s="12"/>
      <c r="QK54" s="12"/>
      <c r="QL54" s="12"/>
      <c r="QM54" s="12"/>
      <c r="QN54" s="12"/>
      <c r="QO54" s="12"/>
      <c r="QP54" s="12"/>
      <c r="QQ54" s="12"/>
      <c r="QR54" s="12"/>
      <c r="QS54" s="12"/>
      <c r="QT54" s="12"/>
      <c r="QU54" s="12"/>
      <c r="QV54" s="12"/>
      <c r="QW54" s="12"/>
      <c r="QX54" s="12"/>
      <c r="QY54" s="12"/>
      <c r="QZ54" s="12"/>
      <c r="RA54" s="12"/>
      <c r="RB54" s="12"/>
      <c r="RC54" s="12"/>
      <c r="RD54" s="12"/>
      <c r="RE54" s="12"/>
      <c r="RF54" s="12"/>
      <c r="RG54" s="12"/>
      <c r="RH54" s="12"/>
      <c r="RI54" s="12"/>
      <c r="RJ54" s="12"/>
      <c r="RK54" s="12"/>
      <c r="RL54" s="12"/>
      <c r="RM54" s="12"/>
      <c r="RN54" s="12"/>
      <c r="RO54" s="12"/>
      <c r="RP54" s="12"/>
      <c r="RQ54" s="12"/>
      <c r="RR54" s="12"/>
      <c r="RS54" s="12"/>
      <c r="RT54" s="12"/>
      <c r="RU54" s="12"/>
      <c r="RV54" s="12"/>
      <c r="RW54" s="12"/>
      <c r="RX54" s="12"/>
      <c r="RY54" s="12"/>
      <c r="RZ54" s="12"/>
      <c r="SA54" s="12"/>
      <c r="SB54" s="12"/>
      <c r="SC54" s="12"/>
      <c r="SD54" s="12"/>
      <c r="SE54" s="12"/>
      <c r="SF54" s="12"/>
      <c r="SG54" s="12"/>
      <c r="SH54" s="12"/>
      <c r="SI54" s="12"/>
      <c r="SJ54" s="12"/>
      <c r="SK54" s="12"/>
      <c r="SL54" s="12"/>
      <c r="SM54" s="12"/>
      <c r="SN54" s="12"/>
      <c r="SO54" s="12"/>
      <c r="SP54" s="12"/>
      <c r="SQ54" s="12"/>
      <c r="SR54" s="12"/>
      <c r="SS54" s="12"/>
      <c r="ST54" s="12"/>
      <c r="SU54" s="12"/>
      <c r="SV54" s="12"/>
      <c r="SW54" s="12"/>
      <c r="SX54" s="12"/>
      <c r="SY54" s="12"/>
      <c r="SZ54" s="12"/>
      <c r="TA54" s="12"/>
      <c r="TB54" s="12"/>
      <c r="TC54" s="12"/>
      <c r="TD54" s="12"/>
      <c r="TE54" s="12"/>
      <c r="TF54" s="12"/>
      <c r="TG54" s="12"/>
      <c r="TH54" s="12"/>
      <c r="TI54" s="12"/>
      <c r="TJ54" s="12"/>
      <c r="TK54" s="12"/>
      <c r="TL54" s="12"/>
      <c r="TM54" s="12"/>
      <c r="TN54" s="12"/>
      <c r="TO54" s="12"/>
      <c r="TP54" s="12"/>
      <c r="TQ54" s="12"/>
      <c r="TR54" s="12"/>
      <c r="TS54" s="12"/>
      <c r="TT54" s="12"/>
      <c r="TU54" s="12"/>
      <c r="TV54" s="12"/>
      <c r="TW54" s="12"/>
      <c r="TX54" s="12"/>
      <c r="TY54" s="12"/>
      <c r="TZ54" s="12"/>
      <c r="UA54" s="12"/>
      <c r="UB54" s="12"/>
      <c r="UC54" s="12"/>
      <c r="UD54" s="12"/>
      <c r="UE54" s="12"/>
      <c r="UF54" s="12"/>
      <c r="UG54" s="12"/>
      <c r="UH54" s="12"/>
      <c r="UI54" s="12"/>
      <c r="UJ54" s="12"/>
      <c r="UK54" s="12"/>
      <c r="UL54" s="12"/>
      <c r="UM54" s="12"/>
      <c r="UN54" s="12"/>
      <c r="UO54" s="12"/>
      <c r="UP54" s="12"/>
      <c r="UQ54" s="12"/>
      <c r="UR54" s="12"/>
      <c r="US54" s="12"/>
      <c r="UT54" s="12"/>
      <c r="UU54" s="12"/>
      <c r="UV54" s="12"/>
      <c r="UW54" s="12"/>
      <c r="UX54" s="12"/>
      <c r="UY54" s="12"/>
      <c r="UZ54" s="12"/>
      <c r="VA54" s="12"/>
      <c r="VB54" s="12"/>
      <c r="VC54" s="12"/>
      <c r="VD54" s="12"/>
      <c r="VE54" s="12"/>
      <c r="VF54" s="12"/>
      <c r="VG54" s="12"/>
      <c r="VH54" s="12"/>
      <c r="VI54" s="12"/>
      <c r="VJ54" s="12"/>
      <c r="VK54" s="12"/>
      <c r="VL54" s="12"/>
      <c r="VM54" s="12"/>
      <c r="VN54" s="12"/>
      <c r="VO54" s="12"/>
      <c r="VP54" s="12"/>
      <c r="VQ54" s="12"/>
      <c r="VR54" s="12"/>
      <c r="VS54" s="12"/>
      <c r="VT54" s="12"/>
      <c r="VU54" s="12"/>
      <c r="VV54" s="12"/>
      <c r="VW54" s="12"/>
      <c r="VX54" s="12"/>
      <c r="VY54" s="12"/>
      <c r="VZ54" s="12"/>
      <c r="WA54" s="12"/>
      <c r="WB54" s="12"/>
      <c r="WC54" s="12"/>
      <c r="WD54" s="12"/>
      <c r="WE54" s="12"/>
      <c r="WF54" s="12"/>
      <c r="WG54" s="12"/>
      <c r="WH54" s="12"/>
      <c r="WI54" s="12"/>
      <c r="WJ54" s="12"/>
      <c r="WK54" s="12"/>
      <c r="WL54" s="12"/>
      <c r="WM54" s="12"/>
      <c r="WN54" s="12"/>
      <c r="WO54" s="12"/>
      <c r="WP54" s="12"/>
      <c r="WQ54" s="12"/>
      <c r="WR54" s="12"/>
      <c r="WS54" s="12"/>
      <c r="WT54" s="12"/>
      <c r="WU54" s="12"/>
      <c r="WV54" s="12"/>
      <c r="WW54" s="12"/>
      <c r="WX54" s="12"/>
      <c r="WY54" s="12"/>
      <c r="WZ54" s="12"/>
      <c r="XA54" s="12"/>
      <c r="XB54" s="12"/>
      <c r="XC54" s="12"/>
      <c r="XD54" s="12"/>
      <c r="XE54" s="12"/>
      <c r="XF54" s="12"/>
      <c r="XG54" s="12"/>
      <c r="XH54" s="12"/>
      <c r="XI54" s="12"/>
      <c r="XJ54" s="12"/>
      <c r="XK54" s="12"/>
      <c r="XL54" s="12"/>
      <c r="XM54" s="12"/>
      <c r="XN54" s="12"/>
      <c r="XO54" s="12"/>
      <c r="XP54" s="12"/>
      <c r="XQ54" s="12"/>
      <c r="XR54" s="12"/>
      <c r="XS54" s="12"/>
      <c r="XT54" s="12"/>
      <c r="XU54" s="12"/>
      <c r="XV54" s="12"/>
      <c r="XW54" s="12"/>
      <c r="XX54" s="12"/>
      <c r="XY54" s="12"/>
      <c r="XZ54" s="12"/>
      <c r="YA54" s="12"/>
      <c r="YB54" s="12"/>
      <c r="YC54" s="12"/>
      <c r="YD54" s="12"/>
      <c r="YE54" s="12"/>
      <c r="YF54" s="12"/>
      <c r="YG54" s="12"/>
      <c r="YH54" s="12"/>
      <c r="YI54" s="12"/>
      <c r="YJ54" s="12"/>
      <c r="YK54" s="12"/>
      <c r="YL54" s="12"/>
      <c r="YM54" s="12"/>
      <c r="YN54" s="12"/>
      <c r="YO54" s="12"/>
      <c r="YP54" s="12"/>
      <c r="YQ54" s="12"/>
      <c r="YR54" s="12"/>
      <c r="YS54" s="12"/>
      <c r="YT54" s="12"/>
      <c r="YU54" s="12"/>
      <c r="YV54" s="12"/>
      <c r="YW54" s="12"/>
      <c r="YX54" s="12"/>
      <c r="YY54" s="12"/>
      <c r="YZ54" s="12"/>
      <c r="ZA54" s="12"/>
      <c r="ZB54" s="12"/>
      <c r="ZC54" s="12"/>
      <c r="ZD54" s="12"/>
      <c r="ZE54" s="12"/>
      <c r="ZF54" s="12"/>
      <c r="ZG54" s="12"/>
      <c r="ZH54" s="12"/>
      <c r="ZI54" s="12"/>
      <c r="ZJ54" s="12"/>
      <c r="ZK54" s="12"/>
      <c r="ZL54" s="12"/>
      <c r="ZM54" s="12"/>
      <c r="ZN54" s="12"/>
      <c r="ZO54" s="12"/>
      <c r="ZP54" s="12"/>
      <c r="ZQ54" s="12"/>
      <c r="ZR54" s="12"/>
      <c r="ZS54" s="12"/>
      <c r="ZT54" s="12"/>
      <c r="ZU54" s="12"/>
      <c r="ZV54" s="12"/>
      <c r="ZW54" s="12"/>
      <c r="ZX54" s="12"/>
      <c r="ZY54" s="12"/>
      <c r="ZZ54" s="12"/>
      <c r="AAA54" s="12"/>
      <c r="AAB54" s="12"/>
      <c r="AAC54" s="12"/>
      <c r="AAD54" s="12"/>
      <c r="AAE54" s="12"/>
      <c r="AAF54" s="12"/>
      <c r="AAG54" s="12"/>
      <c r="AAH54" s="12"/>
      <c r="AAI54" s="12"/>
      <c r="AAJ54" s="12"/>
      <c r="AAK54" s="12"/>
      <c r="AAL54" s="12"/>
      <c r="AAM54" s="12"/>
      <c r="AAN54" s="12"/>
      <c r="AAO54" s="12"/>
      <c r="AAP54" s="12"/>
      <c r="AAQ54" s="12"/>
      <c r="AAR54" s="12"/>
      <c r="AAS54" s="12"/>
      <c r="AAT54" s="12"/>
      <c r="AAU54" s="12"/>
      <c r="AAV54" s="12"/>
      <c r="AAW54" s="12"/>
      <c r="AAX54" s="12"/>
      <c r="AAY54" s="12"/>
      <c r="AAZ54" s="12"/>
      <c r="ABA54" s="12"/>
      <c r="ABB54" s="12"/>
      <c r="ABC54" s="12"/>
      <c r="ABD54" s="12"/>
      <c r="ABE54" s="12"/>
      <c r="ABF54" s="12"/>
      <c r="ABG54" s="12"/>
      <c r="ABH54" s="12"/>
      <c r="ABI54" s="12"/>
      <c r="ABJ54" s="12"/>
      <c r="ABK54" s="12"/>
      <c r="ABL54" s="12"/>
      <c r="ABM54" s="12"/>
      <c r="ABN54" s="12"/>
      <c r="ABO54" s="12"/>
      <c r="ABP54" s="12"/>
      <c r="ABQ54" s="12"/>
      <c r="ABR54" s="12"/>
      <c r="ABS54" s="12"/>
      <c r="ABT54" s="12"/>
      <c r="ABU54" s="12"/>
      <c r="ABV54" s="12"/>
      <c r="ABW54" s="12"/>
      <c r="ABX54" s="12"/>
      <c r="ABY54" s="12"/>
      <c r="ABZ54" s="12"/>
      <c r="ACA54" s="12"/>
      <c r="ACB54" s="12"/>
      <c r="ACC54" s="12"/>
      <c r="ACD54" s="12"/>
      <c r="ACE54" s="12"/>
      <c r="ACF54" s="12"/>
      <c r="ACG54" s="12"/>
      <c r="ACH54" s="12"/>
      <c r="ACI54" s="12"/>
      <c r="ACJ54" s="12"/>
      <c r="ACK54" s="12"/>
      <c r="ACL54" s="12"/>
      <c r="ACM54" s="12"/>
      <c r="ACN54" s="12"/>
      <c r="ACO54" s="12"/>
      <c r="ACP54" s="12"/>
      <c r="ACQ54" s="12"/>
      <c r="ACR54" s="12"/>
      <c r="ACS54" s="12"/>
      <c r="ACT54" s="12"/>
      <c r="ACU54" s="12"/>
      <c r="ACV54" s="12"/>
      <c r="ACW54" s="12"/>
      <c r="ACX54" s="12"/>
      <c r="ACY54" s="12"/>
      <c r="ACZ54" s="12"/>
      <c r="ADA54" s="12"/>
      <c r="ADB54" s="12"/>
      <c r="ADC54" s="12"/>
      <c r="ADD54" s="12"/>
      <c r="ADE54" s="12"/>
      <c r="ADF54" s="12"/>
      <c r="ADG54" s="12"/>
      <c r="ADH54" s="12"/>
      <c r="ADI54" s="12"/>
      <c r="ADJ54" s="12"/>
      <c r="ADK54" s="12"/>
      <c r="ADL54" s="12"/>
      <c r="ADM54" s="12"/>
      <c r="ADN54" s="12"/>
      <c r="ADO54" s="12"/>
      <c r="ADP54" s="12"/>
      <c r="ADQ54" s="12"/>
      <c r="ADR54" s="12"/>
      <c r="ADS54" s="12"/>
      <c r="ADT54" s="12"/>
      <c r="ADU54" s="12"/>
      <c r="ADV54" s="12"/>
      <c r="ADW54" s="12"/>
      <c r="ADX54" s="12"/>
      <c r="ADY54" s="12"/>
      <c r="ADZ54" s="12"/>
      <c r="AEA54" s="12"/>
      <c r="AEB54" s="12"/>
      <c r="AEC54" s="12"/>
      <c r="AED54" s="12"/>
      <c r="AEE54" s="12"/>
      <c r="AEF54" s="12"/>
      <c r="AEG54" s="12"/>
      <c r="AEH54" s="12"/>
      <c r="AEI54" s="12"/>
      <c r="AEJ54" s="12"/>
      <c r="AEK54" s="12"/>
      <c r="AEL54" s="12"/>
      <c r="AEM54" s="12"/>
      <c r="AEN54" s="12"/>
      <c r="AEO54" s="12"/>
      <c r="AEP54" s="12"/>
      <c r="AEQ54" s="12"/>
      <c r="AER54" s="12"/>
      <c r="AES54" s="12"/>
      <c r="AET54" s="12"/>
      <c r="AEU54" s="12"/>
      <c r="AEV54" s="12"/>
    </row>
    <row r="55" spans="1:828" s="27" customFormat="1" ht="18" x14ac:dyDescent="0.2">
      <c r="A55" s="61"/>
      <c r="C55" s="23"/>
      <c r="D55" s="29"/>
      <c r="E55" s="23"/>
      <c r="F55" s="23"/>
      <c r="G55" s="23"/>
      <c r="H55" s="30"/>
      <c r="I55" s="23"/>
      <c r="J55" s="29"/>
      <c r="K55" s="30"/>
      <c r="L55" s="23"/>
      <c r="M55" s="29"/>
      <c r="N55" s="47"/>
      <c r="O55" s="47"/>
      <c r="P55" s="48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2"/>
      <c r="FJ55" s="12"/>
      <c r="FK55" s="12"/>
      <c r="FL55" s="12"/>
      <c r="FM55" s="12"/>
      <c r="FN55" s="12"/>
      <c r="FO55" s="12"/>
      <c r="FP55" s="12"/>
      <c r="FQ55" s="12"/>
      <c r="FR55" s="12"/>
      <c r="FS55" s="12"/>
      <c r="FT55" s="12"/>
      <c r="FU55" s="12"/>
      <c r="FV55" s="12"/>
      <c r="FW55" s="12"/>
      <c r="FX55" s="12"/>
      <c r="FY55" s="12"/>
      <c r="FZ55" s="12"/>
      <c r="GA55" s="12"/>
      <c r="GB55" s="12"/>
      <c r="GC55" s="12"/>
      <c r="GD55" s="12"/>
      <c r="GE55" s="12"/>
      <c r="GF55" s="12"/>
      <c r="GG55" s="12"/>
      <c r="GH55" s="12"/>
      <c r="GI55" s="12"/>
      <c r="GJ55" s="12"/>
      <c r="GK55" s="12"/>
      <c r="GL55" s="12"/>
      <c r="GM55" s="12"/>
      <c r="GN55" s="12"/>
      <c r="GO55" s="12"/>
      <c r="GP55" s="12"/>
      <c r="GQ55" s="12"/>
      <c r="GR55" s="12"/>
      <c r="GS55" s="12"/>
      <c r="GT55" s="12"/>
      <c r="GU55" s="12"/>
      <c r="GV55" s="12"/>
      <c r="GW55" s="12"/>
      <c r="GX55" s="12"/>
      <c r="GY55" s="12"/>
      <c r="GZ55" s="12"/>
      <c r="HA55" s="12"/>
      <c r="HB55" s="12"/>
      <c r="HC55" s="12"/>
      <c r="HD55" s="12"/>
      <c r="HE55" s="12"/>
      <c r="HF55" s="12"/>
      <c r="HG55" s="12"/>
      <c r="HH55" s="12"/>
      <c r="HI55" s="12"/>
      <c r="HJ55" s="12"/>
      <c r="HK55" s="12"/>
      <c r="HL55" s="12"/>
      <c r="HM55" s="12"/>
      <c r="HN55" s="12"/>
      <c r="HO55" s="12"/>
      <c r="HP55" s="12"/>
      <c r="HQ55" s="12"/>
      <c r="HR55" s="12"/>
      <c r="HS55" s="12"/>
      <c r="HT55" s="12"/>
      <c r="HU55" s="12"/>
      <c r="HV55" s="12"/>
      <c r="HW55" s="12"/>
      <c r="HX55" s="12"/>
      <c r="HY55" s="12"/>
      <c r="HZ55" s="12"/>
      <c r="IA55" s="12"/>
      <c r="IB55" s="12"/>
      <c r="IC55" s="12"/>
      <c r="ID55" s="12"/>
      <c r="IE55" s="12"/>
      <c r="IF55" s="12"/>
      <c r="IG55" s="12"/>
      <c r="IH55" s="12"/>
      <c r="II55" s="12"/>
      <c r="IJ55" s="12"/>
      <c r="IK55" s="12"/>
      <c r="IL55" s="12"/>
      <c r="IM55" s="12"/>
      <c r="IN55" s="12"/>
      <c r="IO55" s="12"/>
      <c r="IP55" s="12"/>
      <c r="IQ55" s="12"/>
      <c r="IR55" s="12"/>
      <c r="IS55" s="12"/>
      <c r="IT55" s="12"/>
      <c r="IU55" s="12"/>
      <c r="IV55" s="12"/>
      <c r="IW55" s="12"/>
      <c r="IX55" s="12"/>
      <c r="IY55" s="12"/>
      <c r="IZ55" s="12"/>
      <c r="JA55" s="12"/>
      <c r="JB55" s="12"/>
      <c r="JC55" s="12"/>
      <c r="JD55" s="12"/>
      <c r="JE55" s="12"/>
      <c r="JF55" s="12"/>
      <c r="JG55" s="12"/>
      <c r="JH55" s="12"/>
      <c r="JI55" s="12"/>
      <c r="JJ55" s="12"/>
      <c r="JK55" s="12"/>
      <c r="JL55" s="12"/>
      <c r="JM55" s="12"/>
      <c r="JN55" s="12"/>
      <c r="JO55" s="12"/>
      <c r="JP55" s="12"/>
      <c r="JQ55" s="12"/>
      <c r="JR55" s="12"/>
      <c r="JS55" s="12"/>
      <c r="JT55" s="12"/>
      <c r="JU55" s="12"/>
      <c r="JV55" s="12"/>
      <c r="JW55" s="12"/>
      <c r="JX55" s="12"/>
      <c r="JY55" s="12"/>
      <c r="JZ55" s="12"/>
      <c r="KA55" s="12"/>
      <c r="KB55" s="12"/>
      <c r="KC55" s="12"/>
      <c r="KD55" s="12"/>
      <c r="KE55" s="12"/>
      <c r="KF55" s="12"/>
      <c r="KG55" s="12"/>
      <c r="KH55" s="12"/>
      <c r="KI55" s="12"/>
      <c r="KJ55" s="12"/>
      <c r="KK55" s="12"/>
      <c r="KL55" s="12"/>
      <c r="KM55" s="12"/>
      <c r="KN55" s="12"/>
      <c r="KO55" s="12"/>
      <c r="KP55" s="12"/>
      <c r="KQ55" s="12"/>
      <c r="KR55" s="12"/>
      <c r="KS55" s="12"/>
      <c r="KT55" s="12"/>
      <c r="KU55" s="12"/>
      <c r="KV55" s="12"/>
      <c r="KW55" s="12"/>
      <c r="KX55" s="12"/>
      <c r="KY55" s="12"/>
      <c r="KZ55" s="12"/>
      <c r="LA55" s="12"/>
      <c r="LB55" s="12"/>
      <c r="LC55" s="12"/>
      <c r="LD55" s="12"/>
      <c r="LE55" s="12"/>
      <c r="LF55" s="12"/>
      <c r="LG55" s="12"/>
      <c r="LH55" s="12"/>
      <c r="LI55" s="12"/>
      <c r="LJ55" s="12"/>
      <c r="LK55" s="12"/>
      <c r="LL55" s="12"/>
      <c r="LM55" s="12"/>
      <c r="LN55" s="12"/>
      <c r="LO55" s="12"/>
      <c r="LP55" s="12"/>
      <c r="LQ55" s="12"/>
      <c r="LR55" s="12"/>
      <c r="LS55" s="12"/>
      <c r="LT55" s="12"/>
      <c r="LU55" s="12"/>
      <c r="LV55" s="12"/>
      <c r="LW55" s="12"/>
      <c r="LX55" s="12"/>
      <c r="LY55" s="12"/>
      <c r="LZ55" s="12"/>
      <c r="MA55" s="12"/>
      <c r="MB55" s="12"/>
      <c r="MC55" s="12"/>
      <c r="MD55" s="12"/>
      <c r="ME55" s="12"/>
      <c r="MF55" s="12"/>
      <c r="MG55" s="12"/>
      <c r="MH55" s="12"/>
      <c r="MI55" s="12"/>
      <c r="MJ55" s="12"/>
      <c r="MK55" s="12"/>
      <c r="ML55" s="12"/>
      <c r="MM55" s="12"/>
      <c r="MN55" s="12"/>
      <c r="MO55" s="12"/>
      <c r="MP55" s="12"/>
      <c r="MQ55" s="12"/>
      <c r="MR55" s="12"/>
      <c r="MS55" s="12"/>
      <c r="MT55" s="12"/>
      <c r="MU55" s="12"/>
      <c r="MV55" s="12"/>
      <c r="MW55" s="12"/>
      <c r="MX55" s="12"/>
      <c r="MY55" s="12"/>
      <c r="MZ55" s="12"/>
      <c r="NA55" s="12"/>
      <c r="NB55" s="12"/>
      <c r="NC55" s="12"/>
      <c r="ND55" s="12"/>
      <c r="NE55" s="12"/>
      <c r="NF55" s="12"/>
      <c r="NG55" s="12"/>
      <c r="NH55" s="12"/>
      <c r="NI55" s="12"/>
      <c r="NJ55" s="12"/>
      <c r="NK55" s="12"/>
      <c r="NL55" s="12"/>
      <c r="NM55" s="12"/>
      <c r="NN55" s="12"/>
      <c r="NO55" s="12"/>
      <c r="NP55" s="12"/>
      <c r="NQ55" s="12"/>
      <c r="NR55" s="12"/>
      <c r="NS55" s="12"/>
      <c r="NT55" s="12"/>
      <c r="NU55" s="12"/>
      <c r="NV55" s="12"/>
      <c r="NW55" s="12"/>
      <c r="NX55" s="12"/>
      <c r="NY55" s="12"/>
      <c r="NZ55" s="12"/>
      <c r="OA55" s="12"/>
      <c r="OB55" s="12"/>
      <c r="OC55" s="12"/>
      <c r="OD55" s="12"/>
      <c r="OE55" s="12"/>
      <c r="OF55" s="12"/>
      <c r="OG55" s="12"/>
      <c r="OH55" s="12"/>
      <c r="OI55" s="12"/>
      <c r="OJ55" s="12"/>
      <c r="OK55" s="12"/>
      <c r="OL55" s="12"/>
      <c r="OM55" s="12"/>
      <c r="ON55" s="12"/>
      <c r="OO55" s="12"/>
      <c r="OP55" s="12"/>
      <c r="OQ55" s="12"/>
      <c r="OR55" s="12"/>
      <c r="OS55" s="12"/>
      <c r="OT55" s="12"/>
      <c r="OU55" s="12"/>
      <c r="OV55" s="12"/>
      <c r="OW55" s="12"/>
      <c r="OX55" s="12"/>
      <c r="OY55" s="12"/>
      <c r="OZ55" s="12"/>
      <c r="PA55" s="12"/>
      <c r="PB55" s="12"/>
      <c r="PC55" s="12"/>
      <c r="PD55" s="12"/>
      <c r="PE55" s="12"/>
      <c r="PF55" s="12"/>
      <c r="PG55" s="12"/>
      <c r="PH55" s="12"/>
      <c r="PI55" s="12"/>
      <c r="PJ55" s="12"/>
      <c r="PK55" s="12"/>
      <c r="PL55" s="12"/>
      <c r="PM55" s="12"/>
      <c r="PN55" s="12"/>
      <c r="PO55" s="12"/>
      <c r="PP55" s="12"/>
      <c r="PQ55" s="12"/>
      <c r="PR55" s="12"/>
      <c r="PS55" s="12"/>
      <c r="PT55" s="12"/>
      <c r="PU55" s="12"/>
      <c r="PV55" s="12"/>
      <c r="PW55" s="12"/>
      <c r="PX55" s="12"/>
      <c r="PY55" s="12"/>
      <c r="PZ55" s="12"/>
      <c r="QA55" s="12"/>
      <c r="QB55" s="12"/>
      <c r="QC55" s="12"/>
      <c r="QD55" s="12"/>
      <c r="QE55" s="12"/>
      <c r="QF55" s="12"/>
      <c r="QG55" s="12"/>
      <c r="QH55" s="12"/>
      <c r="QI55" s="12"/>
      <c r="QJ55" s="12"/>
      <c r="QK55" s="12"/>
      <c r="QL55" s="12"/>
      <c r="QM55" s="12"/>
      <c r="QN55" s="12"/>
      <c r="QO55" s="12"/>
      <c r="QP55" s="12"/>
      <c r="QQ55" s="12"/>
      <c r="QR55" s="12"/>
      <c r="QS55" s="12"/>
      <c r="QT55" s="12"/>
      <c r="QU55" s="12"/>
      <c r="QV55" s="12"/>
      <c r="QW55" s="12"/>
      <c r="QX55" s="12"/>
      <c r="QY55" s="12"/>
      <c r="QZ55" s="12"/>
      <c r="RA55" s="12"/>
      <c r="RB55" s="12"/>
      <c r="RC55" s="12"/>
      <c r="RD55" s="12"/>
      <c r="RE55" s="12"/>
      <c r="RF55" s="12"/>
      <c r="RG55" s="12"/>
      <c r="RH55" s="12"/>
      <c r="RI55" s="12"/>
      <c r="RJ55" s="12"/>
      <c r="RK55" s="12"/>
      <c r="RL55" s="12"/>
      <c r="RM55" s="12"/>
      <c r="RN55" s="12"/>
      <c r="RO55" s="12"/>
      <c r="RP55" s="12"/>
      <c r="RQ55" s="12"/>
      <c r="RR55" s="12"/>
      <c r="RS55" s="12"/>
      <c r="RT55" s="12"/>
      <c r="RU55" s="12"/>
      <c r="RV55" s="12"/>
      <c r="RW55" s="12"/>
      <c r="RX55" s="12"/>
      <c r="RY55" s="12"/>
      <c r="RZ55" s="12"/>
      <c r="SA55" s="12"/>
      <c r="SB55" s="12"/>
      <c r="SC55" s="12"/>
      <c r="SD55" s="12"/>
      <c r="SE55" s="12"/>
      <c r="SF55" s="12"/>
      <c r="SG55" s="12"/>
      <c r="SH55" s="12"/>
      <c r="SI55" s="12"/>
      <c r="SJ55" s="12"/>
      <c r="SK55" s="12"/>
      <c r="SL55" s="12"/>
      <c r="SM55" s="12"/>
      <c r="SN55" s="12"/>
      <c r="SO55" s="12"/>
      <c r="SP55" s="12"/>
      <c r="SQ55" s="12"/>
      <c r="SR55" s="12"/>
      <c r="SS55" s="12"/>
      <c r="ST55" s="12"/>
      <c r="SU55" s="12"/>
      <c r="SV55" s="12"/>
      <c r="SW55" s="12"/>
      <c r="SX55" s="12"/>
      <c r="SY55" s="12"/>
      <c r="SZ55" s="12"/>
      <c r="TA55" s="12"/>
      <c r="TB55" s="12"/>
      <c r="TC55" s="12"/>
      <c r="TD55" s="12"/>
      <c r="TE55" s="12"/>
      <c r="TF55" s="12"/>
      <c r="TG55" s="12"/>
      <c r="TH55" s="12"/>
      <c r="TI55" s="12"/>
      <c r="TJ55" s="12"/>
      <c r="TK55" s="12"/>
      <c r="TL55" s="12"/>
      <c r="TM55" s="12"/>
      <c r="TN55" s="12"/>
      <c r="TO55" s="12"/>
      <c r="TP55" s="12"/>
      <c r="TQ55" s="12"/>
      <c r="TR55" s="12"/>
      <c r="TS55" s="12"/>
      <c r="TT55" s="12"/>
      <c r="TU55" s="12"/>
      <c r="TV55" s="12"/>
      <c r="TW55" s="12"/>
      <c r="TX55" s="12"/>
      <c r="TY55" s="12"/>
      <c r="TZ55" s="12"/>
      <c r="UA55" s="12"/>
      <c r="UB55" s="12"/>
      <c r="UC55" s="12"/>
      <c r="UD55" s="12"/>
      <c r="UE55" s="12"/>
      <c r="UF55" s="12"/>
      <c r="UG55" s="12"/>
      <c r="UH55" s="12"/>
      <c r="UI55" s="12"/>
      <c r="UJ55" s="12"/>
      <c r="UK55" s="12"/>
      <c r="UL55" s="12"/>
      <c r="UM55" s="12"/>
      <c r="UN55" s="12"/>
      <c r="UO55" s="12"/>
      <c r="UP55" s="12"/>
      <c r="UQ55" s="12"/>
      <c r="UR55" s="12"/>
      <c r="US55" s="12"/>
      <c r="UT55" s="12"/>
      <c r="UU55" s="12"/>
      <c r="UV55" s="12"/>
      <c r="UW55" s="12"/>
      <c r="UX55" s="12"/>
      <c r="UY55" s="12"/>
      <c r="UZ55" s="12"/>
      <c r="VA55" s="12"/>
      <c r="VB55" s="12"/>
      <c r="VC55" s="12"/>
      <c r="VD55" s="12"/>
      <c r="VE55" s="12"/>
      <c r="VF55" s="12"/>
      <c r="VG55" s="12"/>
      <c r="VH55" s="12"/>
      <c r="VI55" s="12"/>
      <c r="VJ55" s="12"/>
      <c r="VK55" s="12"/>
      <c r="VL55" s="12"/>
      <c r="VM55" s="12"/>
      <c r="VN55" s="12"/>
      <c r="VO55" s="12"/>
      <c r="VP55" s="12"/>
      <c r="VQ55" s="12"/>
      <c r="VR55" s="12"/>
      <c r="VS55" s="12"/>
      <c r="VT55" s="12"/>
      <c r="VU55" s="12"/>
      <c r="VV55" s="12"/>
      <c r="VW55" s="12"/>
      <c r="VX55" s="12"/>
      <c r="VY55" s="12"/>
      <c r="VZ55" s="12"/>
      <c r="WA55" s="12"/>
      <c r="WB55" s="12"/>
      <c r="WC55" s="12"/>
      <c r="WD55" s="12"/>
      <c r="WE55" s="12"/>
      <c r="WF55" s="12"/>
      <c r="WG55" s="12"/>
      <c r="WH55" s="12"/>
      <c r="WI55" s="12"/>
      <c r="WJ55" s="12"/>
      <c r="WK55" s="12"/>
      <c r="WL55" s="12"/>
      <c r="WM55" s="12"/>
      <c r="WN55" s="12"/>
      <c r="WO55" s="12"/>
      <c r="WP55" s="12"/>
      <c r="WQ55" s="12"/>
      <c r="WR55" s="12"/>
      <c r="WS55" s="12"/>
      <c r="WT55" s="12"/>
      <c r="WU55" s="12"/>
      <c r="WV55" s="12"/>
      <c r="WW55" s="12"/>
      <c r="WX55" s="12"/>
      <c r="WY55" s="12"/>
      <c r="WZ55" s="12"/>
      <c r="XA55" s="12"/>
      <c r="XB55" s="12"/>
      <c r="XC55" s="12"/>
      <c r="XD55" s="12"/>
      <c r="XE55" s="12"/>
      <c r="XF55" s="12"/>
      <c r="XG55" s="12"/>
      <c r="XH55" s="12"/>
      <c r="XI55" s="12"/>
      <c r="XJ55" s="12"/>
      <c r="XK55" s="12"/>
      <c r="XL55" s="12"/>
      <c r="XM55" s="12"/>
      <c r="XN55" s="12"/>
      <c r="XO55" s="12"/>
      <c r="XP55" s="12"/>
      <c r="XQ55" s="12"/>
      <c r="XR55" s="12"/>
      <c r="XS55" s="12"/>
      <c r="XT55" s="12"/>
      <c r="XU55" s="12"/>
      <c r="XV55" s="12"/>
      <c r="XW55" s="12"/>
      <c r="XX55" s="12"/>
      <c r="XY55" s="12"/>
      <c r="XZ55" s="12"/>
      <c r="YA55" s="12"/>
      <c r="YB55" s="12"/>
      <c r="YC55" s="12"/>
      <c r="YD55" s="12"/>
      <c r="YE55" s="12"/>
      <c r="YF55" s="12"/>
      <c r="YG55" s="12"/>
      <c r="YH55" s="12"/>
      <c r="YI55" s="12"/>
      <c r="YJ55" s="12"/>
      <c r="YK55" s="12"/>
      <c r="YL55" s="12"/>
      <c r="YM55" s="12"/>
      <c r="YN55" s="12"/>
      <c r="YO55" s="12"/>
      <c r="YP55" s="12"/>
      <c r="YQ55" s="12"/>
      <c r="YR55" s="12"/>
      <c r="YS55" s="12"/>
      <c r="YT55" s="12"/>
      <c r="YU55" s="12"/>
      <c r="YV55" s="12"/>
      <c r="YW55" s="12"/>
      <c r="YX55" s="12"/>
      <c r="YY55" s="12"/>
      <c r="YZ55" s="12"/>
      <c r="ZA55" s="12"/>
      <c r="ZB55" s="12"/>
      <c r="ZC55" s="12"/>
      <c r="ZD55" s="12"/>
      <c r="ZE55" s="12"/>
      <c r="ZF55" s="12"/>
      <c r="ZG55" s="12"/>
      <c r="ZH55" s="12"/>
      <c r="ZI55" s="12"/>
      <c r="ZJ55" s="12"/>
      <c r="ZK55" s="12"/>
      <c r="ZL55" s="12"/>
      <c r="ZM55" s="12"/>
      <c r="ZN55" s="12"/>
      <c r="ZO55" s="12"/>
      <c r="ZP55" s="12"/>
      <c r="ZQ55" s="12"/>
      <c r="ZR55" s="12"/>
      <c r="ZS55" s="12"/>
      <c r="ZT55" s="12"/>
      <c r="ZU55" s="12"/>
      <c r="ZV55" s="12"/>
      <c r="ZW55" s="12"/>
      <c r="ZX55" s="12"/>
      <c r="ZY55" s="12"/>
      <c r="ZZ55" s="12"/>
      <c r="AAA55" s="12"/>
      <c r="AAB55" s="12"/>
      <c r="AAC55" s="12"/>
      <c r="AAD55" s="12"/>
      <c r="AAE55" s="12"/>
      <c r="AAF55" s="12"/>
      <c r="AAG55" s="12"/>
      <c r="AAH55" s="12"/>
      <c r="AAI55" s="12"/>
      <c r="AAJ55" s="12"/>
      <c r="AAK55" s="12"/>
      <c r="AAL55" s="12"/>
      <c r="AAM55" s="12"/>
      <c r="AAN55" s="12"/>
      <c r="AAO55" s="12"/>
      <c r="AAP55" s="12"/>
      <c r="AAQ55" s="12"/>
      <c r="AAR55" s="12"/>
      <c r="AAS55" s="12"/>
      <c r="AAT55" s="12"/>
      <c r="AAU55" s="12"/>
      <c r="AAV55" s="12"/>
      <c r="AAW55" s="12"/>
      <c r="AAX55" s="12"/>
      <c r="AAY55" s="12"/>
      <c r="AAZ55" s="12"/>
      <c r="ABA55" s="12"/>
      <c r="ABB55" s="12"/>
      <c r="ABC55" s="12"/>
      <c r="ABD55" s="12"/>
      <c r="ABE55" s="12"/>
      <c r="ABF55" s="12"/>
      <c r="ABG55" s="12"/>
      <c r="ABH55" s="12"/>
      <c r="ABI55" s="12"/>
      <c r="ABJ55" s="12"/>
      <c r="ABK55" s="12"/>
      <c r="ABL55" s="12"/>
      <c r="ABM55" s="12"/>
      <c r="ABN55" s="12"/>
      <c r="ABO55" s="12"/>
      <c r="ABP55" s="12"/>
      <c r="ABQ55" s="12"/>
      <c r="ABR55" s="12"/>
      <c r="ABS55" s="12"/>
      <c r="ABT55" s="12"/>
      <c r="ABU55" s="12"/>
      <c r="ABV55" s="12"/>
      <c r="ABW55" s="12"/>
      <c r="ABX55" s="12"/>
      <c r="ABY55" s="12"/>
      <c r="ABZ55" s="12"/>
      <c r="ACA55" s="12"/>
      <c r="ACB55" s="12"/>
      <c r="ACC55" s="12"/>
      <c r="ACD55" s="12"/>
      <c r="ACE55" s="12"/>
      <c r="ACF55" s="12"/>
      <c r="ACG55" s="12"/>
      <c r="ACH55" s="12"/>
      <c r="ACI55" s="12"/>
      <c r="ACJ55" s="12"/>
      <c r="ACK55" s="12"/>
      <c r="ACL55" s="12"/>
      <c r="ACM55" s="12"/>
      <c r="ACN55" s="12"/>
      <c r="ACO55" s="12"/>
      <c r="ACP55" s="12"/>
      <c r="ACQ55" s="12"/>
      <c r="ACR55" s="12"/>
      <c r="ACS55" s="12"/>
      <c r="ACT55" s="12"/>
      <c r="ACU55" s="12"/>
      <c r="ACV55" s="12"/>
      <c r="ACW55" s="12"/>
      <c r="ACX55" s="12"/>
      <c r="ACY55" s="12"/>
      <c r="ACZ55" s="12"/>
      <c r="ADA55" s="12"/>
      <c r="ADB55" s="12"/>
      <c r="ADC55" s="12"/>
      <c r="ADD55" s="12"/>
      <c r="ADE55" s="12"/>
      <c r="ADF55" s="12"/>
      <c r="ADG55" s="12"/>
      <c r="ADH55" s="12"/>
      <c r="ADI55" s="12"/>
      <c r="ADJ55" s="12"/>
      <c r="ADK55" s="12"/>
      <c r="ADL55" s="12"/>
      <c r="ADM55" s="12"/>
      <c r="ADN55" s="12"/>
      <c r="ADO55" s="12"/>
      <c r="ADP55" s="12"/>
      <c r="ADQ55" s="12"/>
      <c r="ADR55" s="12"/>
      <c r="ADS55" s="12"/>
      <c r="ADT55" s="12"/>
      <c r="ADU55" s="12"/>
      <c r="ADV55" s="12"/>
      <c r="ADW55" s="12"/>
      <c r="ADX55" s="12"/>
      <c r="ADY55" s="12"/>
      <c r="ADZ55" s="12"/>
      <c r="AEA55" s="12"/>
      <c r="AEB55" s="12"/>
      <c r="AEC55" s="12"/>
      <c r="AED55" s="12"/>
      <c r="AEE55" s="12"/>
      <c r="AEF55" s="12"/>
      <c r="AEG55" s="12"/>
      <c r="AEH55" s="12"/>
      <c r="AEI55" s="12"/>
      <c r="AEJ55" s="12"/>
      <c r="AEK55" s="12"/>
      <c r="AEL55" s="12"/>
      <c r="AEM55" s="12"/>
      <c r="AEN55" s="12"/>
      <c r="AEO55" s="12"/>
      <c r="AEP55" s="12"/>
      <c r="AEQ55" s="12"/>
      <c r="AER55" s="12"/>
      <c r="AES55" s="12"/>
      <c r="AET55" s="12"/>
      <c r="AEU55" s="12"/>
      <c r="AEV55" s="12"/>
    </row>
    <row r="56" spans="1:828" s="27" customFormat="1" ht="18" x14ac:dyDescent="0.2">
      <c r="A56" s="61"/>
      <c r="C56" s="23"/>
      <c r="D56" s="29"/>
      <c r="E56" s="23"/>
      <c r="F56" s="23"/>
      <c r="G56" s="23"/>
      <c r="H56" s="30"/>
      <c r="I56" s="23"/>
      <c r="J56" s="29"/>
      <c r="K56" s="30"/>
      <c r="L56" s="23"/>
      <c r="M56" s="29"/>
      <c r="N56" s="47"/>
      <c r="O56" s="47"/>
      <c r="P56" s="48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2"/>
      <c r="FJ56" s="12"/>
      <c r="FK56" s="12"/>
      <c r="FL56" s="12"/>
      <c r="FM56" s="12"/>
      <c r="FN56" s="12"/>
      <c r="FO56" s="12"/>
      <c r="FP56" s="12"/>
      <c r="FQ56" s="12"/>
      <c r="FR56" s="12"/>
      <c r="FS56" s="12"/>
      <c r="FT56" s="12"/>
      <c r="FU56" s="12"/>
      <c r="FV56" s="12"/>
      <c r="FW56" s="12"/>
      <c r="FX56" s="12"/>
      <c r="FY56" s="12"/>
      <c r="FZ56" s="12"/>
      <c r="GA56" s="12"/>
      <c r="GB56" s="12"/>
      <c r="GC56" s="12"/>
      <c r="GD56" s="12"/>
      <c r="GE56" s="12"/>
      <c r="GF56" s="12"/>
      <c r="GG56" s="12"/>
      <c r="GH56" s="12"/>
      <c r="GI56" s="12"/>
      <c r="GJ56" s="12"/>
      <c r="GK56" s="12"/>
      <c r="GL56" s="12"/>
      <c r="GM56" s="12"/>
      <c r="GN56" s="12"/>
      <c r="GO56" s="12"/>
      <c r="GP56" s="12"/>
      <c r="GQ56" s="12"/>
      <c r="GR56" s="12"/>
      <c r="GS56" s="12"/>
      <c r="GT56" s="12"/>
      <c r="GU56" s="12"/>
      <c r="GV56" s="12"/>
      <c r="GW56" s="12"/>
      <c r="GX56" s="12"/>
      <c r="GY56" s="12"/>
      <c r="GZ56" s="12"/>
      <c r="HA56" s="12"/>
      <c r="HB56" s="12"/>
      <c r="HC56" s="12"/>
      <c r="HD56" s="12"/>
      <c r="HE56" s="12"/>
      <c r="HF56" s="12"/>
      <c r="HG56" s="12"/>
      <c r="HH56" s="12"/>
      <c r="HI56" s="12"/>
      <c r="HJ56" s="12"/>
      <c r="HK56" s="12"/>
      <c r="HL56" s="12"/>
      <c r="HM56" s="12"/>
      <c r="HN56" s="12"/>
      <c r="HO56" s="12"/>
      <c r="HP56" s="12"/>
      <c r="HQ56" s="12"/>
      <c r="HR56" s="12"/>
      <c r="HS56" s="12"/>
      <c r="HT56" s="12"/>
      <c r="HU56" s="12"/>
      <c r="HV56" s="12"/>
      <c r="HW56" s="12"/>
      <c r="HX56" s="12"/>
      <c r="HY56" s="12"/>
      <c r="HZ56" s="12"/>
      <c r="IA56" s="12"/>
      <c r="IB56" s="12"/>
      <c r="IC56" s="12"/>
      <c r="ID56" s="12"/>
      <c r="IE56" s="12"/>
      <c r="IF56" s="12"/>
      <c r="IG56" s="12"/>
      <c r="IH56" s="12"/>
      <c r="II56" s="12"/>
      <c r="IJ56" s="12"/>
      <c r="IK56" s="12"/>
      <c r="IL56" s="12"/>
      <c r="IM56" s="12"/>
      <c r="IN56" s="12"/>
      <c r="IO56" s="12"/>
      <c r="IP56" s="12"/>
      <c r="IQ56" s="12"/>
      <c r="IR56" s="12"/>
      <c r="IS56" s="12"/>
      <c r="IT56" s="12"/>
      <c r="IU56" s="12"/>
      <c r="IV56" s="12"/>
      <c r="IW56" s="12"/>
      <c r="IX56" s="12"/>
      <c r="IY56" s="12"/>
      <c r="IZ56" s="12"/>
      <c r="JA56" s="12"/>
      <c r="JB56" s="12"/>
      <c r="JC56" s="12"/>
      <c r="JD56" s="12"/>
      <c r="JE56" s="12"/>
      <c r="JF56" s="12"/>
      <c r="JG56" s="12"/>
      <c r="JH56" s="12"/>
      <c r="JI56" s="12"/>
      <c r="JJ56" s="12"/>
      <c r="JK56" s="12"/>
      <c r="JL56" s="12"/>
      <c r="JM56" s="12"/>
      <c r="JN56" s="12"/>
      <c r="JO56" s="12"/>
      <c r="JP56" s="12"/>
      <c r="JQ56" s="12"/>
      <c r="JR56" s="12"/>
      <c r="JS56" s="12"/>
      <c r="JT56" s="12"/>
      <c r="JU56" s="12"/>
      <c r="JV56" s="12"/>
      <c r="JW56" s="12"/>
      <c r="JX56" s="12"/>
      <c r="JY56" s="12"/>
      <c r="JZ56" s="12"/>
      <c r="KA56" s="12"/>
      <c r="KB56" s="12"/>
      <c r="KC56" s="12"/>
      <c r="KD56" s="12"/>
      <c r="KE56" s="12"/>
      <c r="KF56" s="12"/>
      <c r="KG56" s="12"/>
      <c r="KH56" s="12"/>
      <c r="KI56" s="12"/>
      <c r="KJ56" s="12"/>
      <c r="KK56" s="12"/>
      <c r="KL56" s="12"/>
      <c r="KM56" s="12"/>
      <c r="KN56" s="12"/>
      <c r="KO56" s="12"/>
      <c r="KP56" s="12"/>
      <c r="KQ56" s="12"/>
      <c r="KR56" s="12"/>
      <c r="KS56" s="12"/>
      <c r="KT56" s="12"/>
      <c r="KU56" s="12"/>
      <c r="KV56" s="12"/>
      <c r="KW56" s="12"/>
      <c r="KX56" s="12"/>
      <c r="KY56" s="12"/>
      <c r="KZ56" s="12"/>
      <c r="LA56" s="12"/>
      <c r="LB56" s="12"/>
      <c r="LC56" s="12"/>
      <c r="LD56" s="12"/>
      <c r="LE56" s="12"/>
      <c r="LF56" s="12"/>
      <c r="LG56" s="12"/>
      <c r="LH56" s="12"/>
      <c r="LI56" s="12"/>
      <c r="LJ56" s="12"/>
      <c r="LK56" s="12"/>
      <c r="LL56" s="12"/>
      <c r="LM56" s="12"/>
      <c r="LN56" s="12"/>
      <c r="LO56" s="12"/>
      <c r="LP56" s="12"/>
      <c r="LQ56" s="12"/>
      <c r="LR56" s="12"/>
      <c r="LS56" s="12"/>
      <c r="LT56" s="12"/>
      <c r="LU56" s="12"/>
      <c r="LV56" s="12"/>
      <c r="LW56" s="12"/>
      <c r="LX56" s="12"/>
      <c r="LY56" s="12"/>
      <c r="LZ56" s="12"/>
      <c r="MA56" s="12"/>
      <c r="MB56" s="12"/>
      <c r="MC56" s="12"/>
      <c r="MD56" s="12"/>
      <c r="ME56" s="12"/>
      <c r="MF56" s="12"/>
      <c r="MG56" s="12"/>
      <c r="MH56" s="12"/>
      <c r="MI56" s="12"/>
      <c r="MJ56" s="12"/>
      <c r="MK56" s="12"/>
      <c r="ML56" s="12"/>
      <c r="MM56" s="12"/>
      <c r="MN56" s="12"/>
      <c r="MO56" s="12"/>
      <c r="MP56" s="12"/>
      <c r="MQ56" s="12"/>
      <c r="MR56" s="12"/>
      <c r="MS56" s="12"/>
      <c r="MT56" s="12"/>
      <c r="MU56" s="12"/>
      <c r="MV56" s="12"/>
      <c r="MW56" s="12"/>
      <c r="MX56" s="12"/>
      <c r="MY56" s="12"/>
      <c r="MZ56" s="12"/>
      <c r="NA56" s="12"/>
      <c r="NB56" s="12"/>
      <c r="NC56" s="12"/>
      <c r="ND56" s="12"/>
      <c r="NE56" s="12"/>
      <c r="NF56" s="12"/>
      <c r="NG56" s="12"/>
      <c r="NH56" s="12"/>
      <c r="NI56" s="12"/>
      <c r="NJ56" s="12"/>
      <c r="NK56" s="12"/>
      <c r="NL56" s="12"/>
      <c r="NM56" s="12"/>
      <c r="NN56" s="12"/>
      <c r="NO56" s="12"/>
      <c r="NP56" s="12"/>
      <c r="NQ56" s="12"/>
      <c r="NR56" s="12"/>
      <c r="NS56" s="12"/>
      <c r="NT56" s="12"/>
      <c r="NU56" s="12"/>
      <c r="NV56" s="12"/>
      <c r="NW56" s="12"/>
      <c r="NX56" s="12"/>
      <c r="NY56" s="12"/>
      <c r="NZ56" s="12"/>
      <c r="OA56" s="12"/>
      <c r="OB56" s="12"/>
      <c r="OC56" s="12"/>
      <c r="OD56" s="12"/>
      <c r="OE56" s="12"/>
      <c r="OF56" s="12"/>
      <c r="OG56" s="12"/>
      <c r="OH56" s="12"/>
      <c r="OI56" s="12"/>
      <c r="OJ56" s="12"/>
      <c r="OK56" s="12"/>
      <c r="OL56" s="12"/>
      <c r="OM56" s="12"/>
      <c r="ON56" s="12"/>
      <c r="OO56" s="12"/>
      <c r="OP56" s="12"/>
      <c r="OQ56" s="12"/>
      <c r="OR56" s="12"/>
      <c r="OS56" s="12"/>
      <c r="OT56" s="12"/>
      <c r="OU56" s="12"/>
      <c r="OV56" s="12"/>
      <c r="OW56" s="12"/>
      <c r="OX56" s="12"/>
      <c r="OY56" s="12"/>
      <c r="OZ56" s="12"/>
      <c r="PA56" s="12"/>
      <c r="PB56" s="12"/>
      <c r="PC56" s="12"/>
      <c r="PD56" s="12"/>
      <c r="PE56" s="12"/>
      <c r="PF56" s="12"/>
      <c r="PG56" s="12"/>
      <c r="PH56" s="12"/>
      <c r="PI56" s="12"/>
      <c r="PJ56" s="12"/>
      <c r="PK56" s="12"/>
      <c r="PL56" s="12"/>
      <c r="PM56" s="12"/>
      <c r="PN56" s="12"/>
      <c r="PO56" s="12"/>
      <c r="PP56" s="12"/>
      <c r="PQ56" s="12"/>
      <c r="PR56" s="12"/>
      <c r="PS56" s="12"/>
      <c r="PT56" s="12"/>
      <c r="PU56" s="12"/>
      <c r="PV56" s="12"/>
      <c r="PW56" s="12"/>
      <c r="PX56" s="12"/>
      <c r="PY56" s="12"/>
      <c r="PZ56" s="12"/>
      <c r="QA56" s="12"/>
      <c r="QB56" s="12"/>
      <c r="QC56" s="12"/>
      <c r="QD56" s="12"/>
      <c r="QE56" s="12"/>
      <c r="QF56" s="12"/>
      <c r="QG56" s="12"/>
      <c r="QH56" s="12"/>
      <c r="QI56" s="12"/>
      <c r="QJ56" s="12"/>
      <c r="QK56" s="12"/>
      <c r="QL56" s="12"/>
      <c r="QM56" s="12"/>
      <c r="QN56" s="12"/>
      <c r="QO56" s="12"/>
      <c r="QP56" s="12"/>
      <c r="QQ56" s="12"/>
      <c r="QR56" s="12"/>
      <c r="QS56" s="12"/>
      <c r="QT56" s="12"/>
      <c r="QU56" s="12"/>
      <c r="QV56" s="12"/>
      <c r="QW56" s="12"/>
      <c r="QX56" s="12"/>
      <c r="QY56" s="12"/>
      <c r="QZ56" s="12"/>
      <c r="RA56" s="12"/>
      <c r="RB56" s="12"/>
      <c r="RC56" s="12"/>
      <c r="RD56" s="12"/>
      <c r="RE56" s="12"/>
      <c r="RF56" s="12"/>
      <c r="RG56" s="12"/>
      <c r="RH56" s="12"/>
      <c r="RI56" s="12"/>
      <c r="RJ56" s="12"/>
      <c r="RK56" s="12"/>
      <c r="RL56" s="12"/>
      <c r="RM56" s="12"/>
      <c r="RN56" s="12"/>
      <c r="RO56" s="12"/>
      <c r="RP56" s="12"/>
      <c r="RQ56" s="12"/>
      <c r="RR56" s="12"/>
      <c r="RS56" s="12"/>
      <c r="RT56" s="12"/>
      <c r="RU56" s="12"/>
      <c r="RV56" s="12"/>
      <c r="RW56" s="12"/>
      <c r="RX56" s="12"/>
      <c r="RY56" s="12"/>
      <c r="RZ56" s="12"/>
      <c r="SA56" s="12"/>
      <c r="SB56" s="12"/>
      <c r="SC56" s="12"/>
      <c r="SD56" s="12"/>
      <c r="SE56" s="12"/>
      <c r="SF56" s="12"/>
      <c r="SG56" s="12"/>
      <c r="SH56" s="12"/>
      <c r="SI56" s="12"/>
      <c r="SJ56" s="12"/>
      <c r="SK56" s="12"/>
      <c r="SL56" s="12"/>
      <c r="SM56" s="12"/>
      <c r="SN56" s="12"/>
      <c r="SO56" s="12"/>
      <c r="SP56" s="12"/>
      <c r="SQ56" s="12"/>
      <c r="SR56" s="12"/>
      <c r="SS56" s="12"/>
      <c r="ST56" s="12"/>
      <c r="SU56" s="12"/>
      <c r="SV56" s="12"/>
      <c r="SW56" s="12"/>
      <c r="SX56" s="12"/>
      <c r="SY56" s="12"/>
      <c r="SZ56" s="12"/>
      <c r="TA56" s="12"/>
      <c r="TB56" s="12"/>
      <c r="TC56" s="12"/>
      <c r="TD56" s="12"/>
      <c r="TE56" s="12"/>
      <c r="TF56" s="12"/>
      <c r="TG56" s="12"/>
      <c r="TH56" s="12"/>
      <c r="TI56" s="12"/>
      <c r="TJ56" s="12"/>
      <c r="TK56" s="12"/>
      <c r="TL56" s="12"/>
      <c r="TM56" s="12"/>
      <c r="TN56" s="12"/>
      <c r="TO56" s="12"/>
      <c r="TP56" s="12"/>
      <c r="TQ56" s="12"/>
      <c r="TR56" s="12"/>
      <c r="TS56" s="12"/>
      <c r="TT56" s="12"/>
      <c r="TU56" s="12"/>
      <c r="TV56" s="12"/>
      <c r="TW56" s="12"/>
      <c r="TX56" s="12"/>
      <c r="TY56" s="12"/>
      <c r="TZ56" s="12"/>
      <c r="UA56" s="12"/>
      <c r="UB56" s="12"/>
      <c r="UC56" s="12"/>
      <c r="UD56" s="12"/>
      <c r="UE56" s="12"/>
      <c r="UF56" s="12"/>
      <c r="UG56" s="12"/>
      <c r="UH56" s="12"/>
      <c r="UI56" s="12"/>
      <c r="UJ56" s="12"/>
      <c r="UK56" s="12"/>
      <c r="UL56" s="12"/>
      <c r="UM56" s="12"/>
      <c r="UN56" s="12"/>
      <c r="UO56" s="12"/>
      <c r="UP56" s="12"/>
      <c r="UQ56" s="12"/>
      <c r="UR56" s="12"/>
      <c r="US56" s="12"/>
      <c r="UT56" s="12"/>
      <c r="UU56" s="12"/>
      <c r="UV56" s="12"/>
      <c r="UW56" s="12"/>
      <c r="UX56" s="12"/>
      <c r="UY56" s="12"/>
      <c r="UZ56" s="12"/>
      <c r="VA56" s="12"/>
      <c r="VB56" s="12"/>
      <c r="VC56" s="12"/>
      <c r="VD56" s="12"/>
      <c r="VE56" s="12"/>
      <c r="VF56" s="12"/>
      <c r="VG56" s="12"/>
      <c r="VH56" s="12"/>
      <c r="VI56" s="12"/>
      <c r="VJ56" s="12"/>
      <c r="VK56" s="12"/>
      <c r="VL56" s="12"/>
      <c r="VM56" s="12"/>
      <c r="VN56" s="12"/>
      <c r="VO56" s="12"/>
      <c r="VP56" s="12"/>
      <c r="VQ56" s="12"/>
      <c r="VR56" s="12"/>
      <c r="VS56" s="12"/>
      <c r="VT56" s="12"/>
      <c r="VU56" s="12"/>
      <c r="VV56" s="12"/>
      <c r="VW56" s="12"/>
      <c r="VX56" s="12"/>
      <c r="VY56" s="12"/>
      <c r="VZ56" s="12"/>
      <c r="WA56" s="12"/>
      <c r="WB56" s="12"/>
      <c r="WC56" s="12"/>
      <c r="WD56" s="12"/>
      <c r="WE56" s="12"/>
      <c r="WF56" s="12"/>
      <c r="WG56" s="12"/>
      <c r="WH56" s="12"/>
      <c r="WI56" s="12"/>
      <c r="WJ56" s="12"/>
      <c r="WK56" s="12"/>
      <c r="WL56" s="12"/>
      <c r="WM56" s="12"/>
      <c r="WN56" s="12"/>
      <c r="WO56" s="12"/>
      <c r="WP56" s="12"/>
      <c r="WQ56" s="12"/>
      <c r="WR56" s="12"/>
      <c r="WS56" s="12"/>
      <c r="WT56" s="12"/>
      <c r="WU56" s="12"/>
      <c r="WV56" s="12"/>
      <c r="WW56" s="12"/>
      <c r="WX56" s="12"/>
      <c r="WY56" s="12"/>
      <c r="WZ56" s="12"/>
      <c r="XA56" s="12"/>
      <c r="XB56" s="12"/>
      <c r="XC56" s="12"/>
      <c r="XD56" s="12"/>
      <c r="XE56" s="12"/>
      <c r="XF56" s="12"/>
      <c r="XG56" s="12"/>
      <c r="XH56" s="12"/>
      <c r="XI56" s="12"/>
      <c r="XJ56" s="12"/>
      <c r="XK56" s="12"/>
      <c r="XL56" s="12"/>
      <c r="XM56" s="12"/>
      <c r="XN56" s="12"/>
      <c r="XO56" s="12"/>
      <c r="XP56" s="12"/>
      <c r="XQ56" s="12"/>
      <c r="XR56" s="12"/>
      <c r="XS56" s="12"/>
      <c r="XT56" s="12"/>
      <c r="XU56" s="12"/>
      <c r="XV56" s="12"/>
      <c r="XW56" s="12"/>
      <c r="XX56" s="12"/>
      <c r="XY56" s="12"/>
      <c r="XZ56" s="12"/>
      <c r="YA56" s="12"/>
      <c r="YB56" s="12"/>
      <c r="YC56" s="12"/>
      <c r="YD56" s="12"/>
      <c r="YE56" s="12"/>
      <c r="YF56" s="12"/>
      <c r="YG56" s="12"/>
      <c r="YH56" s="12"/>
      <c r="YI56" s="12"/>
      <c r="YJ56" s="12"/>
      <c r="YK56" s="12"/>
      <c r="YL56" s="12"/>
      <c r="YM56" s="12"/>
      <c r="YN56" s="12"/>
      <c r="YO56" s="12"/>
      <c r="YP56" s="12"/>
      <c r="YQ56" s="12"/>
      <c r="YR56" s="12"/>
      <c r="YS56" s="12"/>
      <c r="YT56" s="12"/>
      <c r="YU56" s="12"/>
      <c r="YV56" s="12"/>
      <c r="YW56" s="12"/>
      <c r="YX56" s="12"/>
      <c r="YY56" s="12"/>
      <c r="YZ56" s="12"/>
      <c r="ZA56" s="12"/>
      <c r="ZB56" s="12"/>
      <c r="ZC56" s="12"/>
      <c r="ZD56" s="12"/>
      <c r="ZE56" s="12"/>
      <c r="ZF56" s="12"/>
      <c r="ZG56" s="12"/>
      <c r="ZH56" s="12"/>
      <c r="ZI56" s="12"/>
      <c r="ZJ56" s="12"/>
      <c r="ZK56" s="12"/>
      <c r="ZL56" s="12"/>
      <c r="ZM56" s="12"/>
      <c r="ZN56" s="12"/>
      <c r="ZO56" s="12"/>
      <c r="ZP56" s="12"/>
      <c r="ZQ56" s="12"/>
      <c r="ZR56" s="12"/>
      <c r="ZS56" s="12"/>
      <c r="ZT56" s="12"/>
      <c r="ZU56" s="12"/>
      <c r="ZV56" s="12"/>
      <c r="ZW56" s="12"/>
      <c r="ZX56" s="12"/>
      <c r="ZY56" s="12"/>
      <c r="ZZ56" s="12"/>
      <c r="AAA56" s="12"/>
      <c r="AAB56" s="12"/>
      <c r="AAC56" s="12"/>
      <c r="AAD56" s="12"/>
      <c r="AAE56" s="12"/>
      <c r="AAF56" s="12"/>
      <c r="AAG56" s="12"/>
      <c r="AAH56" s="12"/>
      <c r="AAI56" s="12"/>
      <c r="AAJ56" s="12"/>
      <c r="AAK56" s="12"/>
      <c r="AAL56" s="12"/>
      <c r="AAM56" s="12"/>
      <c r="AAN56" s="12"/>
      <c r="AAO56" s="12"/>
      <c r="AAP56" s="12"/>
      <c r="AAQ56" s="12"/>
      <c r="AAR56" s="12"/>
      <c r="AAS56" s="12"/>
      <c r="AAT56" s="12"/>
      <c r="AAU56" s="12"/>
      <c r="AAV56" s="12"/>
      <c r="AAW56" s="12"/>
      <c r="AAX56" s="12"/>
      <c r="AAY56" s="12"/>
      <c r="AAZ56" s="12"/>
      <c r="ABA56" s="12"/>
      <c r="ABB56" s="12"/>
      <c r="ABC56" s="12"/>
      <c r="ABD56" s="12"/>
      <c r="ABE56" s="12"/>
      <c r="ABF56" s="12"/>
      <c r="ABG56" s="12"/>
      <c r="ABH56" s="12"/>
      <c r="ABI56" s="12"/>
      <c r="ABJ56" s="12"/>
      <c r="ABK56" s="12"/>
      <c r="ABL56" s="12"/>
      <c r="ABM56" s="12"/>
      <c r="ABN56" s="12"/>
      <c r="ABO56" s="12"/>
      <c r="ABP56" s="12"/>
      <c r="ABQ56" s="12"/>
      <c r="ABR56" s="12"/>
      <c r="ABS56" s="12"/>
      <c r="ABT56" s="12"/>
      <c r="ABU56" s="12"/>
      <c r="ABV56" s="12"/>
      <c r="ABW56" s="12"/>
      <c r="ABX56" s="12"/>
      <c r="ABY56" s="12"/>
      <c r="ABZ56" s="12"/>
      <c r="ACA56" s="12"/>
      <c r="ACB56" s="12"/>
      <c r="ACC56" s="12"/>
      <c r="ACD56" s="12"/>
      <c r="ACE56" s="12"/>
      <c r="ACF56" s="12"/>
      <c r="ACG56" s="12"/>
      <c r="ACH56" s="12"/>
      <c r="ACI56" s="12"/>
      <c r="ACJ56" s="12"/>
      <c r="ACK56" s="12"/>
      <c r="ACL56" s="12"/>
      <c r="ACM56" s="12"/>
      <c r="ACN56" s="12"/>
      <c r="ACO56" s="12"/>
      <c r="ACP56" s="12"/>
      <c r="ACQ56" s="12"/>
      <c r="ACR56" s="12"/>
      <c r="ACS56" s="12"/>
      <c r="ACT56" s="12"/>
      <c r="ACU56" s="12"/>
      <c r="ACV56" s="12"/>
      <c r="ACW56" s="12"/>
      <c r="ACX56" s="12"/>
      <c r="ACY56" s="12"/>
      <c r="ACZ56" s="12"/>
      <c r="ADA56" s="12"/>
      <c r="ADB56" s="12"/>
      <c r="ADC56" s="12"/>
      <c r="ADD56" s="12"/>
      <c r="ADE56" s="12"/>
      <c r="ADF56" s="12"/>
      <c r="ADG56" s="12"/>
      <c r="ADH56" s="12"/>
      <c r="ADI56" s="12"/>
      <c r="ADJ56" s="12"/>
      <c r="ADK56" s="12"/>
      <c r="ADL56" s="12"/>
      <c r="ADM56" s="12"/>
      <c r="ADN56" s="12"/>
      <c r="ADO56" s="12"/>
      <c r="ADP56" s="12"/>
      <c r="ADQ56" s="12"/>
      <c r="ADR56" s="12"/>
      <c r="ADS56" s="12"/>
      <c r="ADT56" s="12"/>
      <c r="ADU56" s="12"/>
      <c r="ADV56" s="12"/>
      <c r="ADW56" s="12"/>
      <c r="ADX56" s="12"/>
      <c r="ADY56" s="12"/>
      <c r="ADZ56" s="12"/>
      <c r="AEA56" s="12"/>
      <c r="AEB56" s="12"/>
      <c r="AEC56" s="12"/>
      <c r="AED56" s="12"/>
      <c r="AEE56" s="12"/>
      <c r="AEF56" s="12"/>
      <c r="AEG56" s="12"/>
      <c r="AEH56" s="12"/>
      <c r="AEI56" s="12"/>
      <c r="AEJ56" s="12"/>
      <c r="AEK56" s="12"/>
      <c r="AEL56" s="12"/>
      <c r="AEM56" s="12"/>
      <c r="AEN56" s="12"/>
      <c r="AEO56" s="12"/>
      <c r="AEP56" s="12"/>
      <c r="AEQ56" s="12"/>
      <c r="AER56" s="12"/>
      <c r="AES56" s="12"/>
      <c r="AET56" s="12"/>
      <c r="AEU56" s="12"/>
      <c r="AEV56" s="12"/>
    </row>
    <row r="57" spans="1:828" s="27" customFormat="1" ht="18" x14ac:dyDescent="0.2">
      <c r="A57" s="61"/>
      <c r="C57" s="23"/>
      <c r="D57" s="29"/>
      <c r="E57" s="23"/>
      <c r="F57" s="23"/>
      <c r="G57" s="23"/>
      <c r="H57" s="30"/>
      <c r="I57" s="23"/>
      <c r="J57" s="29"/>
      <c r="K57" s="30"/>
      <c r="L57" s="23"/>
      <c r="M57" s="29"/>
      <c r="N57" s="47"/>
      <c r="O57" s="47"/>
      <c r="P57" s="48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2"/>
      <c r="FJ57" s="12"/>
      <c r="FK57" s="12"/>
      <c r="FL57" s="12"/>
      <c r="FM57" s="12"/>
      <c r="FN57" s="12"/>
      <c r="FO57" s="12"/>
      <c r="FP57" s="12"/>
      <c r="FQ57" s="12"/>
      <c r="FR57" s="12"/>
      <c r="FS57" s="12"/>
      <c r="FT57" s="12"/>
      <c r="FU57" s="12"/>
      <c r="FV57" s="12"/>
      <c r="FW57" s="12"/>
      <c r="FX57" s="12"/>
      <c r="FY57" s="12"/>
      <c r="FZ57" s="12"/>
      <c r="GA57" s="12"/>
      <c r="GB57" s="12"/>
      <c r="GC57" s="12"/>
      <c r="GD57" s="12"/>
      <c r="GE57" s="12"/>
      <c r="GF57" s="12"/>
      <c r="GG57" s="12"/>
      <c r="GH57" s="12"/>
      <c r="GI57" s="12"/>
      <c r="GJ57" s="12"/>
      <c r="GK57" s="12"/>
      <c r="GL57" s="12"/>
      <c r="GM57" s="12"/>
      <c r="GN57" s="12"/>
      <c r="GO57" s="12"/>
      <c r="GP57" s="12"/>
      <c r="GQ57" s="12"/>
      <c r="GR57" s="12"/>
      <c r="GS57" s="12"/>
      <c r="GT57" s="12"/>
      <c r="GU57" s="12"/>
      <c r="GV57" s="12"/>
      <c r="GW57" s="12"/>
      <c r="GX57" s="12"/>
      <c r="GY57" s="12"/>
      <c r="GZ57" s="12"/>
      <c r="HA57" s="12"/>
      <c r="HB57" s="12"/>
      <c r="HC57" s="12"/>
      <c r="HD57" s="12"/>
      <c r="HE57" s="12"/>
      <c r="HF57" s="12"/>
      <c r="HG57" s="12"/>
      <c r="HH57" s="12"/>
      <c r="HI57" s="12"/>
      <c r="HJ57" s="12"/>
      <c r="HK57" s="12"/>
      <c r="HL57" s="12"/>
      <c r="HM57" s="12"/>
      <c r="HN57" s="12"/>
      <c r="HO57" s="12"/>
      <c r="HP57" s="12"/>
      <c r="HQ57" s="12"/>
      <c r="HR57" s="12"/>
      <c r="HS57" s="12"/>
      <c r="HT57" s="12"/>
      <c r="HU57" s="12"/>
      <c r="HV57" s="12"/>
      <c r="HW57" s="12"/>
      <c r="HX57" s="12"/>
      <c r="HY57" s="12"/>
      <c r="HZ57" s="12"/>
      <c r="IA57" s="12"/>
      <c r="IB57" s="12"/>
      <c r="IC57" s="12"/>
      <c r="ID57" s="12"/>
      <c r="IE57" s="12"/>
      <c r="IF57" s="12"/>
      <c r="IG57" s="12"/>
      <c r="IH57" s="12"/>
      <c r="II57" s="12"/>
      <c r="IJ57" s="12"/>
      <c r="IK57" s="12"/>
      <c r="IL57" s="12"/>
      <c r="IM57" s="12"/>
      <c r="IN57" s="12"/>
      <c r="IO57" s="12"/>
      <c r="IP57" s="12"/>
      <c r="IQ57" s="12"/>
      <c r="IR57" s="12"/>
      <c r="IS57" s="12"/>
      <c r="IT57" s="12"/>
      <c r="IU57" s="12"/>
      <c r="IV57" s="12"/>
      <c r="IW57" s="12"/>
      <c r="IX57" s="12"/>
      <c r="IY57" s="12"/>
      <c r="IZ57" s="12"/>
      <c r="JA57" s="12"/>
      <c r="JB57" s="12"/>
      <c r="JC57" s="12"/>
      <c r="JD57" s="12"/>
      <c r="JE57" s="12"/>
      <c r="JF57" s="12"/>
      <c r="JG57" s="12"/>
      <c r="JH57" s="12"/>
      <c r="JI57" s="12"/>
      <c r="JJ57" s="12"/>
      <c r="JK57" s="12"/>
      <c r="JL57" s="12"/>
      <c r="JM57" s="12"/>
      <c r="JN57" s="12"/>
      <c r="JO57" s="12"/>
      <c r="JP57" s="12"/>
      <c r="JQ57" s="12"/>
      <c r="JR57" s="12"/>
      <c r="JS57" s="12"/>
      <c r="JT57" s="12"/>
      <c r="JU57" s="12"/>
      <c r="JV57" s="12"/>
      <c r="JW57" s="12"/>
      <c r="JX57" s="12"/>
      <c r="JY57" s="12"/>
      <c r="JZ57" s="12"/>
      <c r="KA57" s="12"/>
      <c r="KB57" s="12"/>
      <c r="KC57" s="12"/>
      <c r="KD57" s="12"/>
      <c r="KE57" s="12"/>
      <c r="KF57" s="12"/>
      <c r="KG57" s="12"/>
      <c r="KH57" s="12"/>
      <c r="KI57" s="12"/>
      <c r="KJ57" s="12"/>
      <c r="KK57" s="12"/>
      <c r="KL57" s="12"/>
      <c r="KM57" s="12"/>
      <c r="KN57" s="12"/>
      <c r="KO57" s="12"/>
      <c r="KP57" s="12"/>
      <c r="KQ57" s="12"/>
      <c r="KR57" s="12"/>
      <c r="KS57" s="12"/>
      <c r="KT57" s="12"/>
      <c r="KU57" s="12"/>
      <c r="KV57" s="12"/>
      <c r="KW57" s="12"/>
      <c r="KX57" s="12"/>
      <c r="KY57" s="12"/>
      <c r="KZ57" s="12"/>
      <c r="LA57" s="12"/>
      <c r="LB57" s="12"/>
      <c r="LC57" s="12"/>
      <c r="LD57" s="12"/>
      <c r="LE57" s="12"/>
      <c r="LF57" s="12"/>
      <c r="LG57" s="12"/>
      <c r="LH57" s="12"/>
      <c r="LI57" s="12"/>
      <c r="LJ57" s="12"/>
      <c r="LK57" s="12"/>
      <c r="LL57" s="12"/>
      <c r="LM57" s="12"/>
      <c r="LN57" s="12"/>
      <c r="LO57" s="12"/>
      <c r="LP57" s="12"/>
      <c r="LQ57" s="12"/>
      <c r="LR57" s="12"/>
      <c r="LS57" s="12"/>
      <c r="LT57" s="12"/>
      <c r="LU57" s="12"/>
      <c r="LV57" s="12"/>
      <c r="LW57" s="12"/>
      <c r="LX57" s="12"/>
      <c r="LY57" s="12"/>
      <c r="LZ57" s="12"/>
      <c r="MA57" s="12"/>
      <c r="MB57" s="12"/>
      <c r="MC57" s="12"/>
      <c r="MD57" s="12"/>
      <c r="ME57" s="12"/>
      <c r="MF57" s="12"/>
      <c r="MG57" s="12"/>
      <c r="MH57" s="12"/>
      <c r="MI57" s="12"/>
      <c r="MJ57" s="12"/>
      <c r="MK57" s="12"/>
      <c r="ML57" s="12"/>
      <c r="MM57" s="12"/>
      <c r="MN57" s="12"/>
      <c r="MO57" s="12"/>
      <c r="MP57" s="12"/>
      <c r="MQ57" s="12"/>
      <c r="MR57" s="12"/>
      <c r="MS57" s="12"/>
      <c r="MT57" s="12"/>
      <c r="MU57" s="12"/>
      <c r="MV57" s="12"/>
      <c r="MW57" s="12"/>
      <c r="MX57" s="12"/>
      <c r="MY57" s="12"/>
      <c r="MZ57" s="12"/>
      <c r="NA57" s="12"/>
      <c r="NB57" s="12"/>
      <c r="NC57" s="12"/>
      <c r="ND57" s="12"/>
      <c r="NE57" s="12"/>
      <c r="NF57" s="12"/>
      <c r="NG57" s="12"/>
      <c r="NH57" s="12"/>
      <c r="NI57" s="12"/>
      <c r="NJ57" s="12"/>
      <c r="NK57" s="12"/>
      <c r="NL57" s="12"/>
      <c r="NM57" s="12"/>
      <c r="NN57" s="12"/>
      <c r="NO57" s="12"/>
      <c r="NP57" s="12"/>
      <c r="NQ57" s="12"/>
      <c r="NR57" s="12"/>
      <c r="NS57" s="12"/>
      <c r="NT57" s="12"/>
      <c r="NU57" s="12"/>
      <c r="NV57" s="12"/>
      <c r="NW57" s="12"/>
      <c r="NX57" s="12"/>
      <c r="NY57" s="12"/>
      <c r="NZ57" s="12"/>
      <c r="OA57" s="12"/>
      <c r="OB57" s="12"/>
      <c r="OC57" s="12"/>
      <c r="OD57" s="12"/>
      <c r="OE57" s="12"/>
      <c r="OF57" s="12"/>
      <c r="OG57" s="12"/>
      <c r="OH57" s="12"/>
      <c r="OI57" s="12"/>
      <c r="OJ57" s="12"/>
      <c r="OK57" s="12"/>
      <c r="OL57" s="12"/>
      <c r="OM57" s="12"/>
      <c r="ON57" s="12"/>
      <c r="OO57" s="12"/>
      <c r="OP57" s="12"/>
      <c r="OQ57" s="12"/>
      <c r="OR57" s="12"/>
      <c r="OS57" s="12"/>
      <c r="OT57" s="12"/>
      <c r="OU57" s="12"/>
      <c r="OV57" s="12"/>
      <c r="OW57" s="12"/>
      <c r="OX57" s="12"/>
      <c r="OY57" s="12"/>
      <c r="OZ57" s="12"/>
      <c r="PA57" s="12"/>
      <c r="PB57" s="12"/>
      <c r="PC57" s="12"/>
      <c r="PD57" s="12"/>
      <c r="PE57" s="12"/>
      <c r="PF57" s="12"/>
      <c r="PG57" s="12"/>
      <c r="PH57" s="12"/>
      <c r="PI57" s="12"/>
      <c r="PJ57" s="12"/>
      <c r="PK57" s="12"/>
      <c r="PL57" s="12"/>
      <c r="PM57" s="12"/>
      <c r="PN57" s="12"/>
      <c r="PO57" s="12"/>
      <c r="PP57" s="12"/>
      <c r="PQ57" s="12"/>
      <c r="PR57" s="12"/>
      <c r="PS57" s="12"/>
      <c r="PT57" s="12"/>
      <c r="PU57" s="12"/>
      <c r="PV57" s="12"/>
      <c r="PW57" s="12"/>
      <c r="PX57" s="12"/>
      <c r="PY57" s="12"/>
      <c r="PZ57" s="12"/>
      <c r="QA57" s="12"/>
      <c r="QB57" s="12"/>
      <c r="QC57" s="12"/>
      <c r="QD57" s="12"/>
      <c r="QE57" s="12"/>
      <c r="QF57" s="12"/>
      <c r="QG57" s="12"/>
      <c r="QH57" s="12"/>
      <c r="QI57" s="12"/>
      <c r="QJ57" s="12"/>
      <c r="QK57" s="12"/>
      <c r="QL57" s="12"/>
      <c r="QM57" s="12"/>
      <c r="QN57" s="12"/>
      <c r="QO57" s="12"/>
      <c r="QP57" s="12"/>
      <c r="QQ57" s="12"/>
      <c r="QR57" s="12"/>
      <c r="QS57" s="12"/>
      <c r="QT57" s="12"/>
      <c r="QU57" s="12"/>
      <c r="QV57" s="12"/>
      <c r="QW57" s="12"/>
      <c r="QX57" s="12"/>
      <c r="QY57" s="12"/>
      <c r="QZ57" s="12"/>
      <c r="RA57" s="12"/>
      <c r="RB57" s="12"/>
      <c r="RC57" s="12"/>
      <c r="RD57" s="12"/>
      <c r="RE57" s="12"/>
      <c r="RF57" s="12"/>
      <c r="RG57" s="12"/>
      <c r="RH57" s="12"/>
      <c r="RI57" s="12"/>
      <c r="RJ57" s="12"/>
      <c r="RK57" s="12"/>
      <c r="RL57" s="12"/>
      <c r="RM57" s="12"/>
      <c r="RN57" s="12"/>
      <c r="RO57" s="12"/>
      <c r="RP57" s="12"/>
      <c r="RQ57" s="12"/>
      <c r="RR57" s="12"/>
      <c r="RS57" s="12"/>
      <c r="RT57" s="12"/>
      <c r="RU57" s="12"/>
      <c r="RV57" s="12"/>
      <c r="RW57" s="12"/>
      <c r="RX57" s="12"/>
      <c r="RY57" s="12"/>
      <c r="RZ57" s="12"/>
      <c r="SA57" s="12"/>
      <c r="SB57" s="12"/>
      <c r="SC57" s="12"/>
      <c r="SD57" s="12"/>
      <c r="SE57" s="12"/>
      <c r="SF57" s="12"/>
      <c r="SG57" s="12"/>
      <c r="SH57" s="12"/>
      <c r="SI57" s="12"/>
      <c r="SJ57" s="12"/>
      <c r="SK57" s="12"/>
      <c r="SL57" s="12"/>
      <c r="SM57" s="12"/>
      <c r="SN57" s="12"/>
      <c r="SO57" s="12"/>
      <c r="SP57" s="12"/>
      <c r="SQ57" s="12"/>
      <c r="SR57" s="12"/>
      <c r="SS57" s="12"/>
      <c r="ST57" s="12"/>
      <c r="SU57" s="12"/>
      <c r="SV57" s="12"/>
      <c r="SW57" s="12"/>
      <c r="SX57" s="12"/>
      <c r="SY57" s="12"/>
      <c r="SZ57" s="12"/>
      <c r="TA57" s="12"/>
      <c r="TB57" s="12"/>
      <c r="TC57" s="12"/>
      <c r="TD57" s="12"/>
      <c r="TE57" s="12"/>
      <c r="TF57" s="12"/>
      <c r="TG57" s="12"/>
      <c r="TH57" s="12"/>
      <c r="TI57" s="12"/>
      <c r="TJ57" s="12"/>
      <c r="TK57" s="12"/>
      <c r="TL57" s="12"/>
      <c r="TM57" s="12"/>
      <c r="TN57" s="12"/>
      <c r="TO57" s="12"/>
      <c r="TP57" s="12"/>
      <c r="TQ57" s="12"/>
      <c r="TR57" s="12"/>
      <c r="TS57" s="12"/>
      <c r="TT57" s="12"/>
      <c r="TU57" s="12"/>
      <c r="TV57" s="12"/>
      <c r="TW57" s="12"/>
      <c r="TX57" s="12"/>
      <c r="TY57" s="12"/>
      <c r="TZ57" s="12"/>
      <c r="UA57" s="12"/>
      <c r="UB57" s="12"/>
      <c r="UC57" s="12"/>
      <c r="UD57" s="12"/>
      <c r="UE57" s="12"/>
      <c r="UF57" s="12"/>
      <c r="UG57" s="12"/>
      <c r="UH57" s="12"/>
      <c r="UI57" s="12"/>
      <c r="UJ57" s="12"/>
      <c r="UK57" s="12"/>
      <c r="UL57" s="12"/>
      <c r="UM57" s="12"/>
      <c r="UN57" s="12"/>
      <c r="UO57" s="12"/>
      <c r="UP57" s="12"/>
      <c r="UQ57" s="12"/>
      <c r="UR57" s="12"/>
      <c r="US57" s="12"/>
      <c r="UT57" s="12"/>
      <c r="UU57" s="12"/>
      <c r="UV57" s="12"/>
      <c r="UW57" s="12"/>
      <c r="UX57" s="12"/>
      <c r="UY57" s="12"/>
      <c r="UZ57" s="12"/>
      <c r="VA57" s="12"/>
      <c r="VB57" s="12"/>
      <c r="VC57" s="12"/>
      <c r="VD57" s="12"/>
      <c r="VE57" s="12"/>
      <c r="VF57" s="12"/>
      <c r="VG57" s="12"/>
      <c r="VH57" s="12"/>
      <c r="VI57" s="12"/>
      <c r="VJ57" s="12"/>
      <c r="VK57" s="12"/>
      <c r="VL57" s="12"/>
      <c r="VM57" s="12"/>
      <c r="VN57" s="12"/>
      <c r="VO57" s="12"/>
      <c r="VP57" s="12"/>
      <c r="VQ57" s="12"/>
      <c r="VR57" s="12"/>
      <c r="VS57" s="12"/>
      <c r="VT57" s="12"/>
      <c r="VU57" s="12"/>
      <c r="VV57" s="12"/>
      <c r="VW57" s="12"/>
      <c r="VX57" s="12"/>
      <c r="VY57" s="12"/>
      <c r="VZ57" s="12"/>
      <c r="WA57" s="12"/>
      <c r="WB57" s="12"/>
      <c r="WC57" s="12"/>
      <c r="WD57" s="12"/>
      <c r="WE57" s="12"/>
      <c r="WF57" s="12"/>
      <c r="WG57" s="12"/>
      <c r="WH57" s="12"/>
      <c r="WI57" s="12"/>
      <c r="WJ57" s="12"/>
      <c r="WK57" s="12"/>
      <c r="WL57" s="12"/>
      <c r="WM57" s="12"/>
      <c r="WN57" s="12"/>
      <c r="WO57" s="12"/>
      <c r="WP57" s="12"/>
      <c r="WQ57" s="12"/>
      <c r="WR57" s="12"/>
      <c r="WS57" s="12"/>
      <c r="WT57" s="12"/>
      <c r="WU57" s="12"/>
      <c r="WV57" s="12"/>
      <c r="WW57" s="12"/>
      <c r="WX57" s="12"/>
      <c r="WY57" s="12"/>
      <c r="WZ57" s="12"/>
      <c r="XA57" s="12"/>
      <c r="XB57" s="12"/>
      <c r="XC57" s="12"/>
      <c r="XD57" s="12"/>
      <c r="XE57" s="12"/>
      <c r="XF57" s="12"/>
      <c r="XG57" s="12"/>
      <c r="XH57" s="12"/>
      <c r="XI57" s="12"/>
      <c r="XJ57" s="12"/>
      <c r="XK57" s="12"/>
      <c r="XL57" s="12"/>
      <c r="XM57" s="12"/>
      <c r="XN57" s="12"/>
      <c r="XO57" s="12"/>
      <c r="XP57" s="12"/>
      <c r="XQ57" s="12"/>
      <c r="XR57" s="12"/>
      <c r="XS57" s="12"/>
      <c r="XT57" s="12"/>
      <c r="XU57" s="12"/>
      <c r="XV57" s="12"/>
      <c r="XW57" s="12"/>
      <c r="XX57" s="12"/>
      <c r="XY57" s="12"/>
      <c r="XZ57" s="12"/>
      <c r="YA57" s="12"/>
      <c r="YB57" s="12"/>
      <c r="YC57" s="12"/>
      <c r="YD57" s="12"/>
      <c r="YE57" s="12"/>
      <c r="YF57" s="12"/>
      <c r="YG57" s="12"/>
      <c r="YH57" s="12"/>
      <c r="YI57" s="12"/>
      <c r="YJ57" s="12"/>
      <c r="YK57" s="12"/>
      <c r="YL57" s="12"/>
      <c r="YM57" s="12"/>
      <c r="YN57" s="12"/>
      <c r="YO57" s="12"/>
      <c r="YP57" s="12"/>
      <c r="YQ57" s="12"/>
      <c r="YR57" s="12"/>
      <c r="YS57" s="12"/>
      <c r="YT57" s="12"/>
      <c r="YU57" s="12"/>
      <c r="YV57" s="12"/>
      <c r="YW57" s="12"/>
      <c r="YX57" s="12"/>
      <c r="YY57" s="12"/>
      <c r="YZ57" s="12"/>
      <c r="ZA57" s="12"/>
      <c r="ZB57" s="12"/>
      <c r="ZC57" s="12"/>
      <c r="ZD57" s="12"/>
      <c r="ZE57" s="12"/>
      <c r="ZF57" s="12"/>
      <c r="ZG57" s="12"/>
      <c r="ZH57" s="12"/>
      <c r="ZI57" s="12"/>
      <c r="ZJ57" s="12"/>
      <c r="ZK57" s="12"/>
      <c r="ZL57" s="12"/>
      <c r="ZM57" s="12"/>
      <c r="ZN57" s="12"/>
      <c r="ZO57" s="12"/>
      <c r="ZP57" s="12"/>
      <c r="ZQ57" s="12"/>
      <c r="ZR57" s="12"/>
      <c r="ZS57" s="12"/>
      <c r="ZT57" s="12"/>
      <c r="ZU57" s="12"/>
      <c r="ZV57" s="12"/>
      <c r="ZW57" s="12"/>
      <c r="ZX57" s="12"/>
      <c r="ZY57" s="12"/>
      <c r="ZZ57" s="12"/>
      <c r="AAA57" s="12"/>
      <c r="AAB57" s="12"/>
      <c r="AAC57" s="12"/>
      <c r="AAD57" s="12"/>
      <c r="AAE57" s="12"/>
      <c r="AAF57" s="12"/>
      <c r="AAG57" s="12"/>
      <c r="AAH57" s="12"/>
      <c r="AAI57" s="12"/>
      <c r="AAJ57" s="12"/>
      <c r="AAK57" s="12"/>
      <c r="AAL57" s="12"/>
      <c r="AAM57" s="12"/>
      <c r="AAN57" s="12"/>
      <c r="AAO57" s="12"/>
      <c r="AAP57" s="12"/>
      <c r="AAQ57" s="12"/>
      <c r="AAR57" s="12"/>
      <c r="AAS57" s="12"/>
      <c r="AAT57" s="12"/>
      <c r="AAU57" s="12"/>
      <c r="AAV57" s="12"/>
      <c r="AAW57" s="12"/>
      <c r="AAX57" s="12"/>
      <c r="AAY57" s="12"/>
      <c r="AAZ57" s="12"/>
      <c r="ABA57" s="12"/>
      <c r="ABB57" s="12"/>
      <c r="ABC57" s="12"/>
      <c r="ABD57" s="12"/>
      <c r="ABE57" s="12"/>
      <c r="ABF57" s="12"/>
      <c r="ABG57" s="12"/>
      <c r="ABH57" s="12"/>
      <c r="ABI57" s="12"/>
      <c r="ABJ57" s="12"/>
      <c r="ABK57" s="12"/>
      <c r="ABL57" s="12"/>
      <c r="ABM57" s="12"/>
      <c r="ABN57" s="12"/>
      <c r="ABO57" s="12"/>
      <c r="ABP57" s="12"/>
      <c r="ABQ57" s="12"/>
      <c r="ABR57" s="12"/>
      <c r="ABS57" s="12"/>
      <c r="ABT57" s="12"/>
      <c r="ABU57" s="12"/>
      <c r="ABV57" s="12"/>
      <c r="ABW57" s="12"/>
      <c r="ABX57" s="12"/>
      <c r="ABY57" s="12"/>
      <c r="ABZ57" s="12"/>
      <c r="ACA57" s="12"/>
      <c r="ACB57" s="12"/>
      <c r="ACC57" s="12"/>
      <c r="ACD57" s="12"/>
      <c r="ACE57" s="12"/>
      <c r="ACF57" s="12"/>
      <c r="ACG57" s="12"/>
      <c r="ACH57" s="12"/>
      <c r="ACI57" s="12"/>
      <c r="ACJ57" s="12"/>
      <c r="ACK57" s="12"/>
      <c r="ACL57" s="12"/>
      <c r="ACM57" s="12"/>
      <c r="ACN57" s="12"/>
      <c r="ACO57" s="12"/>
      <c r="ACP57" s="12"/>
      <c r="ACQ57" s="12"/>
      <c r="ACR57" s="12"/>
      <c r="ACS57" s="12"/>
      <c r="ACT57" s="12"/>
      <c r="ACU57" s="12"/>
      <c r="ACV57" s="12"/>
      <c r="ACW57" s="12"/>
      <c r="ACX57" s="12"/>
      <c r="ACY57" s="12"/>
      <c r="ACZ57" s="12"/>
      <c r="ADA57" s="12"/>
      <c r="ADB57" s="12"/>
      <c r="ADC57" s="12"/>
      <c r="ADD57" s="12"/>
      <c r="ADE57" s="12"/>
      <c r="ADF57" s="12"/>
      <c r="ADG57" s="12"/>
      <c r="ADH57" s="12"/>
      <c r="ADI57" s="12"/>
      <c r="ADJ57" s="12"/>
      <c r="ADK57" s="12"/>
      <c r="ADL57" s="12"/>
      <c r="ADM57" s="12"/>
      <c r="ADN57" s="12"/>
      <c r="ADO57" s="12"/>
      <c r="ADP57" s="12"/>
      <c r="ADQ57" s="12"/>
      <c r="ADR57" s="12"/>
      <c r="ADS57" s="12"/>
      <c r="ADT57" s="12"/>
      <c r="ADU57" s="12"/>
      <c r="ADV57" s="12"/>
      <c r="ADW57" s="12"/>
      <c r="ADX57" s="12"/>
      <c r="ADY57" s="12"/>
      <c r="ADZ57" s="12"/>
      <c r="AEA57" s="12"/>
      <c r="AEB57" s="12"/>
      <c r="AEC57" s="12"/>
      <c r="AED57" s="12"/>
      <c r="AEE57" s="12"/>
      <c r="AEF57" s="12"/>
      <c r="AEG57" s="12"/>
      <c r="AEH57" s="12"/>
      <c r="AEI57" s="12"/>
      <c r="AEJ57" s="12"/>
      <c r="AEK57" s="12"/>
      <c r="AEL57" s="12"/>
      <c r="AEM57" s="12"/>
      <c r="AEN57" s="12"/>
      <c r="AEO57" s="12"/>
      <c r="AEP57" s="12"/>
      <c r="AEQ57" s="12"/>
      <c r="AER57" s="12"/>
      <c r="AES57" s="12"/>
      <c r="AET57" s="12"/>
      <c r="AEU57" s="12"/>
      <c r="AEV57" s="12"/>
    </row>
    <row r="58" spans="1:828" s="27" customFormat="1" ht="18" x14ac:dyDescent="0.2">
      <c r="A58" s="61"/>
      <c r="C58" s="23"/>
      <c r="D58" s="29"/>
      <c r="E58" s="23"/>
      <c r="F58" s="23"/>
      <c r="G58" s="23"/>
      <c r="H58" s="30"/>
      <c r="I58" s="23"/>
      <c r="J58" s="29"/>
      <c r="K58" s="30"/>
      <c r="L58" s="23"/>
      <c r="M58" s="29"/>
      <c r="N58" s="47"/>
      <c r="O58" s="47"/>
      <c r="P58" s="48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2"/>
      <c r="FJ58" s="12"/>
      <c r="FK58" s="12"/>
      <c r="FL58" s="12"/>
      <c r="FM58" s="12"/>
      <c r="FN58" s="12"/>
      <c r="FO58" s="12"/>
      <c r="FP58" s="12"/>
      <c r="FQ58" s="12"/>
      <c r="FR58" s="12"/>
      <c r="FS58" s="12"/>
      <c r="FT58" s="12"/>
      <c r="FU58" s="12"/>
      <c r="FV58" s="12"/>
      <c r="FW58" s="12"/>
      <c r="FX58" s="12"/>
      <c r="FY58" s="12"/>
      <c r="FZ58" s="12"/>
      <c r="GA58" s="12"/>
      <c r="GB58" s="12"/>
      <c r="GC58" s="12"/>
      <c r="GD58" s="12"/>
      <c r="GE58" s="12"/>
      <c r="GF58" s="12"/>
      <c r="GG58" s="12"/>
      <c r="GH58" s="12"/>
      <c r="GI58" s="12"/>
      <c r="GJ58" s="12"/>
      <c r="GK58" s="12"/>
      <c r="GL58" s="12"/>
      <c r="GM58" s="12"/>
      <c r="GN58" s="12"/>
      <c r="GO58" s="12"/>
      <c r="GP58" s="12"/>
      <c r="GQ58" s="12"/>
      <c r="GR58" s="12"/>
      <c r="GS58" s="12"/>
      <c r="GT58" s="12"/>
      <c r="GU58" s="12"/>
      <c r="GV58" s="12"/>
      <c r="GW58" s="12"/>
      <c r="GX58" s="12"/>
      <c r="GY58" s="12"/>
      <c r="GZ58" s="12"/>
      <c r="HA58" s="12"/>
      <c r="HB58" s="12"/>
      <c r="HC58" s="12"/>
      <c r="HD58" s="12"/>
      <c r="HE58" s="12"/>
      <c r="HF58" s="12"/>
      <c r="HG58" s="12"/>
      <c r="HH58" s="12"/>
      <c r="HI58" s="12"/>
      <c r="HJ58" s="12"/>
      <c r="HK58" s="12"/>
      <c r="HL58" s="12"/>
      <c r="HM58" s="12"/>
      <c r="HN58" s="12"/>
      <c r="HO58" s="12"/>
      <c r="HP58" s="12"/>
      <c r="HQ58" s="12"/>
      <c r="HR58" s="12"/>
      <c r="HS58" s="12"/>
      <c r="HT58" s="12"/>
      <c r="HU58" s="12"/>
      <c r="HV58" s="12"/>
      <c r="HW58" s="12"/>
      <c r="HX58" s="12"/>
      <c r="HY58" s="12"/>
      <c r="HZ58" s="12"/>
      <c r="IA58" s="12"/>
      <c r="IB58" s="12"/>
      <c r="IC58" s="12"/>
      <c r="ID58" s="12"/>
      <c r="IE58" s="12"/>
      <c r="IF58" s="12"/>
      <c r="IG58" s="12"/>
      <c r="IH58" s="12"/>
      <c r="II58" s="12"/>
      <c r="IJ58" s="12"/>
      <c r="IK58" s="12"/>
      <c r="IL58" s="12"/>
      <c r="IM58" s="12"/>
      <c r="IN58" s="12"/>
      <c r="IO58" s="12"/>
      <c r="IP58" s="12"/>
      <c r="IQ58" s="12"/>
      <c r="IR58" s="12"/>
      <c r="IS58" s="12"/>
      <c r="IT58" s="12"/>
      <c r="IU58" s="12"/>
      <c r="IV58" s="12"/>
      <c r="IW58" s="12"/>
      <c r="IX58" s="12"/>
      <c r="IY58" s="12"/>
      <c r="IZ58" s="12"/>
      <c r="JA58" s="12"/>
      <c r="JB58" s="12"/>
      <c r="JC58" s="12"/>
      <c r="JD58" s="12"/>
      <c r="JE58" s="12"/>
      <c r="JF58" s="12"/>
      <c r="JG58" s="12"/>
      <c r="JH58" s="12"/>
      <c r="JI58" s="12"/>
      <c r="JJ58" s="12"/>
      <c r="JK58" s="12"/>
      <c r="JL58" s="12"/>
      <c r="JM58" s="12"/>
      <c r="JN58" s="12"/>
      <c r="JO58" s="12"/>
      <c r="JP58" s="12"/>
      <c r="JQ58" s="12"/>
      <c r="JR58" s="12"/>
      <c r="JS58" s="12"/>
      <c r="JT58" s="12"/>
      <c r="JU58" s="12"/>
      <c r="JV58" s="12"/>
      <c r="JW58" s="12"/>
      <c r="JX58" s="12"/>
      <c r="JY58" s="12"/>
      <c r="JZ58" s="12"/>
      <c r="KA58" s="12"/>
      <c r="KB58" s="12"/>
      <c r="KC58" s="12"/>
      <c r="KD58" s="12"/>
      <c r="KE58" s="12"/>
      <c r="KF58" s="12"/>
      <c r="KG58" s="12"/>
      <c r="KH58" s="12"/>
      <c r="KI58" s="12"/>
      <c r="KJ58" s="12"/>
      <c r="KK58" s="12"/>
      <c r="KL58" s="12"/>
      <c r="KM58" s="12"/>
      <c r="KN58" s="12"/>
      <c r="KO58" s="12"/>
      <c r="KP58" s="12"/>
      <c r="KQ58" s="12"/>
      <c r="KR58" s="12"/>
      <c r="KS58" s="12"/>
      <c r="KT58" s="12"/>
      <c r="KU58" s="12"/>
      <c r="KV58" s="12"/>
      <c r="KW58" s="12"/>
      <c r="KX58" s="12"/>
      <c r="KY58" s="12"/>
      <c r="KZ58" s="12"/>
      <c r="LA58" s="12"/>
      <c r="LB58" s="12"/>
      <c r="LC58" s="12"/>
      <c r="LD58" s="12"/>
      <c r="LE58" s="12"/>
      <c r="LF58" s="12"/>
      <c r="LG58" s="12"/>
      <c r="LH58" s="12"/>
      <c r="LI58" s="12"/>
      <c r="LJ58" s="12"/>
      <c r="LK58" s="12"/>
      <c r="LL58" s="12"/>
      <c r="LM58" s="12"/>
      <c r="LN58" s="12"/>
      <c r="LO58" s="12"/>
      <c r="LP58" s="12"/>
      <c r="LQ58" s="12"/>
      <c r="LR58" s="12"/>
      <c r="LS58" s="12"/>
      <c r="LT58" s="12"/>
      <c r="LU58" s="12"/>
      <c r="LV58" s="12"/>
      <c r="LW58" s="12"/>
      <c r="LX58" s="12"/>
      <c r="LY58" s="12"/>
      <c r="LZ58" s="12"/>
      <c r="MA58" s="12"/>
      <c r="MB58" s="12"/>
      <c r="MC58" s="12"/>
      <c r="MD58" s="12"/>
      <c r="ME58" s="12"/>
      <c r="MF58" s="12"/>
      <c r="MG58" s="12"/>
      <c r="MH58" s="12"/>
      <c r="MI58" s="12"/>
      <c r="MJ58" s="12"/>
      <c r="MK58" s="12"/>
      <c r="ML58" s="12"/>
      <c r="MM58" s="12"/>
      <c r="MN58" s="12"/>
      <c r="MO58" s="12"/>
      <c r="MP58" s="12"/>
      <c r="MQ58" s="12"/>
      <c r="MR58" s="12"/>
      <c r="MS58" s="12"/>
      <c r="MT58" s="12"/>
      <c r="MU58" s="12"/>
      <c r="MV58" s="12"/>
      <c r="MW58" s="12"/>
      <c r="MX58" s="12"/>
      <c r="MY58" s="12"/>
      <c r="MZ58" s="12"/>
      <c r="NA58" s="12"/>
      <c r="NB58" s="12"/>
      <c r="NC58" s="12"/>
      <c r="ND58" s="12"/>
      <c r="NE58" s="12"/>
      <c r="NF58" s="12"/>
      <c r="NG58" s="12"/>
      <c r="NH58" s="12"/>
      <c r="NI58" s="12"/>
      <c r="NJ58" s="12"/>
      <c r="NK58" s="12"/>
      <c r="NL58" s="12"/>
      <c r="NM58" s="12"/>
      <c r="NN58" s="12"/>
      <c r="NO58" s="12"/>
      <c r="NP58" s="12"/>
      <c r="NQ58" s="12"/>
      <c r="NR58" s="12"/>
      <c r="NS58" s="12"/>
      <c r="NT58" s="12"/>
      <c r="NU58" s="12"/>
      <c r="NV58" s="12"/>
      <c r="NW58" s="12"/>
      <c r="NX58" s="12"/>
      <c r="NY58" s="12"/>
      <c r="NZ58" s="12"/>
      <c r="OA58" s="12"/>
      <c r="OB58" s="12"/>
      <c r="OC58" s="12"/>
      <c r="OD58" s="12"/>
      <c r="OE58" s="12"/>
      <c r="OF58" s="12"/>
      <c r="OG58" s="12"/>
      <c r="OH58" s="12"/>
      <c r="OI58" s="12"/>
      <c r="OJ58" s="12"/>
      <c r="OK58" s="12"/>
      <c r="OL58" s="12"/>
      <c r="OM58" s="12"/>
      <c r="ON58" s="12"/>
      <c r="OO58" s="12"/>
      <c r="OP58" s="12"/>
      <c r="OQ58" s="12"/>
      <c r="OR58" s="12"/>
      <c r="OS58" s="12"/>
      <c r="OT58" s="12"/>
      <c r="OU58" s="12"/>
      <c r="OV58" s="12"/>
      <c r="OW58" s="12"/>
      <c r="OX58" s="12"/>
      <c r="OY58" s="12"/>
      <c r="OZ58" s="12"/>
      <c r="PA58" s="12"/>
      <c r="PB58" s="12"/>
      <c r="PC58" s="12"/>
      <c r="PD58" s="12"/>
      <c r="PE58" s="12"/>
      <c r="PF58" s="12"/>
      <c r="PG58" s="12"/>
      <c r="PH58" s="12"/>
      <c r="PI58" s="12"/>
      <c r="PJ58" s="12"/>
      <c r="PK58" s="12"/>
      <c r="PL58" s="12"/>
      <c r="PM58" s="12"/>
      <c r="PN58" s="12"/>
      <c r="PO58" s="12"/>
      <c r="PP58" s="12"/>
      <c r="PQ58" s="12"/>
      <c r="PR58" s="12"/>
      <c r="PS58" s="12"/>
      <c r="PT58" s="12"/>
      <c r="PU58" s="12"/>
      <c r="PV58" s="12"/>
      <c r="PW58" s="12"/>
      <c r="PX58" s="12"/>
      <c r="PY58" s="12"/>
      <c r="PZ58" s="12"/>
      <c r="QA58" s="12"/>
      <c r="QB58" s="12"/>
      <c r="QC58" s="12"/>
      <c r="QD58" s="12"/>
      <c r="QE58" s="12"/>
      <c r="QF58" s="12"/>
      <c r="QG58" s="12"/>
      <c r="QH58" s="12"/>
      <c r="QI58" s="12"/>
      <c r="QJ58" s="12"/>
      <c r="QK58" s="12"/>
      <c r="QL58" s="12"/>
      <c r="QM58" s="12"/>
      <c r="QN58" s="12"/>
      <c r="QO58" s="12"/>
      <c r="QP58" s="12"/>
      <c r="QQ58" s="12"/>
      <c r="QR58" s="12"/>
      <c r="QS58" s="12"/>
      <c r="QT58" s="12"/>
      <c r="QU58" s="12"/>
      <c r="QV58" s="12"/>
      <c r="QW58" s="12"/>
      <c r="QX58" s="12"/>
      <c r="QY58" s="12"/>
      <c r="QZ58" s="12"/>
      <c r="RA58" s="12"/>
      <c r="RB58" s="12"/>
      <c r="RC58" s="12"/>
      <c r="RD58" s="12"/>
      <c r="RE58" s="12"/>
      <c r="RF58" s="12"/>
      <c r="RG58" s="12"/>
      <c r="RH58" s="12"/>
      <c r="RI58" s="12"/>
      <c r="RJ58" s="12"/>
      <c r="RK58" s="12"/>
      <c r="RL58" s="12"/>
      <c r="RM58" s="12"/>
      <c r="RN58" s="12"/>
      <c r="RO58" s="12"/>
      <c r="RP58" s="12"/>
      <c r="RQ58" s="12"/>
      <c r="RR58" s="12"/>
      <c r="RS58" s="12"/>
      <c r="RT58" s="12"/>
      <c r="RU58" s="12"/>
      <c r="RV58" s="12"/>
      <c r="RW58" s="12"/>
      <c r="RX58" s="12"/>
      <c r="RY58" s="12"/>
      <c r="RZ58" s="12"/>
      <c r="SA58" s="12"/>
      <c r="SB58" s="12"/>
      <c r="SC58" s="12"/>
      <c r="SD58" s="12"/>
      <c r="SE58" s="12"/>
      <c r="SF58" s="12"/>
      <c r="SG58" s="12"/>
      <c r="SH58" s="12"/>
      <c r="SI58" s="12"/>
      <c r="SJ58" s="12"/>
      <c r="SK58" s="12"/>
      <c r="SL58" s="12"/>
      <c r="SM58" s="12"/>
      <c r="SN58" s="12"/>
      <c r="SO58" s="12"/>
      <c r="SP58" s="12"/>
      <c r="SQ58" s="12"/>
      <c r="SR58" s="12"/>
      <c r="SS58" s="12"/>
      <c r="ST58" s="12"/>
      <c r="SU58" s="12"/>
      <c r="SV58" s="12"/>
      <c r="SW58" s="12"/>
      <c r="SX58" s="12"/>
      <c r="SY58" s="12"/>
      <c r="SZ58" s="12"/>
      <c r="TA58" s="12"/>
      <c r="TB58" s="12"/>
      <c r="TC58" s="12"/>
      <c r="TD58" s="12"/>
      <c r="TE58" s="12"/>
      <c r="TF58" s="12"/>
      <c r="TG58" s="12"/>
      <c r="TH58" s="12"/>
      <c r="TI58" s="12"/>
      <c r="TJ58" s="12"/>
      <c r="TK58" s="12"/>
      <c r="TL58" s="12"/>
      <c r="TM58" s="12"/>
      <c r="TN58" s="12"/>
      <c r="TO58" s="12"/>
      <c r="TP58" s="12"/>
      <c r="TQ58" s="12"/>
      <c r="TR58" s="12"/>
      <c r="TS58" s="12"/>
      <c r="TT58" s="12"/>
      <c r="TU58" s="12"/>
      <c r="TV58" s="12"/>
      <c r="TW58" s="12"/>
      <c r="TX58" s="12"/>
      <c r="TY58" s="12"/>
      <c r="TZ58" s="12"/>
      <c r="UA58" s="12"/>
      <c r="UB58" s="12"/>
      <c r="UC58" s="12"/>
      <c r="UD58" s="12"/>
      <c r="UE58" s="12"/>
      <c r="UF58" s="12"/>
      <c r="UG58" s="12"/>
      <c r="UH58" s="12"/>
      <c r="UI58" s="12"/>
      <c r="UJ58" s="12"/>
      <c r="UK58" s="12"/>
      <c r="UL58" s="12"/>
      <c r="UM58" s="12"/>
      <c r="UN58" s="12"/>
      <c r="UO58" s="12"/>
      <c r="UP58" s="12"/>
      <c r="UQ58" s="12"/>
      <c r="UR58" s="12"/>
      <c r="US58" s="12"/>
      <c r="UT58" s="12"/>
      <c r="UU58" s="12"/>
      <c r="UV58" s="12"/>
      <c r="UW58" s="12"/>
      <c r="UX58" s="12"/>
      <c r="UY58" s="12"/>
      <c r="UZ58" s="12"/>
      <c r="VA58" s="12"/>
      <c r="VB58" s="12"/>
      <c r="VC58" s="12"/>
      <c r="VD58" s="12"/>
      <c r="VE58" s="12"/>
      <c r="VF58" s="12"/>
      <c r="VG58" s="12"/>
      <c r="VH58" s="12"/>
      <c r="VI58" s="12"/>
      <c r="VJ58" s="12"/>
      <c r="VK58" s="12"/>
      <c r="VL58" s="12"/>
      <c r="VM58" s="12"/>
      <c r="VN58" s="12"/>
      <c r="VO58" s="12"/>
      <c r="VP58" s="12"/>
      <c r="VQ58" s="12"/>
      <c r="VR58" s="12"/>
      <c r="VS58" s="12"/>
      <c r="VT58" s="12"/>
      <c r="VU58" s="12"/>
      <c r="VV58" s="12"/>
      <c r="VW58" s="12"/>
      <c r="VX58" s="12"/>
      <c r="VY58" s="12"/>
      <c r="VZ58" s="12"/>
      <c r="WA58" s="12"/>
      <c r="WB58" s="12"/>
      <c r="WC58" s="12"/>
      <c r="WD58" s="12"/>
      <c r="WE58" s="12"/>
      <c r="WF58" s="12"/>
      <c r="WG58" s="12"/>
      <c r="WH58" s="12"/>
      <c r="WI58" s="12"/>
      <c r="WJ58" s="12"/>
      <c r="WK58" s="12"/>
      <c r="WL58" s="12"/>
      <c r="WM58" s="12"/>
      <c r="WN58" s="12"/>
      <c r="WO58" s="12"/>
      <c r="WP58" s="12"/>
      <c r="WQ58" s="12"/>
      <c r="WR58" s="12"/>
      <c r="WS58" s="12"/>
      <c r="WT58" s="12"/>
      <c r="WU58" s="12"/>
      <c r="WV58" s="12"/>
      <c r="WW58" s="12"/>
      <c r="WX58" s="12"/>
      <c r="WY58" s="12"/>
      <c r="WZ58" s="12"/>
      <c r="XA58" s="12"/>
      <c r="XB58" s="12"/>
      <c r="XC58" s="12"/>
      <c r="XD58" s="12"/>
      <c r="XE58" s="12"/>
      <c r="XF58" s="12"/>
      <c r="XG58" s="12"/>
      <c r="XH58" s="12"/>
      <c r="XI58" s="12"/>
      <c r="XJ58" s="12"/>
      <c r="XK58" s="12"/>
      <c r="XL58" s="12"/>
      <c r="XM58" s="12"/>
      <c r="XN58" s="12"/>
      <c r="XO58" s="12"/>
      <c r="XP58" s="12"/>
      <c r="XQ58" s="12"/>
      <c r="XR58" s="12"/>
      <c r="XS58" s="12"/>
      <c r="XT58" s="12"/>
      <c r="XU58" s="12"/>
      <c r="XV58" s="12"/>
      <c r="XW58" s="12"/>
      <c r="XX58" s="12"/>
      <c r="XY58" s="12"/>
      <c r="XZ58" s="12"/>
      <c r="YA58" s="12"/>
      <c r="YB58" s="12"/>
      <c r="YC58" s="12"/>
      <c r="YD58" s="12"/>
      <c r="YE58" s="12"/>
      <c r="YF58" s="12"/>
      <c r="YG58" s="12"/>
      <c r="YH58" s="12"/>
      <c r="YI58" s="12"/>
      <c r="YJ58" s="12"/>
      <c r="YK58" s="12"/>
      <c r="YL58" s="12"/>
      <c r="YM58" s="12"/>
      <c r="YN58" s="12"/>
      <c r="YO58" s="12"/>
      <c r="YP58" s="12"/>
      <c r="YQ58" s="12"/>
      <c r="YR58" s="12"/>
      <c r="YS58" s="12"/>
      <c r="YT58" s="12"/>
      <c r="YU58" s="12"/>
      <c r="YV58" s="12"/>
      <c r="YW58" s="12"/>
      <c r="YX58" s="12"/>
      <c r="YY58" s="12"/>
      <c r="YZ58" s="12"/>
      <c r="ZA58" s="12"/>
      <c r="ZB58" s="12"/>
      <c r="ZC58" s="12"/>
      <c r="ZD58" s="12"/>
      <c r="ZE58" s="12"/>
      <c r="ZF58" s="12"/>
      <c r="ZG58" s="12"/>
      <c r="ZH58" s="12"/>
      <c r="ZI58" s="12"/>
      <c r="ZJ58" s="12"/>
      <c r="ZK58" s="12"/>
      <c r="ZL58" s="12"/>
      <c r="ZM58" s="12"/>
      <c r="ZN58" s="12"/>
      <c r="ZO58" s="12"/>
      <c r="ZP58" s="12"/>
      <c r="ZQ58" s="12"/>
      <c r="ZR58" s="12"/>
      <c r="ZS58" s="12"/>
      <c r="ZT58" s="12"/>
      <c r="ZU58" s="12"/>
      <c r="ZV58" s="12"/>
      <c r="ZW58" s="12"/>
      <c r="ZX58" s="12"/>
      <c r="ZY58" s="12"/>
      <c r="ZZ58" s="12"/>
      <c r="AAA58" s="12"/>
      <c r="AAB58" s="12"/>
      <c r="AAC58" s="12"/>
      <c r="AAD58" s="12"/>
      <c r="AAE58" s="12"/>
      <c r="AAF58" s="12"/>
      <c r="AAG58" s="12"/>
      <c r="AAH58" s="12"/>
      <c r="AAI58" s="12"/>
      <c r="AAJ58" s="12"/>
      <c r="AAK58" s="12"/>
      <c r="AAL58" s="12"/>
      <c r="AAM58" s="12"/>
      <c r="AAN58" s="12"/>
      <c r="AAO58" s="12"/>
      <c r="AAP58" s="12"/>
      <c r="AAQ58" s="12"/>
      <c r="AAR58" s="12"/>
      <c r="AAS58" s="12"/>
      <c r="AAT58" s="12"/>
      <c r="AAU58" s="12"/>
      <c r="AAV58" s="12"/>
      <c r="AAW58" s="12"/>
      <c r="AAX58" s="12"/>
      <c r="AAY58" s="12"/>
      <c r="AAZ58" s="12"/>
      <c r="ABA58" s="12"/>
      <c r="ABB58" s="12"/>
      <c r="ABC58" s="12"/>
      <c r="ABD58" s="12"/>
      <c r="ABE58" s="12"/>
      <c r="ABF58" s="12"/>
      <c r="ABG58" s="12"/>
      <c r="ABH58" s="12"/>
      <c r="ABI58" s="12"/>
      <c r="ABJ58" s="12"/>
      <c r="ABK58" s="12"/>
      <c r="ABL58" s="12"/>
      <c r="ABM58" s="12"/>
      <c r="ABN58" s="12"/>
      <c r="ABO58" s="12"/>
      <c r="ABP58" s="12"/>
      <c r="ABQ58" s="12"/>
      <c r="ABR58" s="12"/>
      <c r="ABS58" s="12"/>
      <c r="ABT58" s="12"/>
      <c r="ABU58" s="12"/>
      <c r="ABV58" s="12"/>
      <c r="ABW58" s="12"/>
      <c r="ABX58" s="12"/>
      <c r="ABY58" s="12"/>
      <c r="ABZ58" s="12"/>
      <c r="ACA58" s="12"/>
      <c r="ACB58" s="12"/>
      <c r="ACC58" s="12"/>
      <c r="ACD58" s="12"/>
      <c r="ACE58" s="12"/>
      <c r="ACF58" s="12"/>
      <c r="ACG58" s="12"/>
      <c r="ACH58" s="12"/>
      <c r="ACI58" s="12"/>
      <c r="ACJ58" s="12"/>
      <c r="ACK58" s="12"/>
      <c r="ACL58" s="12"/>
      <c r="ACM58" s="12"/>
      <c r="ACN58" s="12"/>
      <c r="ACO58" s="12"/>
      <c r="ACP58" s="12"/>
      <c r="ACQ58" s="12"/>
      <c r="ACR58" s="12"/>
      <c r="ACS58" s="12"/>
      <c r="ACT58" s="12"/>
      <c r="ACU58" s="12"/>
      <c r="ACV58" s="12"/>
      <c r="ACW58" s="12"/>
      <c r="ACX58" s="12"/>
      <c r="ACY58" s="12"/>
      <c r="ACZ58" s="12"/>
      <c r="ADA58" s="12"/>
      <c r="ADB58" s="12"/>
      <c r="ADC58" s="12"/>
      <c r="ADD58" s="12"/>
      <c r="ADE58" s="12"/>
      <c r="ADF58" s="12"/>
      <c r="ADG58" s="12"/>
      <c r="ADH58" s="12"/>
      <c r="ADI58" s="12"/>
      <c r="ADJ58" s="12"/>
      <c r="ADK58" s="12"/>
      <c r="ADL58" s="12"/>
      <c r="ADM58" s="12"/>
      <c r="ADN58" s="12"/>
      <c r="ADO58" s="12"/>
      <c r="ADP58" s="12"/>
      <c r="ADQ58" s="12"/>
      <c r="ADR58" s="12"/>
      <c r="ADS58" s="12"/>
      <c r="ADT58" s="12"/>
      <c r="ADU58" s="12"/>
      <c r="ADV58" s="12"/>
      <c r="ADW58" s="12"/>
      <c r="ADX58" s="12"/>
      <c r="ADY58" s="12"/>
      <c r="ADZ58" s="12"/>
      <c r="AEA58" s="12"/>
      <c r="AEB58" s="12"/>
      <c r="AEC58" s="12"/>
      <c r="AED58" s="12"/>
      <c r="AEE58" s="12"/>
      <c r="AEF58" s="12"/>
      <c r="AEG58" s="12"/>
      <c r="AEH58" s="12"/>
      <c r="AEI58" s="12"/>
      <c r="AEJ58" s="12"/>
      <c r="AEK58" s="12"/>
      <c r="AEL58" s="12"/>
      <c r="AEM58" s="12"/>
      <c r="AEN58" s="12"/>
      <c r="AEO58" s="12"/>
      <c r="AEP58" s="12"/>
      <c r="AEQ58" s="12"/>
      <c r="AER58" s="12"/>
      <c r="AES58" s="12"/>
      <c r="AET58" s="12"/>
      <c r="AEU58" s="12"/>
      <c r="AEV58" s="12"/>
    </row>
    <row r="59" spans="1:828" s="27" customFormat="1" ht="18" x14ac:dyDescent="0.2">
      <c r="A59" s="62"/>
      <c r="C59" s="63"/>
      <c r="D59" s="64"/>
      <c r="E59" s="63"/>
      <c r="F59" s="63"/>
      <c r="G59" s="64"/>
      <c r="H59" s="63"/>
      <c r="I59" s="63"/>
      <c r="J59" s="64"/>
      <c r="K59" s="63"/>
      <c r="L59" s="63"/>
      <c r="M59" s="64"/>
      <c r="N59" s="47"/>
      <c r="O59" s="47"/>
      <c r="P59" s="48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  <c r="FG59" s="12"/>
      <c r="FH59" s="12"/>
      <c r="FI59" s="12"/>
      <c r="FJ59" s="12"/>
      <c r="FK59" s="12"/>
      <c r="FL59" s="12"/>
      <c r="FM59" s="12"/>
      <c r="FN59" s="12"/>
      <c r="FO59" s="12"/>
      <c r="FP59" s="12"/>
      <c r="FQ59" s="12"/>
      <c r="FR59" s="12"/>
      <c r="FS59" s="12"/>
      <c r="FT59" s="12"/>
      <c r="FU59" s="12"/>
      <c r="FV59" s="12"/>
      <c r="FW59" s="12"/>
      <c r="FX59" s="12"/>
      <c r="FY59" s="12"/>
      <c r="FZ59" s="12"/>
      <c r="GA59" s="12"/>
      <c r="GB59" s="12"/>
      <c r="GC59" s="12"/>
      <c r="GD59" s="12"/>
      <c r="GE59" s="12"/>
      <c r="GF59" s="12"/>
      <c r="GG59" s="12"/>
      <c r="GH59" s="12"/>
      <c r="GI59" s="12"/>
      <c r="GJ59" s="12"/>
      <c r="GK59" s="12"/>
      <c r="GL59" s="12"/>
      <c r="GM59" s="12"/>
      <c r="GN59" s="12"/>
      <c r="GO59" s="12"/>
      <c r="GP59" s="12"/>
      <c r="GQ59" s="12"/>
      <c r="GR59" s="12"/>
      <c r="GS59" s="12"/>
      <c r="GT59" s="12"/>
      <c r="GU59" s="12"/>
      <c r="GV59" s="12"/>
      <c r="GW59" s="12"/>
      <c r="GX59" s="12"/>
      <c r="GY59" s="12"/>
      <c r="GZ59" s="12"/>
      <c r="HA59" s="12"/>
      <c r="HB59" s="12"/>
      <c r="HC59" s="12"/>
      <c r="HD59" s="12"/>
      <c r="HE59" s="12"/>
      <c r="HF59" s="12"/>
      <c r="HG59" s="12"/>
      <c r="HH59" s="12"/>
      <c r="HI59" s="12"/>
      <c r="HJ59" s="12"/>
      <c r="HK59" s="12"/>
      <c r="HL59" s="12"/>
      <c r="HM59" s="12"/>
      <c r="HN59" s="12"/>
      <c r="HO59" s="12"/>
      <c r="HP59" s="12"/>
      <c r="HQ59" s="12"/>
      <c r="HR59" s="12"/>
      <c r="HS59" s="12"/>
      <c r="HT59" s="12"/>
      <c r="HU59" s="12"/>
      <c r="HV59" s="12"/>
      <c r="HW59" s="12"/>
      <c r="HX59" s="12"/>
      <c r="HY59" s="12"/>
      <c r="HZ59" s="12"/>
      <c r="IA59" s="12"/>
      <c r="IB59" s="12"/>
      <c r="IC59" s="12"/>
      <c r="ID59" s="12"/>
      <c r="IE59" s="12"/>
      <c r="IF59" s="12"/>
      <c r="IG59" s="12"/>
      <c r="IH59" s="12"/>
      <c r="II59" s="12"/>
      <c r="IJ59" s="12"/>
      <c r="IK59" s="12"/>
      <c r="IL59" s="12"/>
      <c r="IM59" s="12"/>
      <c r="IN59" s="12"/>
      <c r="IO59" s="12"/>
      <c r="IP59" s="12"/>
      <c r="IQ59" s="12"/>
      <c r="IR59" s="12"/>
      <c r="IS59" s="12"/>
      <c r="IT59" s="12"/>
      <c r="IU59" s="12"/>
      <c r="IV59" s="12"/>
      <c r="IW59" s="12"/>
      <c r="IX59" s="12"/>
      <c r="IY59" s="12"/>
      <c r="IZ59" s="12"/>
      <c r="JA59" s="12"/>
      <c r="JB59" s="12"/>
      <c r="JC59" s="12"/>
      <c r="JD59" s="12"/>
      <c r="JE59" s="12"/>
      <c r="JF59" s="12"/>
      <c r="JG59" s="12"/>
      <c r="JH59" s="12"/>
      <c r="JI59" s="12"/>
      <c r="JJ59" s="12"/>
      <c r="JK59" s="12"/>
      <c r="JL59" s="12"/>
      <c r="JM59" s="12"/>
      <c r="JN59" s="12"/>
      <c r="JO59" s="12"/>
      <c r="JP59" s="12"/>
      <c r="JQ59" s="12"/>
      <c r="JR59" s="12"/>
      <c r="JS59" s="12"/>
      <c r="JT59" s="12"/>
      <c r="JU59" s="12"/>
      <c r="JV59" s="12"/>
      <c r="JW59" s="12"/>
      <c r="JX59" s="12"/>
      <c r="JY59" s="12"/>
      <c r="JZ59" s="12"/>
      <c r="KA59" s="12"/>
      <c r="KB59" s="12"/>
      <c r="KC59" s="12"/>
      <c r="KD59" s="12"/>
      <c r="KE59" s="12"/>
      <c r="KF59" s="12"/>
      <c r="KG59" s="12"/>
      <c r="KH59" s="12"/>
      <c r="KI59" s="12"/>
      <c r="KJ59" s="12"/>
      <c r="KK59" s="12"/>
      <c r="KL59" s="12"/>
      <c r="KM59" s="12"/>
      <c r="KN59" s="12"/>
      <c r="KO59" s="12"/>
      <c r="KP59" s="12"/>
      <c r="KQ59" s="12"/>
      <c r="KR59" s="12"/>
      <c r="KS59" s="12"/>
      <c r="KT59" s="12"/>
      <c r="KU59" s="12"/>
      <c r="KV59" s="12"/>
      <c r="KW59" s="12"/>
      <c r="KX59" s="12"/>
      <c r="KY59" s="12"/>
      <c r="KZ59" s="12"/>
      <c r="LA59" s="12"/>
      <c r="LB59" s="12"/>
      <c r="LC59" s="12"/>
      <c r="LD59" s="12"/>
      <c r="LE59" s="12"/>
      <c r="LF59" s="12"/>
      <c r="LG59" s="12"/>
      <c r="LH59" s="12"/>
      <c r="LI59" s="12"/>
      <c r="LJ59" s="12"/>
      <c r="LK59" s="12"/>
      <c r="LL59" s="12"/>
      <c r="LM59" s="12"/>
      <c r="LN59" s="12"/>
      <c r="LO59" s="12"/>
      <c r="LP59" s="12"/>
      <c r="LQ59" s="12"/>
      <c r="LR59" s="12"/>
      <c r="LS59" s="12"/>
      <c r="LT59" s="12"/>
      <c r="LU59" s="12"/>
      <c r="LV59" s="12"/>
      <c r="LW59" s="12"/>
      <c r="LX59" s="12"/>
      <c r="LY59" s="12"/>
      <c r="LZ59" s="12"/>
      <c r="MA59" s="12"/>
      <c r="MB59" s="12"/>
      <c r="MC59" s="12"/>
      <c r="MD59" s="12"/>
      <c r="ME59" s="12"/>
      <c r="MF59" s="12"/>
      <c r="MG59" s="12"/>
      <c r="MH59" s="12"/>
      <c r="MI59" s="12"/>
      <c r="MJ59" s="12"/>
      <c r="MK59" s="12"/>
      <c r="ML59" s="12"/>
      <c r="MM59" s="12"/>
      <c r="MN59" s="12"/>
      <c r="MO59" s="12"/>
      <c r="MP59" s="12"/>
      <c r="MQ59" s="12"/>
      <c r="MR59" s="12"/>
      <c r="MS59" s="12"/>
      <c r="MT59" s="12"/>
      <c r="MU59" s="12"/>
      <c r="MV59" s="12"/>
      <c r="MW59" s="12"/>
      <c r="MX59" s="12"/>
      <c r="MY59" s="12"/>
      <c r="MZ59" s="12"/>
      <c r="NA59" s="12"/>
      <c r="NB59" s="12"/>
      <c r="NC59" s="12"/>
      <c r="ND59" s="12"/>
      <c r="NE59" s="12"/>
      <c r="NF59" s="12"/>
      <c r="NG59" s="12"/>
      <c r="NH59" s="12"/>
      <c r="NI59" s="12"/>
      <c r="NJ59" s="12"/>
      <c r="NK59" s="12"/>
      <c r="NL59" s="12"/>
      <c r="NM59" s="12"/>
      <c r="NN59" s="12"/>
      <c r="NO59" s="12"/>
      <c r="NP59" s="12"/>
      <c r="NQ59" s="12"/>
      <c r="NR59" s="12"/>
      <c r="NS59" s="12"/>
      <c r="NT59" s="12"/>
      <c r="NU59" s="12"/>
      <c r="NV59" s="12"/>
      <c r="NW59" s="12"/>
      <c r="NX59" s="12"/>
      <c r="NY59" s="12"/>
      <c r="NZ59" s="12"/>
      <c r="OA59" s="12"/>
      <c r="OB59" s="12"/>
      <c r="OC59" s="12"/>
      <c r="OD59" s="12"/>
      <c r="OE59" s="12"/>
      <c r="OF59" s="12"/>
      <c r="OG59" s="12"/>
      <c r="OH59" s="12"/>
      <c r="OI59" s="12"/>
      <c r="OJ59" s="12"/>
      <c r="OK59" s="12"/>
      <c r="OL59" s="12"/>
      <c r="OM59" s="12"/>
      <c r="ON59" s="12"/>
      <c r="OO59" s="12"/>
      <c r="OP59" s="12"/>
      <c r="OQ59" s="12"/>
      <c r="OR59" s="12"/>
      <c r="OS59" s="12"/>
      <c r="OT59" s="12"/>
      <c r="OU59" s="12"/>
      <c r="OV59" s="12"/>
      <c r="OW59" s="12"/>
      <c r="OX59" s="12"/>
      <c r="OY59" s="12"/>
      <c r="OZ59" s="12"/>
      <c r="PA59" s="12"/>
      <c r="PB59" s="12"/>
      <c r="PC59" s="12"/>
      <c r="PD59" s="12"/>
      <c r="PE59" s="12"/>
      <c r="PF59" s="12"/>
      <c r="PG59" s="12"/>
      <c r="PH59" s="12"/>
      <c r="PI59" s="12"/>
      <c r="PJ59" s="12"/>
      <c r="PK59" s="12"/>
      <c r="PL59" s="12"/>
      <c r="PM59" s="12"/>
      <c r="PN59" s="12"/>
      <c r="PO59" s="12"/>
      <c r="PP59" s="12"/>
      <c r="PQ59" s="12"/>
      <c r="PR59" s="12"/>
      <c r="PS59" s="12"/>
      <c r="PT59" s="12"/>
      <c r="PU59" s="12"/>
      <c r="PV59" s="12"/>
      <c r="PW59" s="12"/>
      <c r="PX59" s="12"/>
      <c r="PY59" s="12"/>
      <c r="PZ59" s="12"/>
      <c r="QA59" s="12"/>
      <c r="QB59" s="12"/>
      <c r="QC59" s="12"/>
      <c r="QD59" s="12"/>
      <c r="QE59" s="12"/>
      <c r="QF59" s="12"/>
      <c r="QG59" s="12"/>
      <c r="QH59" s="12"/>
      <c r="QI59" s="12"/>
      <c r="QJ59" s="12"/>
      <c r="QK59" s="12"/>
      <c r="QL59" s="12"/>
      <c r="QM59" s="12"/>
      <c r="QN59" s="12"/>
      <c r="QO59" s="12"/>
      <c r="QP59" s="12"/>
      <c r="QQ59" s="12"/>
      <c r="QR59" s="12"/>
      <c r="QS59" s="12"/>
      <c r="QT59" s="12"/>
      <c r="QU59" s="12"/>
      <c r="QV59" s="12"/>
      <c r="QW59" s="12"/>
      <c r="QX59" s="12"/>
      <c r="QY59" s="12"/>
      <c r="QZ59" s="12"/>
      <c r="RA59" s="12"/>
      <c r="RB59" s="12"/>
      <c r="RC59" s="12"/>
      <c r="RD59" s="12"/>
      <c r="RE59" s="12"/>
      <c r="RF59" s="12"/>
      <c r="RG59" s="12"/>
      <c r="RH59" s="12"/>
      <c r="RI59" s="12"/>
      <c r="RJ59" s="12"/>
      <c r="RK59" s="12"/>
      <c r="RL59" s="12"/>
      <c r="RM59" s="12"/>
      <c r="RN59" s="12"/>
      <c r="RO59" s="12"/>
      <c r="RP59" s="12"/>
      <c r="RQ59" s="12"/>
      <c r="RR59" s="12"/>
      <c r="RS59" s="12"/>
      <c r="RT59" s="12"/>
      <c r="RU59" s="12"/>
      <c r="RV59" s="12"/>
      <c r="RW59" s="12"/>
      <c r="RX59" s="12"/>
      <c r="RY59" s="12"/>
      <c r="RZ59" s="12"/>
      <c r="SA59" s="12"/>
      <c r="SB59" s="12"/>
      <c r="SC59" s="12"/>
      <c r="SD59" s="12"/>
      <c r="SE59" s="12"/>
      <c r="SF59" s="12"/>
      <c r="SG59" s="12"/>
      <c r="SH59" s="12"/>
      <c r="SI59" s="12"/>
      <c r="SJ59" s="12"/>
      <c r="SK59" s="12"/>
      <c r="SL59" s="12"/>
      <c r="SM59" s="12"/>
      <c r="SN59" s="12"/>
      <c r="SO59" s="12"/>
      <c r="SP59" s="12"/>
      <c r="SQ59" s="12"/>
      <c r="SR59" s="12"/>
      <c r="SS59" s="12"/>
      <c r="ST59" s="12"/>
      <c r="SU59" s="12"/>
      <c r="SV59" s="12"/>
      <c r="SW59" s="12"/>
      <c r="SX59" s="12"/>
      <c r="SY59" s="12"/>
      <c r="SZ59" s="12"/>
      <c r="TA59" s="12"/>
      <c r="TB59" s="12"/>
      <c r="TC59" s="12"/>
      <c r="TD59" s="12"/>
      <c r="TE59" s="12"/>
      <c r="TF59" s="12"/>
      <c r="TG59" s="12"/>
      <c r="TH59" s="12"/>
      <c r="TI59" s="12"/>
      <c r="TJ59" s="12"/>
      <c r="TK59" s="12"/>
      <c r="TL59" s="12"/>
      <c r="TM59" s="12"/>
      <c r="TN59" s="12"/>
      <c r="TO59" s="12"/>
      <c r="TP59" s="12"/>
      <c r="TQ59" s="12"/>
      <c r="TR59" s="12"/>
      <c r="TS59" s="12"/>
      <c r="TT59" s="12"/>
      <c r="TU59" s="12"/>
      <c r="TV59" s="12"/>
      <c r="TW59" s="12"/>
      <c r="TX59" s="12"/>
      <c r="TY59" s="12"/>
      <c r="TZ59" s="12"/>
      <c r="UA59" s="12"/>
      <c r="UB59" s="12"/>
      <c r="UC59" s="12"/>
      <c r="UD59" s="12"/>
      <c r="UE59" s="12"/>
      <c r="UF59" s="12"/>
      <c r="UG59" s="12"/>
      <c r="UH59" s="12"/>
      <c r="UI59" s="12"/>
      <c r="UJ59" s="12"/>
      <c r="UK59" s="12"/>
      <c r="UL59" s="12"/>
      <c r="UM59" s="12"/>
      <c r="UN59" s="12"/>
      <c r="UO59" s="12"/>
      <c r="UP59" s="12"/>
      <c r="UQ59" s="12"/>
      <c r="UR59" s="12"/>
      <c r="US59" s="12"/>
      <c r="UT59" s="12"/>
      <c r="UU59" s="12"/>
      <c r="UV59" s="12"/>
      <c r="UW59" s="12"/>
      <c r="UX59" s="12"/>
      <c r="UY59" s="12"/>
      <c r="UZ59" s="12"/>
      <c r="VA59" s="12"/>
      <c r="VB59" s="12"/>
      <c r="VC59" s="12"/>
      <c r="VD59" s="12"/>
      <c r="VE59" s="12"/>
      <c r="VF59" s="12"/>
      <c r="VG59" s="12"/>
      <c r="VH59" s="12"/>
      <c r="VI59" s="12"/>
      <c r="VJ59" s="12"/>
      <c r="VK59" s="12"/>
      <c r="VL59" s="12"/>
      <c r="VM59" s="12"/>
      <c r="VN59" s="12"/>
      <c r="VO59" s="12"/>
      <c r="VP59" s="12"/>
      <c r="VQ59" s="12"/>
      <c r="VR59" s="12"/>
      <c r="VS59" s="12"/>
      <c r="VT59" s="12"/>
      <c r="VU59" s="12"/>
      <c r="VV59" s="12"/>
      <c r="VW59" s="12"/>
      <c r="VX59" s="12"/>
      <c r="VY59" s="12"/>
      <c r="VZ59" s="12"/>
      <c r="WA59" s="12"/>
      <c r="WB59" s="12"/>
      <c r="WC59" s="12"/>
      <c r="WD59" s="12"/>
      <c r="WE59" s="12"/>
      <c r="WF59" s="12"/>
      <c r="WG59" s="12"/>
      <c r="WH59" s="12"/>
      <c r="WI59" s="12"/>
      <c r="WJ59" s="12"/>
      <c r="WK59" s="12"/>
      <c r="WL59" s="12"/>
      <c r="WM59" s="12"/>
      <c r="WN59" s="12"/>
      <c r="WO59" s="12"/>
      <c r="WP59" s="12"/>
      <c r="WQ59" s="12"/>
      <c r="WR59" s="12"/>
      <c r="WS59" s="12"/>
      <c r="WT59" s="12"/>
      <c r="WU59" s="12"/>
      <c r="WV59" s="12"/>
      <c r="WW59" s="12"/>
      <c r="WX59" s="12"/>
      <c r="WY59" s="12"/>
      <c r="WZ59" s="12"/>
      <c r="XA59" s="12"/>
      <c r="XB59" s="12"/>
      <c r="XC59" s="12"/>
      <c r="XD59" s="12"/>
      <c r="XE59" s="12"/>
      <c r="XF59" s="12"/>
      <c r="XG59" s="12"/>
      <c r="XH59" s="12"/>
      <c r="XI59" s="12"/>
      <c r="XJ59" s="12"/>
      <c r="XK59" s="12"/>
      <c r="XL59" s="12"/>
      <c r="XM59" s="12"/>
      <c r="XN59" s="12"/>
      <c r="XO59" s="12"/>
      <c r="XP59" s="12"/>
      <c r="XQ59" s="12"/>
      <c r="XR59" s="12"/>
      <c r="XS59" s="12"/>
      <c r="XT59" s="12"/>
      <c r="XU59" s="12"/>
      <c r="XV59" s="12"/>
      <c r="XW59" s="12"/>
      <c r="XX59" s="12"/>
      <c r="XY59" s="12"/>
      <c r="XZ59" s="12"/>
      <c r="YA59" s="12"/>
      <c r="YB59" s="12"/>
      <c r="YC59" s="12"/>
      <c r="YD59" s="12"/>
      <c r="YE59" s="12"/>
      <c r="YF59" s="12"/>
      <c r="YG59" s="12"/>
      <c r="YH59" s="12"/>
      <c r="YI59" s="12"/>
      <c r="YJ59" s="12"/>
      <c r="YK59" s="12"/>
      <c r="YL59" s="12"/>
      <c r="YM59" s="12"/>
      <c r="YN59" s="12"/>
      <c r="YO59" s="12"/>
      <c r="YP59" s="12"/>
      <c r="YQ59" s="12"/>
      <c r="YR59" s="12"/>
      <c r="YS59" s="12"/>
      <c r="YT59" s="12"/>
      <c r="YU59" s="12"/>
      <c r="YV59" s="12"/>
      <c r="YW59" s="12"/>
      <c r="YX59" s="12"/>
      <c r="YY59" s="12"/>
      <c r="YZ59" s="12"/>
      <c r="ZA59" s="12"/>
      <c r="ZB59" s="12"/>
      <c r="ZC59" s="12"/>
      <c r="ZD59" s="12"/>
      <c r="ZE59" s="12"/>
      <c r="ZF59" s="12"/>
      <c r="ZG59" s="12"/>
      <c r="ZH59" s="12"/>
      <c r="ZI59" s="12"/>
      <c r="ZJ59" s="12"/>
      <c r="ZK59" s="12"/>
      <c r="ZL59" s="12"/>
      <c r="ZM59" s="12"/>
      <c r="ZN59" s="12"/>
      <c r="ZO59" s="12"/>
      <c r="ZP59" s="12"/>
      <c r="ZQ59" s="12"/>
      <c r="ZR59" s="12"/>
      <c r="ZS59" s="12"/>
      <c r="ZT59" s="12"/>
      <c r="ZU59" s="12"/>
      <c r="ZV59" s="12"/>
      <c r="ZW59" s="12"/>
      <c r="ZX59" s="12"/>
      <c r="ZY59" s="12"/>
      <c r="ZZ59" s="12"/>
      <c r="AAA59" s="12"/>
      <c r="AAB59" s="12"/>
      <c r="AAC59" s="12"/>
      <c r="AAD59" s="12"/>
      <c r="AAE59" s="12"/>
      <c r="AAF59" s="12"/>
      <c r="AAG59" s="12"/>
      <c r="AAH59" s="12"/>
      <c r="AAI59" s="12"/>
      <c r="AAJ59" s="12"/>
      <c r="AAK59" s="12"/>
      <c r="AAL59" s="12"/>
      <c r="AAM59" s="12"/>
      <c r="AAN59" s="12"/>
      <c r="AAO59" s="12"/>
      <c r="AAP59" s="12"/>
      <c r="AAQ59" s="12"/>
      <c r="AAR59" s="12"/>
      <c r="AAS59" s="12"/>
      <c r="AAT59" s="12"/>
      <c r="AAU59" s="12"/>
      <c r="AAV59" s="12"/>
      <c r="AAW59" s="12"/>
      <c r="AAX59" s="12"/>
      <c r="AAY59" s="12"/>
      <c r="AAZ59" s="12"/>
      <c r="ABA59" s="12"/>
      <c r="ABB59" s="12"/>
      <c r="ABC59" s="12"/>
      <c r="ABD59" s="12"/>
      <c r="ABE59" s="12"/>
      <c r="ABF59" s="12"/>
      <c r="ABG59" s="12"/>
      <c r="ABH59" s="12"/>
      <c r="ABI59" s="12"/>
      <c r="ABJ59" s="12"/>
      <c r="ABK59" s="12"/>
      <c r="ABL59" s="12"/>
      <c r="ABM59" s="12"/>
      <c r="ABN59" s="12"/>
      <c r="ABO59" s="12"/>
      <c r="ABP59" s="12"/>
      <c r="ABQ59" s="12"/>
      <c r="ABR59" s="12"/>
      <c r="ABS59" s="12"/>
      <c r="ABT59" s="12"/>
      <c r="ABU59" s="12"/>
      <c r="ABV59" s="12"/>
      <c r="ABW59" s="12"/>
      <c r="ABX59" s="12"/>
      <c r="ABY59" s="12"/>
      <c r="ABZ59" s="12"/>
      <c r="ACA59" s="12"/>
      <c r="ACB59" s="12"/>
      <c r="ACC59" s="12"/>
      <c r="ACD59" s="12"/>
      <c r="ACE59" s="12"/>
      <c r="ACF59" s="12"/>
      <c r="ACG59" s="12"/>
      <c r="ACH59" s="12"/>
      <c r="ACI59" s="12"/>
      <c r="ACJ59" s="12"/>
      <c r="ACK59" s="12"/>
      <c r="ACL59" s="12"/>
      <c r="ACM59" s="12"/>
      <c r="ACN59" s="12"/>
      <c r="ACO59" s="12"/>
      <c r="ACP59" s="12"/>
      <c r="ACQ59" s="12"/>
      <c r="ACR59" s="12"/>
      <c r="ACS59" s="12"/>
      <c r="ACT59" s="12"/>
      <c r="ACU59" s="12"/>
      <c r="ACV59" s="12"/>
      <c r="ACW59" s="12"/>
      <c r="ACX59" s="12"/>
      <c r="ACY59" s="12"/>
      <c r="ACZ59" s="12"/>
      <c r="ADA59" s="12"/>
      <c r="ADB59" s="12"/>
      <c r="ADC59" s="12"/>
      <c r="ADD59" s="12"/>
      <c r="ADE59" s="12"/>
      <c r="ADF59" s="12"/>
      <c r="ADG59" s="12"/>
      <c r="ADH59" s="12"/>
      <c r="ADI59" s="12"/>
      <c r="ADJ59" s="12"/>
      <c r="ADK59" s="12"/>
      <c r="ADL59" s="12"/>
      <c r="ADM59" s="12"/>
      <c r="ADN59" s="12"/>
      <c r="ADO59" s="12"/>
      <c r="ADP59" s="12"/>
      <c r="ADQ59" s="12"/>
      <c r="ADR59" s="12"/>
      <c r="ADS59" s="12"/>
      <c r="ADT59" s="12"/>
      <c r="ADU59" s="12"/>
      <c r="ADV59" s="12"/>
      <c r="ADW59" s="12"/>
      <c r="ADX59" s="12"/>
      <c r="ADY59" s="12"/>
      <c r="ADZ59" s="12"/>
      <c r="AEA59" s="12"/>
      <c r="AEB59" s="12"/>
      <c r="AEC59" s="12"/>
      <c r="AED59" s="12"/>
      <c r="AEE59" s="12"/>
      <c r="AEF59" s="12"/>
      <c r="AEG59" s="12"/>
      <c r="AEH59" s="12"/>
      <c r="AEI59" s="12"/>
      <c r="AEJ59" s="12"/>
      <c r="AEK59" s="12"/>
      <c r="AEL59" s="12"/>
      <c r="AEM59" s="12"/>
      <c r="AEN59" s="12"/>
      <c r="AEO59" s="12"/>
      <c r="AEP59" s="12"/>
      <c r="AEQ59" s="12"/>
      <c r="AER59" s="12"/>
      <c r="AES59" s="12"/>
      <c r="AET59" s="12"/>
      <c r="AEU59" s="12"/>
      <c r="AEV59" s="12"/>
    </row>
    <row r="60" spans="1:828" s="27" customFormat="1" ht="19" x14ac:dyDescent="0.2">
      <c r="A60" s="61" t="s">
        <v>49</v>
      </c>
      <c r="B60" s="53">
        <f>SUM(D60:D62)/D74</f>
        <v>0.32317214413446127</v>
      </c>
      <c r="C60" s="31" t="s">
        <v>50</v>
      </c>
      <c r="D60" s="29">
        <v>447</v>
      </c>
      <c r="E60" s="37">
        <f>SUM(G60:G61)/D74</f>
        <v>3.0288991633233574E-2</v>
      </c>
      <c r="F60" s="23" t="s">
        <v>68</v>
      </c>
      <c r="G60" s="29">
        <v>2198</v>
      </c>
      <c r="H60" s="50">
        <f>SUM(J60:J64)/J74</f>
        <v>0.29784038629709897</v>
      </c>
      <c r="I60" s="23" t="s">
        <v>51</v>
      </c>
      <c r="J60" s="29">
        <v>537</v>
      </c>
      <c r="K60" s="50">
        <f>SUM(M60:M61)/J74</f>
        <v>2.6919128550245239E-2</v>
      </c>
      <c r="L60" s="23" t="s">
        <v>52</v>
      </c>
      <c r="M60" s="29">
        <v>1825</v>
      </c>
      <c r="N60" s="47">
        <f t="shared" si="1"/>
        <v>2.0365617500718077E-2</v>
      </c>
      <c r="O60" s="47">
        <f t="shared" si="2"/>
        <v>1.7347249154024563E-2</v>
      </c>
      <c r="P60" s="48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2"/>
      <c r="EJ60" s="12"/>
      <c r="EK60" s="12"/>
      <c r="EL60" s="12"/>
      <c r="EM60" s="12"/>
      <c r="EN60" s="12"/>
      <c r="EO60" s="12"/>
      <c r="EP60" s="12"/>
      <c r="EQ60" s="12"/>
      <c r="ER60" s="12"/>
      <c r="ES60" s="12"/>
      <c r="ET60" s="12"/>
      <c r="EU60" s="12"/>
      <c r="EV60" s="12"/>
      <c r="EW60" s="12"/>
      <c r="EX60" s="12"/>
      <c r="EY60" s="12"/>
      <c r="EZ60" s="12"/>
      <c r="FA60" s="12"/>
      <c r="FB60" s="12"/>
      <c r="FC60" s="12"/>
      <c r="FD60" s="12"/>
      <c r="FE60" s="12"/>
      <c r="FF60" s="12"/>
      <c r="FG60" s="12"/>
      <c r="FH60" s="12"/>
      <c r="FI60" s="12"/>
      <c r="FJ60" s="12"/>
      <c r="FK60" s="12"/>
      <c r="FL60" s="12"/>
      <c r="FM60" s="12"/>
      <c r="FN60" s="12"/>
      <c r="FO60" s="12"/>
      <c r="FP60" s="12"/>
      <c r="FQ60" s="12"/>
      <c r="FR60" s="12"/>
      <c r="FS60" s="12"/>
      <c r="FT60" s="12"/>
      <c r="FU60" s="12"/>
      <c r="FV60" s="12"/>
      <c r="FW60" s="12"/>
      <c r="FX60" s="12"/>
      <c r="FY60" s="12"/>
      <c r="FZ60" s="12"/>
      <c r="GA60" s="12"/>
      <c r="GB60" s="12"/>
      <c r="GC60" s="12"/>
      <c r="GD60" s="12"/>
      <c r="GE60" s="12"/>
      <c r="GF60" s="12"/>
      <c r="GG60" s="12"/>
      <c r="GH60" s="12"/>
      <c r="GI60" s="12"/>
      <c r="GJ60" s="12"/>
      <c r="GK60" s="12"/>
      <c r="GL60" s="12"/>
      <c r="GM60" s="12"/>
      <c r="GN60" s="12"/>
      <c r="GO60" s="12"/>
      <c r="GP60" s="12"/>
      <c r="GQ60" s="12"/>
      <c r="GR60" s="12"/>
      <c r="GS60" s="12"/>
      <c r="GT60" s="12"/>
      <c r="GU60" s="12"/>
      <c r="GV60" s="12"/>
      <c r="GW60" s="12"/>
      <c r="GX60" s="12"/>
      <c r="GY60" s="12"/>
      <c r="GZ60" s="12"/>
      <c r="HA60" s="12"/>
      <c r="HB60" s="12"/>
      <c r="HC60" s="12"/>
      <c r="HD60" s="12"/>
      <c r="HE60" s="12"/>
      <c r="HF60" s="12"/>
      <c r="HG60" s="12"/>
      <c r="HH60" s="12"/>
      <c r="HI60" s="12"/>
      <c r="HJ60" s="12"/>
      <c r="HK60" s="12"/>
      <c r="HL60" s="12"/>
      <c r="HM60" s="12"/>
      <c r="HN60" s="12"/>
      <c r="HO60" s="12"/>
      <c r="HP60" s="12"/>
      <c r="HQ60" s="12"/>
      <c r="HR60" s="12"/>
      <c r="HS60" s="12"/>
      <c r="HT60" s="12"/>
      <c r="HU60" s="12"/>
      <c r="HV60" s="12"/>
      <c r="HW60" s="12"/>
      <c r="HX60" s="12"/>
      <c r="HY60" s="12"/>
      <c r="HZ60" s="12"/>
      <c r="IA60" s="12"/>
      <c r="IB60" s="12"/>
      <c r="IC60" s="12"/>
      <c r="ID60" s="12"/>
      <c r="IE60" s="12"/>
      <c r="IF60" s="12"/>
      <c r="IG60" s="12"/>
      <c r="IH60" s="12"/>
      <c r="II60" s="12"/>
      <c r="IJ60" s="12"/>
      <c r="IK60" s="12"/>
      <c r="IL60" s="12"/>
      <c r="IM60" s="12"/>
      <c r="IN60" s="12"/>
      <c r="IO60" s="12"/>
      <c r="IP60" s="12"/>
      <c r="IQ60" s="12"/>
      <c r="IR60" s="12"/>
      <c r="IS60" s="12"/>
      <c r="IT60" s="12"/>
      <c r="IU60" s="12"/>
      <c r="IV60" s="12"/>
      <c r="IW60" s="12"/>
      <c r="IX60" s="12"/>
      <c r="IY60" s="12"/>
      <c r="IZ60" s="12"/>
      <c r="JA60" s="12"/>
      <c r="JB60" s="12"/>
      <c r="JC60" s="12"/>
      <c r="JD60" s="12"/>
      <c r="JE60" s="12"/>
      <c r="JF60" s="12"/>
      <c r="JG60" s="12"/>
      <c r="JH60" s="12"/>
      <c r="JI60" s="12"/>
      <c r="JJ60" s="12"/>
      <c r="JK60" s="12"/>
      <c r="JL60" s="12"/>
      <c r="JM60" s="12"/>
      <c r="JN60" s="12"/>
      <c r="JO60" s="12"/>
      <c r="JP60" s="12"/>
      <c r="JQ60" s="12"/>
      <c r="JR60" s="12"/>
      <c r="JS60" s="12"/>
      <c r="JT60" s="12"/>
      <c r="JU60" s="12"/>
      <c r="JV60" s="12"/>
      <c r="JW60" s="12"/>
      <c r="JX60" s="12"/>
      <c r="JY60" s="12"/>
      <c r="JZ60" s="12"/>
      <c r="KA60" s="12"/>
      <c r="KB60" s="12"/>
      <c r="KC60" s="12"/>
      <c r="KD60" s="12"/>
      <c r="KE60" s="12"/>
      <c r="KF60" s="12"/>
      <c r="KG60" s="12"/>
      <c r="KH60" s="12"/>
      <c r="KI60" s="12"/>
      <c r="KJ60" s="12"/>
      <c r="KK60" s="12"/>
      <c r="KL60" s="12"/>
      <c r="KM60" s="12"/>
      <c r="KN60" s="12"/>
      <c r="KO60" s="12"/>
      <c r="KP60" s="12"/>
      <c r="KQ60" s="12"/>
      <c r="KR60" s="12"/>
      <c r="KS60" s="12"/>
      <c r="KT60" s="12"/>
      <c r="KU60" s="12"/>
      <c r="KV60" s="12"/>
      <c r="KW60" s="12"/>
      <c r="KX60" s="12"/>
      <c r="KY60" s="12"/>
      <c r="KZ60" s="12"/>
      <c r="LA60" s="12"/>
      <c r="LB60" s="12"/>
      <c r="LC60" s="12"/>
      <c r="LD60" s="12"/>
      <c r="LE60" s="12"/>
      <c r="LF60" s="12"/>
      <c r="LG60" s="12"/>
      <c r="LH60" s="12"/>
      <c r="LI60" s="12"/>
      <c r="LJ60" s="12"/>
      <c r="LK60" s="12"/>
      <c r="LL60" s="12"/>
      <c r="LM60" s="12"/>
      <c r="LN60" s="12"/>
      <c r="LO60" s="12"/>
      <c r="LP60" s="12"/>
      <c r="LQ60" s="12"/>
      <c r="LR60" s="12"/>
      <c r="LS60" s="12"/>
      <c r="LT60" s="12"/>
      <c r="LU60" s="12"/>
      <c r="LV60" s="12"/>
      <c r="LW60" s="12"/>
      <c r="LX60" s="12"/>
      <c r="LY60" s="12"/>
      <c r="LZ60" s="12"/>
      <c r="MA60" s="12"/>
      <c r="MB60" s="12"/>
      <c r="MC60" s="12"/>
      <c r="MD60" s="12"/>
      <c r="ME60" s="12"/>
      <c r="MF60" s="12"/>
      <c r="MG60" s="12"/>
      <c r="MH60" s="12"/>
      <c r="MI60" s="12"/>
      <c r="MJ60" s="12"/>
      <c r="MK60" s="12"/>
      <c r="ML60" s="12"/>
      <c r="MM60" s="12"/>
      <c r="MN60" s="12"/>
      <c r="MO60" s="12"/>
      <c r="MP60" s="12"/>
      <c r="MQ60" s="12"/>
      <c r="MR60" s="12"/>
      <c r="MS60" s="12"/>
      <c r="MT60" s="12"/>
      <c r="MU60" s="12"/>
      <c r="MV60" s="12"/>
      <c r="MW60" s="12"/>
      <c r="MX60" s="12"/>
      <c r="MY60" s="12"/>
      <c r="MZ60" s="12"/>
      <c r="NA60" s="12"/>
      <c r="NB60" s="12"/>
      <c r="NC60" s="12"/>
      <c r="ND60" s="12"/>
      <c r="NE60" s="12"/>
      <c r="NF60" s="12"/>
      <c r="NG60" s="12"/>
      <c r="NH60" s="12"/>
      <c r="NI60" s="12"/>
      <c r="NJ60" s="12"/>
      <c r="NK60" s="12"/>
      <c r="NL60" s="12"/>
      <c r="NM60" s="12"/>
      <c r="NN60" s="12"/>
      <c r="NO60" s="12"/>
      <c r="NP60" s="12"/>
      <c r="NQ60" s="12"/>
      <c r="NR60" s="12"/>
      <c r="NS60" s="12"/>
      <c r="NT60" s="12"/>
      <c r="NU60" s="12"/>
      <c r="NV60" s="12"/>
      <c r="NW60" s="12"/>
      <c r="NX60" s="12"/>
      <c r="NY60" s="12"/>
      <c r="NZ60" s="12"/>
      <c r="OA60" s="12"/>
      <c r="OB60" s="12"/>
      <c r="OC60" s="12"/>
      <c r="OD60" s="12"/>
      <c r="OE60" s="12"/>
      <c r="OF60" s="12"/>
      <c r="OG60" s="12"/>
      <c r="OH60" s="12"/>
      <c r="OI60" s="12"/>
      <c r="OJ60" s="12"/>
      <c r="OK60" s="12"/>
      <c r="OL60" s="12"/>
      <c r="OM60" s="12"/>
      <c r="ON60" s="12"/>
      <c r="OO60" s="12"/>
      <c r="OP60" s="12"/>
      <c r="OQ60" s="12"/>
      <c r="OR60" s="12"/>
      <c r="OS60" s="12"/>
      <c r="OT60" s="12"/>
      <c r="OU60" s="12"/>
      <c r="OV60" s="12"/>
      <c r="OW60" s="12"/>
      <c r="OX60" s="12"/>
      <c r="OY60" s="12"/>
      <c r="OZ60" s="12"/>
      <c r="PA60" s="12"/>
      <c r="PB60" s="12"/>
      <c r="PC60" s="12"/>
      <c r="PD60" s="12"/>
      <c r="PE60" s="12"/>
      <c r="PF60" s="12"/>
      <c r="PG60" s="12"/>
      <c r="PH60" s="12"/>
      <c r="PI60" s="12"/>
      <c r="PJ60" s="12"/>
      <c r="PK60" s="12"/>
      <c r="PL60" s="12"/>
      <c r="PM60" s="12"/>
      <c r="PN60" s="12"/>
      <c r="PO60" s="12"/>
      <c r="PP60" s="12"/>
      <c r="PQ60" s="12"/>
      <c r="PR60" s="12"/>
      <c r="PS60" s="12"/>
      <c r="PT60" s="12"/>
      <c r="PU60" s="12"/>
      <c r="PV60" s="12"/>
      <c r="PW60" s="12"/>
      <c r="PX60" s="12"/>
      <c r="PY60" s="12"/>
      <c r="PZ60" s="12"/>
      <c r="QA60" s="12"/>
      <c r="QB60" s="12"/>
      <c r="QC60" s="12"/>
      <c r="QD60" s="12"/>
      <c r="QE60" s="12"/>
      <c r="QF60" s="12"/>
      <c r="QG60" s="12"/>
      <c r="QH60" s="12"/>
      <c r="QI60" s="12"/>
      <c r="QJ60" s="12"/>
      <c r="QK60" s="12"/>
      <c r="QL60" s="12"/>
      <c r="QM60" s="12"/>
      <c r="QN60" s="12"/>
      <c r="QO60" s="12"/>
      <c r="QP60" s="12"/>
      <c r="QQ60" s="12"/>
      <c r="QR60" s="12"/>
      <c r="QS60" s="12"/>
      <c r="QT60" s="12"/>
      <c r="QU60" s="12"/>
      <c r="QV60" s="12"/>
      <c r="QW60" s="12"/>
      <c r="QX60" s="12"/>
      <c r="QY60" s="12"/>
      <c r="QZ60" s="12"/>
      <c r="RA60" s="12"/>
      <c r="RB60" s="12"/>
      <c r="RC60" s="12"/>
      <c r="RD60" s="12"/>
      <c r="RE60" s="12"/>
      <c r="RF60" s="12"/>
      <c r="RG60" s="12"/>
      <c r="RH60" s="12"/>
      <c r="RI60" s="12"/>
      <c r="RJ60" s="12"/>
      <c r="RK60" s="12"/>
      <c r="RL60" s="12"/>
      <c r="RM60" s="12"/>
      <c r="RN60" s="12"/>
      <c r="RO60" s="12"/>
      <c r="RP60" s="12"/>
      <c r="RQ60" s="12"/>
      <c r="RR60" s="12"/>
      <c r="RS60" s="12"/>
      <c r="RT60" s="12"/>
      <c r="RU60" s="12"/>
      <c r="RV60" s="12"/>
      <c r="RW60" s="12"/>
      <c r="RX60" s="12"/>
      <c r="RY60" s="12"/>
      <c r="RZ60" s="12"/>
      <c r="SA60" s="12"/>
      <c r="SB60" s="12"/>
      <c r="SC60" s="12"/>
      <c r="SD60" s="12"/>
      <c r="SE60" s="12"/>
      <c r="SF60" s="12"/>
      <c r="SG60" s="12"/>
      <c r="SH60" s="12"/>
      <c r="SI60" s="12"/>
      <c r="SJ60" s="12"/>
      <c r="SK60" s="12"/>
      <c r="SL60" s="12"/>
      <c r="SM60" s="12"/>
      <c r="SN60" s="12"/>
      <c r="SO60" s="12"/>
      <c r="SP60" s="12"/>
      <c r="SQ60" s="12"/>
      <c r="SR60" s="12"/>
      <c r="SS60" s="12"/>
      <c r="ST60" s="12"/>
      <c r="SU60" s="12"/>
      <c r="SV60" s="12"/>
      <c r="SW60" s="12"/>
      <c r="SX60" s="12"/>
      <c r="SY60" s="12"/>
      <c r="SZ60" s="12"/>
      <c r="TA60" s="12"/>
      <c r="TB60" s="12"/>
      <c r="TC60" s="12"/>
      <c r="TD60" s="12"/>
      <c r="TE60" s="12"/>
      <c r="TF60" s="12"/>
      <c r="TG60" s="12"/>
      <c r="TH60" s="12"/>
      <c r="TI60" s="12"/>
      <c r="TJ60" s="12"/>
      <c r="TK60" s="12"/>
      <c r="TL60" s="12"/>
      <c r="TM60" s="12"/>
      <c r="TN60" s="12"/>
      <c r="TO60" s="12"/>
      <c r="TP60" s="12"/>
      <c r="TQ60" s="12"/>
      <c r="TR60" s="12"/>
      <c r="TS60" s="12"/>
      <c r="TT60" s="12"/>
      <c r="TU60" s="12"/>
      <c r="TV60" s="12"/>
      <c r="TW60" s="12"/>
      <c r="TX60" s="12"/>
      <c r="TY60" s="12"/>
      <c r="TZ60" s="12"/>
      <c r="UA60" s="12"/>
      <c r="UB60" s="12"/>
      <c r="UC60" s="12"/>
      <c r="UD60" s="12"/>
      <c r="UE60" s="12"/>
      <c r="UF60" s="12"/>
      <c r="UG60" s="12"/>
      <c r="UH60" s="12"/>
      <c r="UI60" s="12"/>
      <c r="UJ60" s="12"/>
      <c r="UK60" s="12"/>
      <c r="UL60" s="12"/>
      <c r="UM60" s="12"/>
      <c r="UN60" s="12"/>
      <c r="UO60" s="12"/>
      <c r="UP60" s="12"/>
      <c r="UQ60" s="12"/>
      <c r="UR60" s="12"/>
      <c r="US60" s="12"/>
      <c r="UT60" s="12"/>
      <c r="UU60" s="12"/>
      <c r="UV60" s="12"/>
      <c r="UW60" s="12"/>
      <c r="UX60" s="12"/>
      <c r="UY60" s="12"/>
      <c r="UZ60" s="12"/>
      <c r="VA60" s="12"/>
      <c r="VB60" s="12"/>
      <c r="VC60" s="12"/>
      <c r="VD60" s="12"/>
      <c r="VE60" s="12"/>
      <c r="VF60" s="12"/>
      <c r="VG60" s="12"/>
      <c r="VH60" s="12"/>
      <c r="VI60" s="12"/>
      <c r="VJ60" s="12"/>
      <c r="VK60" s="12"/>
      <c r="VL60" s="12"/>
      <c r="VM60" s="12"/>
      <c r="VN60" s="12"/>
      <c r="VO60" s="12"/>
      <c r="VP60" s="12"/>
      <c r="VQ60" s="12"/>
      <c r="VR60" s="12"/>
      <c r="VS60" s="12"/>
      <c r="VT60" s="12"/>
      <c r="VU60" s="12"/>
      <c r="VV60" s="12"/>
      <c r="VW60" s="12"/>
      <c r="VX60" s="12"/>
      <c r="VY60" s="12"/>
      <c r="VZ60" s="12"/>
      <c r="WA60" s="12"/>
      <c r="WB60" s="12"/>
      <c r="WC60" s="12"/>
      <c r="WD60" s="12"/>
      <c r="WE60" s="12"/>
      <c r="WF60" s="12"/>
      <c r="WG60" s="12"/>
      <c r="WH60" s="12"/>
      <c r="WI60" s="12"/>
      <c r="WJ60" s="12"/>
      <c r="WK60" s="12"/>
      <c r="WL60" s="12"/>
      <c r="WM60" s="12"/>
      <c r="WN60" s="12"/>
      <c r="WO60" s="12"/>
      <c r="WP60" s="12"/>
      <c r="WQ60" s="12"/>
      <c r="WR60" s="12"/>
      <c r="WS60" s="12"/>
      <c r="WT60" s="12"/>
      <c r="WU60" s="12"/>
      <c r="WV60" s="12"/>
      <c r="WW60" s="12"/>
      <c r="WX60" s="12"/>
      <c r="WY60" s="12"/>
      <c r="WZ60" s="12"/>
      <c r="XA60" s="12"/>
      <c r="XB60" s="12"/>
      <c r="XC60" s="12"/>
      <c r="XD60" s="12"/>
      <c r="XE60" s="12"/>
      <c r="XF60" s="12"/>
      <c r="XG60" s="12"/>
      <c r="XH60" s="12"/>
      <c r="XI60" s="12"/>
      <c r="XJ60" s="12"/>
      <c r="XK60" s="12"/>
      <c r="XL60" s="12"/>
      <c r="XM60" s="12"/>
      <c r="XN60" s="12"/>
      <c r="XO60" s="12"/>
      <c r="XP60" s="12"/>
      <c r="XQ60" s="12"/>
      <c r="XR60" s="12"/>
      <c r="XS60" s="12"/>
      <c r="XT60" s="12"/>
      <c r="XU60" s="12"/>
      <c r="XV60" s="12"/>
      <c r="XW60" s="12"/>
      <c r="XX60" s="12"/>
      <c r="XY60" s="12"/>
      <c r="XZ60" s="12"/>
      <c r="YA60" s="12"/>
      <c r="YB60" s="12"/>
      <c r="YC60" s="12"/>
      <c r="YD60" s="12"/>
      <c r="YE60" s="12"/>
      <c r="YF60" s="12"/>
      <c r="YG60" s="12"/>
      <c r="YH60" s="12"/>
      <c r="YI60" s="12"/>
      <c r="YJ60" s="12"/>
      <c r="YK60" s="12"/>
      <c r="YL60" s="12"/>
      <c r="YM60" s="12"/>
      <c r="YN60" s="12"/>
      <c r="YO60" s="12"/>
      <c r="YP60" s="12"/>
      <c r="YQ60" s="12"/>
      <c r="YR60" s="12"/>
      <c r="YS60" s="12"/>
      <c r="YT60" s="12"/>
      <c r="YU60" s="12"/>
      <c r="YV60" s="12"/>
      <c r="YW60" s="12"/>
      <c r="YX60" s="12"/>
      <c r="YY60" s="12"/>
      <c r="YZ60" s="12"/>
      <c r="ZA60" s="12"/>
      <c r="ZB60" s="12"/>
      <c r="ZC60" s="12"/>
      <c r="ZD60" s="12"/>
      <c r="ZE60" s="12"/>
      <c r="ZF60" s="12"/>
      <c r="ZG60" s="12"/>
      <c r="ZH60" s="12"/>
      <c r="ZI60" s="12"/>
      <c r="ZJ60" s="12"/>
      <c r="ZK60" s="12"/>
      <c r="ZL60" s="12"/>
      <c r="ZM60" s="12"/>
      <c r="ZN60" s="12"/>
      <c r="ZO60" s="12"/>
      <c r="ZP60" s="12"/>
      <c r="ZQ60" s="12"/>
      <c r="ZR60" s="12"/>
      <c r="ZS60" s="12"/>
      <c r="ZT60" s="12"/>
      <c r="ZU60" s="12"/>
      <c r="ZV60" s="12"/>
      <c r="ZW60" s="12"/>
      <c r="ZX60" s="12"/>
      <c r="ZY60" s="12"/>
      <c r="ZZ60" s="12"/>
      <c r="AAA60" s="12"/>
      <c r="AAB60" s="12"/>
      <c r="AAC60" s="12"/>
      <c r="AAD60" s="12"/>
      <c r="AAE60" s="12"/>
      <c r="AAF60" s="12"/>
      <c r="AAG60" s="12"/>
      <c r="AAH60" s="12"/>
      <c r="AAI60" s="12"/>
      <c r="AAJ60" s="12"/>
      <c r="AAK60" s="12"/>
      <c r="AAL60" s="12"/>
      <c r="AAM60" s="12"/>
      <c r="AAN60" s="12"/>
      <c r="AAO60" s="12"/>
      <c r="AAP60" s="12"/>
      <c r="AAQ60" s="12"/>
      <c r="AAR60" s="12"/>
      <c r="AAS60" s="12"/>
      <c r="AAT60" s="12"/>
      <c r="AAU60" s="12"/>
      <c r="AAV60" s="12"/>
      <c r="AAW60" s="12"/>
      <c r="AAX60" s="12"/>
      <c r="AAY60" s="12"/>
      <c r="AAZ60" s="12"/>
      <c r="ABA60" s="12"/>
      <c r="ABB60" s="12"/>
      <c r="ABC60" s="12"/>
      <c r="ABD60" s="12"/>
      <c r="ABE60" s="12"/>
      <c r="ABF60" s="12"/>
      <c r="ABG60" s="12"/>
      <c r="ABH60" s="12"/>
      <c r="ABI60" s="12"/>
      <c r="ABJ60" s="12"/>
      <c r="ABK60" s="12"/>
      <c r="ABL60" s="12"/>
      <c r="ABM60" s="12"/>
      <c r="ABN60" s="12"/>
      <c r="ABO60" s="12"/>
      <c r="ABP60" s="12"/>
      <c r="ABQ60" s="12"/>
      <c r="ABR60" s="12"/>
      <c r="ABS60" s="12"/>
      <c r="ABT60" s="12"/>
      <c r="ABU60" s="12"/>
      <c r="ABV60" s="12"/>
      <c r="ABW60" s="12"/>
      <c r="ABX60" s="12"/>
      <c r="ABY60" s="12"/>
      <c r="ABZ60" s="12"/>
      <c r="ACA60" s="12"/>
      <c r="ACB60" s="12"/>
      <c r="ACC60" s="12"/>
      <c r="ACD60" s="12"/>
      <c r="ACE60" s="12"/>
      <c r="ACF60" s="12"/>
      <c r="ACG60" s="12"/>
      <c r="ACH60" s="12"/>
      <c r="ACI60" s="12"/>
      <c r="ACJ60" s="12"/>
      <c r="ACK60" s="12"/>
      <c r="ACL60" s="12"/>
      <c r="ACM60" s="12"/>
      <c r="ACN60" s="12"/>
      <c r="ACO60" s="12"/>
      <c r="ACP60" s="12"/>
      <c r="ACQ60" s="12"/>
      <c r="ACR60" s="12"/>
      <c r="ACS60" s="12"/>
      <c r="ACT60" s="12"/>
      <c r="ACU60" s="12"/>
      <c r="ACV60" s="12"/>
      <c r="ACW60" s="12"/>
      <c r="ACX60" s="12"/>
      <c r="ACY60" s="12"/>
      <c r="ACZ60" s="12"/>
      <c r="ADA60" s="12"/>
      <c r="ADB60" s="12"/>
      <c r="ADC60" s="12"/>
      <c r="ADD60" s="12"/>
      <c r="ADE60" s="12"/>
      <c r="ADF60" s="12"/>
      <c r="ADG60" s="12"/>
      <c r="ADH60" s="12"/>
      <c r="ADI60" s="12"/>
      <c r="ADJ60" s="12"/>
      <c r="ADK60" s="12"/>
      <c r="ADL60" s="12"/>
      <c r="ADM60" s="12"/>
      <c r="ADN60" s="12"/>
      <c r="ADO60" s="12"/>
      <c r="ADP60" s="12"/>
      <c r="ADQ60" s="12"/>
      <c r="ADR60" s="12"/>
      <c r="ADS60" s="12"/>
      <c r="ADT60" s="12"/>
      <c r="ADU60" s="12"/>
      <c r="ADV60" s="12"/>
      <c r="ADW60" s="12"/>
      <c r="ADX60" s="12"/>
      <c r="ADY60" s="12"/>
      <c r="ADZ60" s="12"/>
      <c r="AEA60" s="12"/>
      <c r="AEB60" s="12"/>
      <c r="AEC60" s="12"/>
      <c r="AED60" s="12"/>
      <c r="AEE60" s="12"/>
      <c r="AEF60" s="12"/>
      <c r="AEG60" s="12"/>
      <c r="AEH60" s="12"/>
      <c r="AEI60" s="12"/>
      <c r="AEJ60" s="12"/>
      <c r="AEK60" s="12"/>
      <c r="AEL60" s="12"/>
      <c r="AEM60" s="12"/>
      <c r="AEN60" s="12"/>
      <c r="AEO60" s="12"/>
      <c r="AEP60" s="12"/>
      <c r="AEQ60" s="12"/>
      <c r="AER60" s="12"/>
      <c r="AES60" s="12"/>
      <c r="AET60" s="12"/>
      <c r="AEU60" s="12"/>
      <c r="AEV60" s="12"/>
    </row>
    <row r="61" spans="1:828" s="27" customFormat="1" ht="18" x14ac:dyDescent="0.2">
      <c r="A61" s="61"/>
      <c r="B61" s="53"/>
      <c r="C61" s="23" t="s">
        <v>53</v>
      </c>
      <c r="D61" s="29">
        <v>971</v>
      </c>
      <c r="E61" s="23"/>
      <c r="F61" s="23" t="s">
        <v>70</v>
      </c>
      <c r="G61" s="29">
        <v>1071</v>
      </c>
      <c r="H61" s="30"/>
      <c r="I61" s="23" t="s">
        <v>54</v>
      </c>
      <c r="J61" s="29">
        <v>1161</v>
      </c>
      <c r="K61" s="30"/>
      <c r="L61" s="23" t="s">
        <v>55</v>
      </c>
      <c r="M61" s="29">
        <v>1007</v>
      </c>
      <c r="N61" s="47">
        <f t="shared" si="1"/>
        <v>9.9233741325154973E-3</v>
      </c>
      <c r="O61" s="47">
        <f t="shared" si="2"/>
        <v>9.5718793962206762E-3</v>
      </c>
      <c r="P61" s="48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2"/>
      <c r="FJ61" s="12"/>
      <c r="FK61" s="12"/>
      <c r="FL61" s="12"/>
      <c r="FM61" s="12"/>
      <c r="FN61" s="12"/>
      <c r="FO61" s="12"/>
      <c r="FP61" s="12"/>
      <c r="FQ61" s="12"/>
      <c r="FR61" s="12"/>
      <c r="FS61" s="12"/>
      <c r="FT61" s="12"/>
      <c r="FU61" s="12"/>
      <c r="FV61" s="12"/>
      <c r="FW61" s="12"/>
      <c r="FX61" s="12"/>
      <c r="FY61" s="12"/>
      <c r="FZ61" s="12"/>
      <c r="GA61" s="12"/>
      <c r="GB61" s="12"/>
      <c r="GC61" s="12"/>
      <c r="GD61" s="12"/>
      <c r="GE61" s="12"/>
      <c r="GF61" s="12"/>
      <c r="GG61" s="12"/>
      <c r="GH61" s="12"/>
      <c r="GI61" s="12"/>
      <c r="GJ61" s="12"/>
      <c r="GK61" s="12"/>
      <c r="GL61" s="12"/>
      <c r="GM61" s="12"/>
      <c r="GN61" s="12"/>
      <c r="GO61" s="12"/>
      <c r="GP61" s="12"/>
      <c r="GQ61" s="12"/>
      <c r="GR61" s="12"/>
      <c r="GS61" s="12"/>
      <c r="GT61" s="12"/>
      <c r="GU61" s="12"/>
      <c r="GV61" s="12"/>
      <c r="GW61" s="12"/>
      <c r="GX61" s="12"/>
      <c r="GY61" s="12"/>
      <c r="GZ61" s="12"/>
      <c r="HA61" s="12"/>
      <c r="HB61" s="12"/>
      <c r="HC61" s="12"/>
      <c r="HD61" s="12"/>
      <c r="HE61" s="12"/>
      <c r="HF61" s="12"/>
      <c r="HG61" s="12"/>
      <c r="HH61" s="12"/>
      <c r="HI61" s="12"/>
      <c r="HJ61" s="12"/>
      <c r="HK61" s="12"/>
      <c r="HL61" s="12"/>
      <c r="HM61" s="12"/>
      <c r="HN61" s="12"/>
      <c r="HO61" s="12"/>
      <c r="HP61" s="12"/>
      <c r="HQ61" s="12"/>
      <c r="HR61" s="12"/>
      <c r="HS61" s="12"/>
      <c r="HT61" s="12"/>
      <c r="HU61" s="12"/>
      <c r="HV61" s="12"/>
      <c r="HW61" s="12"/>
      <c r="HX61" s="12"/>
      <c r="HY61" s="12"/>
      <c r="HZ61" s="12"/>
      <c r="IA61" s="12"/>
      <c r="IB61" s="12"/>
      <c r="IC61" s="12"/>
      <c r="ID61" s="12"/>
      <c r="IE61" s="12"/>
      <c r="IF61" s="12"/>
      <c r="IG61" s="12"/>
      <c r="IH61" s="12"/>
      <c r="II61" s="12"/>
      <c r="IJ61" s="12"/>
      <c r="IK61" s="12"/>
      <c r="IL61" s="12"/>
      <c r="IM61" s="12"/>
      <c r="IN61" s="12"/>
      <c r="IO61" s="12"/>
      <c r="IP61" s="12"/>
      <c r="IQ61" s="12"/>
      <c r="IR61" s="12"/>
      <c r="IS61" s="12"/>
      <c r="IT61" s="12"/>
      <c r="IU61" s="12"/>
      <c r="IV61" s="12"/>
      <c r="IW61" s="12"/>
      <c r="IX61" s="12"/>
      <c r="IY61" s="12"/>
      <c r="IZ61" s="12"/>
      <c r="JA61" s="12"/>
      <c r="JB61" s="12"/>
      <c r="JC61" s="12"/>
      <c r="JD61" s="12"/>
      <c r="JE61" s="12"/>
      <c r="JF61" s="12"/>
      <c r="JG61" s="12"/>
      <c r="JH61" s="12"/>
      <c r="JI61" s="12"/>
      <c r="JJ61" s="12"/>
      <c r="JK61" s="12"/>
      <c r="JL61" s="12"/>
      <c r="JM61" s="12"/>
      <c r="JN61" s="12"/>
      <c r="JO61" s="12"/>
      <c r="JP61" s="12"/>
      <c r="JQ61" s="12"/>
      <c r="JR61" s="12"/>
      <c r="JS61" s="12"/>
      <c r="JT61" s="12"/>
      <c r="JU61" s="12"/>
      <c r="JV61" s="12"/>
      <c r="JW61" s="12"/>
      <c r="JX61" s="12"/>
      <c r="JY61" s="12"/>
      <c r="JZ61" s="12"/>
      <c r="KA61" s="12"/>
      <c r="KB61" s="12"/>
      <c r="KC61" s="12"/>
      <c r="KD61" s="12"/>
      <c r="KE61" s="12"/>
      <c r="KF61" s="12"/>
      <c r="KG61" s="12"/>
      <c r="KH61" s="12"/>
      <c r="KI61" s="12"/>
      <c r="KJ61" s="12"/>
      <c r="KK61" s="12"/>
      <c r="KL61" s="12"/>
      <c r="KM61" s="12"/>
      <c r="KN61" s="12"/>
      <c r="KO61" s="12"/>
      <c r="KP61" s="12"/>
      <c r="KQ61" s="12"/>
      <c r="KR61" s="12"/>
      <c r="KS61" s="12"/>
      <c r="KT61" s="12"/>
      <c r="KU61" s="12"/>
      <c r="KV61" s="12"/>
      <c r="KW61" s="12"/>
      <c r="KX61" s="12"/>
      <c r="KY61" s="12"/>
      <c r="KZ61" s="12"/>
      <c r="LA61" s="12"/>
      <c r="LB61" s="12"/>
      <c r="LC61" s="12"/>
      <c r="LD61" s="12"/>
      <c r="LE61" s="12"/>
      <c r="LF61" s="12"/>
      <c r="LG61" s="12"/>
      <c r="LH61" s="12"/>
      <c r="LI61" s="12"/>
      <c r="LJ61" s="12"/>
      <c r="LK61" s="12"/>
      <c r="LL61" s="12"/>
      <c r="LM61" s="12"/>
      <c r="LN61" s="12"/>
      <c r="LO61" s="12"/>
      <c r="LP61" s="12"/>
      <c r="LQ61" s="12"/>
      <c r="LR61" s="12"/>
      <c r="LS61" s="12"/>
      <c r="LT61" s="12"/>
      <c r="LU61" s="12"/>
      <c r="LV61" s="12"/>
      <c r="LW61" s="12"/>
      <c r="LX61" s="12"/>
      <c r="LY61" s="12"/>
      <c r="LZ61" s="12"/>
      <c r="MA61" s="12"/>
      <c r="MB61" s="12"/>
      <c r="MC61" s="12"/>
      <c r="MD61" s="12"/>
      <c r="ME61" s="12"/>
      <c r="MF61" s="12"/>
      <c r="MG61" s="12"/>
      <c r="MH61" s="12"/>
      <c r="MI61" s="12"/>
      <c r="MJ61" s="12"/>
      <c r="MK61" s="12"/>
      <c r="ML61" s="12"/>
      <c r="MM61" s="12"/>
      <c r="MN61" s="12"/>
      <c r="MO61" s="12"/>
      <c r="MP61" s="12"/>
      <c r="MQ61" s="12"/>
      <c r="MR61" s="12"/>
      <c r="MS61" s="12"/>
      <c r="MT61" s="12"/>
      <c r="MU61" s="12"/>
      <c r="MV61" s="12"/>
      <c r="MW61" s="12"/>
      <c r="MX61" s="12"/>
      <c r="MY61" s="12"/>
      <c r="MZ61" s="12"/>
      <c r="NA61" s="12"/>
      <c r="NB61" s="12"/>
      <c r="NC61" s="12"/>
      <c r="ND61" s="12"/>
      <c r="NE61" s="12"/>
      <c r="NF61" s="12"/>
      <c r="NG61" s="12"/>
      <c r="NH61" s="12"/>
      <c r="NI61" s="12"/>
      <c r="NJ61" s="12"/>
      <c r="NK61" s="12"/>
      <c r="NL61" s="12"/>
      <c r="NM61" s="12"/>
      <c r="NN61" s="12"/>
      <c r="NO61" s="12"/>
      <c r="NP61" s="12"/>
      <c r="NQ61" s="12"/>
      <c r="NR61" s="12"/>
      <c r="NS61" s="12"/>
      <c r="NT61" s="12"/>
      <c r="NU61" s="12"/>
      <c r="NV61" s="12"/>
      <c r="NW61" s="12"/>
      <c r="NX61" s="12"/>
      <c r="NY61" s="12"/>
      <c r="NZ61" s="12"/>
      <c r="OA61" s="12"/>
      <c r="OB61" s="12"/>
      <c r="OC61" s="12"/>
      <c r="OD61" s="12"/>
      <c r="OE61" s="12"/>
      <c r="OF61" s="12"/>
      <c r="OG61" s="12"/>
      <c r="OH61" s="12"/>
      <c r="OI61" s="12"/>
      <c r="OJ61" s="12"/>
      <c r="OK61" s="12"/>
      <c r="OL61" s="12"/>
      <c r="OM61" s="12"/>
      <c r="ON61" s="12"/>
      <c r="OO61" s="12"/>
      <c r="OP61" s="12"/>
      <c r="OQ61" s="12"/>
      <c r="OR61" s="12"/>
      <c r="OS61" s="12"/>
      <c r="OT61" s="12"/>
      <c r="OU61" s="12"/>
      <c r="OV61" s="12"/>
      <c r="OW61" s="12"/>
      <c r="OX61" s="12"/>
      <c r="OY61" s="12"/>
      <c r="OZ61" s="12"/>
      <c r="PA61" s="12"/>
      <c r="PB61" s="12"/>
      <c r="PC61" s="12"/>
      <c r="PD61" s="12"/>
      <c r="PE61" s="12"/>
      <c r="PF61" s="12"/>
      <c r="PG61" s="12"/>
      <c r="PH61" s="12"/>
      <c r="PI61" s="12"/>
      <c r="PJ61" s="12"/>
      <c r="PK61" s="12"/>
      <c r="PL61" s="12"/>
      <c r="PM61" s="12"/>
      <c r="PN61" s="12"/>
      <c r="PO61" s="12"/>
      <c r="PP61" s="12"/>
      <c r="PQ61" s="12"/>
      <c r="PR61" s="12"/>
      <c r="PS61" s="12"/>
      <c r="PT61" s="12"/>
      <c r="PU61" s="12"/>
      <c r="PV61" s="12"/>
      <c r="PW61" s="12"/>
      <c r="PX61" s="12"/>
      <c r="PY61" s="12"/>
      <c r="PZ61" s="12"/>
      <c r="QA61" s="12"/>
      <c r="QB61" s="12"/>
      <c r="QC61" s="12"/>
      <c r="QD61" s="12"/>
      <c r="QE61" s="12"/>
      <c r="QF61" s="12"/>
      <c r="QG61" s="12"/>
      <c r="QH61" s="12"/>
      <c r="QI61" s="12"/>
      <c r="QJ61" s="12"/>
      <c r="QK61" s="12"/>
      <c r="QL61" s="12"/>
      <c r="QM61" s="12"/>
      <c r="QN61" s="12"/>
      <c r="QO61" s="12"/>
      <c r="QP61" s="12"/>
      <c r="QQ61" s="12"/>
      <c r="QR61" s="12"/>
      <c r="QS61" s="12"/>
      <c r="QT61" s="12"/>
      <c r="QU61" s="12"/>
      <c r="QV61" s="12"/>
      <c r="QW61" s="12"/>
      <c r="QX61" s="12"/>
      <c r="QY61" s="12"/>
      <c r="QZ61" s="12"/>
      <c r="RA61" s="12"/>
      <c r="RB61" s="12"/>
      <c r="RC61" s="12"/>
      <c r="RD61" s="12"/>
      <c r="RE61" s="12"/>
      <c r="RF61" s="12"/>
      <c r="RG61" s="12"/>
      <c r="RH61" s="12"/>
      <c r="RI61" s="12"/>
      <c r="RJ61" s="12"/>
      <c r="RK61" s="12"/>
      <c r="RL61" s="12"/>
      <c r="RM61" s="12"/>
      <c r="RN61" s="12"/>
      <c r="RO61" s="12"/>
      <c r="RP61" s="12"/>
      <c r="RQ61" s="12"/>
      <c r="RR61" s="12"/>
      <c r="RS61" s="12"/>
      <c r="RT61" s="12"/>
      <c r="RU61" s="12"/>
      <c r="RV61" s="12"/>
      <c r="RW61" s="12"/>
      <c r="RX61" s="12"/>
      <c r="RY61" s="12"/>
      <c r="RZ61" s="12"/>
      <c r="SA61" s="12"/>
      <c r="SB61" s="12"/>
      <c r="SC61" s="12"/>
      <c r="SD61" s="12"/>
      <c r="SE61" s="12"/>
      <c r="SF61" s="12"/>
      <c r="SG61" s="12"/>
      <c r="SH61" s="12"/>
      <c r="SI61" s="12"/>
      <c r="SJ61" s="12"/>
      <c r="SK61" s="12"/>
      <c r="SL61" s="12"/>
      <c r="SM61" s="12"/>
      <c r="SN61" s="12"/>
      <c r="SO61" s="12"/>
      <c r="SP61" s="12"/>
      <c r="SQ61" s="12"/>
      <c r="SR61" s="12"/>
      <c r="SS61" s="12"/>
      <c r="ST61" s="12"/>
      <c r="SU61" s="12"/>
      <c r="SV61" s="12"/>
      <c r="SW61" s="12"/>
      <c r="SX61" s="12"/>
      <c r="SY61" s="12"/>
      <c r="SZ61" s="12"/>
      <c r="TA61" s="12"/>
      <c r="TB61" s="12"/>
      <c r="TC61" s="12"/>
      <c r="TD61" s="12"/>
      <c r="TE61" s="12"/>
      <c r="TF61" s="12"/>
      <c r="TG61" s="12"/>
      <c r="TH61" s="12"/>
      <c r="TI61" s="12"/>
      <c r="TJ61" s="12"/>
      <c r="TK61" s="12"/>
      <c r="TL61" s="12"/>
      <c r="TM61" s="12"/>
      <c r="TN61" s="12"/>
      <c r="TO61" s="12"/>
      <c r="TP61" s="12"/>
      <c r="TQ61" s="12"/>
      <c r="TR61" s="12"/>
      <c r="TS61" s="12"/>
      <c r="TT61" s="12"/>
      <c r="TU61" s="12"/>
      <c r="TV61" s="12"/>
      <c r="TW61" s="12"/>
      <c r="TX61" s="12"/>
      <c r="TY61" s="12"/>
      <c r="TZ61" s="12"/>
      <c r="UA61" s="12"/>
      <c r="UB61" s="12"/>
      <c r="UC61" s="12"/>
      <c r="UD61" s="12"/>
      <c r="UE61" s="12"/>
      <c r="UF61" s="12"/>
      <c r="UG61" s="12"/>
      <c r="UH61" s="12"/>
      <c r="UI61" s="12"/>
      <c r="UJ61" s="12"/>
      <c r="UK61" s="12"/>
      <c r="UL61" s="12"/>
      <c r="UM61" s="12"/>
      <c r="UN61" s="12"/>
      <c r="UO61" s="12"/>
      <c r="UP61" s="12"/>
      <c r="UQ61" s="12"/>
      <c r="UR61" s="12"/>
      <c r="US61" s="12"/>
      <c r="UT61" s="12"/>
      <c r="UU61" s="12"/>
      <c r="UV61" s="12"/>
      <c r="UW61" s="12"/>
      <c r="UX61" s="12"/>
      <c r="UY61" s="12"/>
      <c r="UZ61" s="12"/>
      <c r="VA61" s="12"/>
      <c r="VB61" s="12"/>
      <c r="VC61" s="12"/>
      <c r="VD61" s="12"/>
      <c r="VE61" s="12"/>
      <c r="VF61" s="12"/>
      <c r="VG61" s="12"/>
      <c r="VH61" s="12"/>
      <c r="VI61" s="12"/>
      <c r="VJ61" s="12"/>
      <c r="VK61" s="12"/>
      <c r="VL61" s="12"/>
      <c r="VM61" s="12"/>
      <c r="VN61" s="12"/>
      <c r="VO61" s="12"/>
      <c r="VP61" s="12"/>
      <c r="VQ61" s="12"/>
      <c r="VR61" s="12"/>
      <c r="VS61" s="12"/>
      <c r="VT61" s="12"/>
      <c r="VU61" s="12"/>
      <c r="VV61" s="12"/>
      <c r="VW61" s="12"/>
      <c r="VX61" s="12"/>
      <c r="VY61" s="12"/>
      <c r="VZ61" s="12"/>
      <c r="WA61" s="12"/>
      <c r="WB61" s="12"/>
      <c r="WC61" s="12"/>
      <c r="WD61" s="12"/>
      <c r="WE61" s="12"/>
      <c r="WF61" s="12"/>
      <c r="WG61" s="12"/>
      <c r="WH61" s="12"/>
      <c r="WI61" s="12"/>
      <c r="WJ61" s="12"/>
      <c r="WK61" s="12"/>
      <c r="WL61" s="12"/>
      <c r="WM61" s="12"/>
      <c r="WN61" s="12"/>
      <c r="WO61" s="12"/>
      <c r="WP61" s="12"/>
      <c r="WQ61" s="12"/>
      <c r="WR61" s="12"/>
      <c r="WS61" s="12"/>
      <c r="WT61" s="12"/>
      <c r="WU61" s="12"/>
      <c r="WV61" s="12"/>
      <c r="WW61" s="12"/>
      <c r="WX61" s="12"/>
      <c r="WY61" s="12"/>
      <c r="WZ61" s="12"/>
      <c r="XA61" s="12"/>
      <c r="XB61" s="12"/>
      <c r="XC61" s="12"/>
      <c r="XD61" s="12"/>
      <c r="XE61" s="12"/>
      <c r="XF61" s="12"/>
      <c r="XG61" s="12"/>
      <c r="XH61" s="12"/>
      <c r="XI61" s="12"/>
      <c r="XJ61" s="12"/>
      <c r="XK61" s="12"/>
      <c r="XL61" s="12"/>
      <c r="XM61" s="12"/>
      <c r="XN61" s="12"/>
      <c r="XO61" s="12"/>
      <c r="XP61" s="12"/>
      <c r="XQ61" s="12"/>
      <c r="XR61" s="12"/>
      <c r="XS61" s="12"/>
      <c r="XT61" s="12"/>
      <c r="XU61" s="12"/>
      <c r="XV61" s="12"/>
      <c r="XW61" s="12"/>
      <c r="XX61" s="12"/>
      <c r="XY61" s="12"/>
      <c r="XZ61" s="12"/>
      <c r="YA61" s="12"/>
      <c r="YB61" s="12"/>
      <c r="YC61" s="12"/>
      <c r="YD61" s="12"/>
      <c r="YE61" s="12"/>
      <c r="YF61" s="12"/>
      <c r="YG61" s="12"/>
      <c r="YH61" s="12"/>
      <c r="YI61" s="12"/>
      <c r="YJ61" s="12"/>
      <c r="YK61" s="12"/>
      <c r="YL61" s="12"/>
      <c r="YM61" s="12"/>
      <c r="YN61" s="12"/>
      <c r="YO61" s="12"/>
      <c r="YP61" s="12"/>
      <c r="YQ61" s="12"/>
      <c r="YR61" s="12"/>
      <c r="YS61" s="12"/>
      <c r="YT61" s="12"/>
      <c r="YU61" s="12"/>
      <c r="YV61" s="12"/>
      <c r="YW61" s="12"/>
      <c r="YX61" s="12"/>
      <c r="YY61" s="12"/>
      <c r="YZ61" s="12"/>
      <c r="ZA61" s="12"/>
      <c r="ZB61" s="12"/>
      <c r="ZC61" s="12"/>
      <c r="ZD61" s="12"/>
      <c r="ZE61" s="12"/>
      <c r="ZF61" s="12"/>
      <c r="ZG61" s="12"/>
      <c r="ZH61" s="12"/>
      <c r="ZI61" s="12"/>
      <c r="ZJ61" s="12"/>
      <c r="ZK61" s="12"/>
      <c r="ZL61" s="12"/>
      <c r="ZM61" s="12"/>
      <c r="ZN61" s="12"/>
      <c r="ZO61" s="12"/>
      <c r="ZP61" s="12"/>
      <c r="ZQ61" s="12"/>
      <c r="ZR61" s="12"/>
      <c r="ZS61" s="12"/>
      <c r="ZT61" s="12"/>
      <c r="ZU61" s="12"/>
      <c r="ZV61" s="12"/>
      <c r="ZW61" s="12"/>
      <c r="ZX61" s="12"/>
      <c r="ZY61" s="12"/>
      <c r="ZZ61" s="12"/>
      <c r="AAA61" s="12"/>
      <c r="AAB61" s="12"/>
      <c r="AAC61" s="12"/>
      <c r="AAD61" s="12"/>
      <c r="AAE61" s="12"/>
      <c r="AAF61" s="12"/>
      <c r="AAG61" s="12"/>
      <c r="AAH61" s="12"/>
      <c r="AAI61" s="12"/>
      <c r="AAJ61" s="12"/>
      <c r="AAK61" s="12"/>
      <c r="AAL61" s="12"/>
      <c r="AAM61" s="12"/>
      <c r="AAN61" s="12"/>
      <c r="AAO61" s="12"/>
      <c r="AAP61" s="12"/>
      <c r="AAQ61" s="12"/>
      <c r="AAR61" s="12"/>
      <c r="AAS61" s="12"/>
      <c r="AAT61" s="12"/>
      <c r="AAU61" s="12"/>
      <c r="AAV61" s="12"/>
      <c r="AAW61" s="12"/>
      <c r="AAX61" s="12"/>
      <c r="AAY61" s="12"/>
      <c r="AAZ61" s="12"/>
      <c r="ABA61" s="12"/>
      <c r="ABB61" s="12"/>
      <c r="ABC61" s="12"/>
      <c r="ABD61" s="12"/>
      <c r="ABE61" s="12"/>
      <c r="ABF61" s="12"/>
      <c r="ABG61" s="12"/>
      <c r="ABH61" s="12"/>
      <c r="ABI61" s="12"/>
      <c r="ABJ61" s="12"/>
      <c r="ABK61" s="12"/>
      <c r="ABL61" s="12"/>
      <c r="ABM61" s="12"/>
      <c r="ABN61" s="12"/>
      <c r="ABO61" s="12"/>
      <c r="ABP61" s="12"/>
      <c r="ABQ61" s="12"/>
      <c r="ABR61" s="12"/>
      <c r="ABS61" s="12"/>
      <c r="ABT61" s="12"/>
      <c r="ABU61" s="12"/>
      <c r="ABV61" s="12"/>
      <c r="ABW61" s="12"/>
      <c r="ABX61" s="12"/>
      <c r="ABY61" s="12"/>
      <c r="ABZ61" s="12"/>
      <c r="ACA61" s="12"/>
      <c r="ACB61" s="12"/>
      <c r="ACC61" s="12"/>
      <c r="ACD61" s="12"/>
      <c r="ACE61" s="12"/>
      <c r="ACF61" s="12"/>
      <c r="ACG61" s="12"/>
      <c r="ACH61" s="12"/>
      <c r="ACI61" s="12"/>
      <c r="ACJ61" s="12"/>
      <c r="ACK61" s="12"/>
      <c r="ACL61" s="12"/>
      <c r="ACM61" s="12"/>
      <c r="ACN61" s="12"/>
      <c r="ACO61" s="12"/>
      <c r="ACP61" s="12"/>
      <c r="ACQ61" s="12"/>
      <c r="ACR61" s="12"/>
      <c r="ACS61" s="12"/>
      <c r="ACT61" s="12"/>
      <c r="ACU61" s="12"/>
      <c r="ACV61" s="12"/>
      <c r="ACW61" s="12"/>
      <c r="ACX61" s="12"/>
      <c r="ACY61" s="12"/>
      <c r="ACZ61" s="12"/>
      <c r="ADA61" s="12"/>
      <c r="ADB61" s="12"/>
      <c r="ADC61" s="12"/>
      <c r="ADD61" s="12"/>
      <c r="ADE61" s="12"/>
      <c r="ADF61" s="12"/>
      <c r="ADG61" s="12"/>
      <c r="ADH61" s="12"/>
      <c r="ADI61" s="12"/>
      <c r="ADJ61" s="12"/>
      <c r="ADK61" s="12"/>
      <c r="ADL61" s="12"/>
      <c r="ADM61" s="12"/>
      <c r="ADN61" s="12"/>
      <c r="ADO61" s="12"/>
      <c r="ADP61" s="12"/>
      <c r="ADQ61" s="12"/>
      <c r="ADR61" s="12"/>
      <c r="ADS61" s="12"/>
      <c r="ADT61" s="12"/>
      <c r="ADU61" s="12"/>
      <c r="ADV61" s="12"/>
      <c r="ADW61" s="12"/>
      <c r="ADX61" s="12"/>
      <c r="ADY61" s="12"/>
      <c r="ADZ61" s="12"/>
      <c r="AEA61" s="12"/>
      <c r="AEB61" s="12"/>
      <c r="AEC61" s="12"/>
      <c r="AED61" s="12"/>
      <c r="AEE61" s="12"/>
      <c r="AEF61" s="12"/>
      <c r="AEG61" s="12"/>
      <c r="AEH61" s="12"/>
      <c r="AEI61" s="12"/>
      <c r="AEJ61" s="12"/>
      <c r="AEK61" s="12"/>
      <c r="AEL61" s="12"/>
      <c r="AEM61" s="12"/>
      <c r="AEN61" s="12"/>
      <c r="AEO61" s="12"/>
      <c r="AEP61" s="12"/>
      <c r="AEQ61" s="12"/>
      <c r="AER61" s="12"/>
      <c r="AES61" s="12"/>
      <c r="AET61" s="12"/>
      <c r="AEU61" s="12"/>
      <c r="AEV61" s="12"/>
    </row>
    <row r="62" spans="1:828" s="27" customFormat="1" ht="18" x14ac:dyDescent="0.2">
      <c r="A62" s="61"/>
      <c r="B62" s="53"/>
      <c r="C62" s="23" t="s">
        <v>56</v>
      </c>
      <c r="D62" s="29">
        <v>33461</v>
      </c>
      <c r="E62" s="23"/>
      <c r="F62" s="23"/>
      <c r="G62" s="23"/>
      <c r="H62" s="30"/>
      <c r="I62" s="23" t="s">
        <v>57</v>
      </c>
      <c r="J62" s="29">
        <v>1178</v>
      </c>
      <c r="K62" s="30"/>
      <c r="L62" s="23"/>
      <c r="M62" s="29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2"/>
      <c r="FJ62" s="12"/>
      <c r="FK62" s="12"/>
      <c r="FL62" s="12"/>
      <c r="FM62" s="12"/>
      <c r="FN62" s="12"/>
      <c r="FO62" s="12"/>
      <c r="FP62" s="12"/>
      <c r="FQ62" s="12"/>
      <c r="FR62" s="12"/>
      <c r="FS62" s="12"/>
      <c r="FT62" s="12"/>
      <c r="FU62" s="12"/>
      <c r="FV62" s="12"/>
      <c r="FW62" s="12"/>
      <c r="FX62" s="12"/>
      <c r="FY62" s="12"/>
      <c r="FZ62" s="12"/>
      <c r="GA62" s="12"/>
      <c r="GB62" s="12"/>
      <c r="GC62" s="12"/>
      <c r="GD62" s="12"/>
      <c r="GE62" s="12"/>
      <c r="GF62" s="12"/>
      <c r="GG62" s="12"/>
      <c r="GH62" s="12"/>
      <c r="GI62" s="12"/>
      <c r="GJ62" s="12"/>
      <c r="GK62" s="12"/>
      <c r="GL62" s="12"/>
      <c r="GM62" s="12"/>
      <c r="GN62" s="12"/>
      <c r="GO62" s="12"/>
      <c r="GP62" s="12"/>
      <c r="GQ62" s="12"/>
      <c r="GR62" s="12"/>
      <c r="GS62" s="12"/>
      <c r="GT62" s="12"/>
      <c r="GU62" s="12"/>
      <c r="GV62" s="12"/>
      <c r="GW62" s="12"/>
      <c r="GX62" s="12"/>
      <c r="GY62" s="12"/>
      <c r="GZ62" s="12"/>
      <c r="HA62" s="12"/>
      <c r="HB62" s="12"/>
      <c r="HC62" s="12"/>
      <c r="HD62" s="12"/>
      <c r="HE62" s="12"/>
      <c r="HF62" s="12"/>
      <c r="HG62" s="12"/>
      <c r="HH62" s="12"/>
      <c r="HI62" s="12"/>
      <c r="HJ62" s="12"/>
      <c r="HK62" s="12"/>
      <c r="HL62" s="12"/>
      <c r="HM62" s="12"/>
      <c r="HN62" s="12"/>
      <c r="HO62" s="12"/>
      <c r="HP62" s="12"/>
      <c r="HQ62" s="12"/>
      <c r="HR62" s="12"/>
      <c r="HS62" s="12"/>
      <c r="HT62" s="12"/>
      <c r="HU62" s="12"/>
      <c r="HV62" s="12"/>
      <c r="HW62" s="12"/>
      <c r="HX62" s="12"/>
      <c r="HY62" s="12"/>
      <c r="HZ62" s="12"/>
      <c r="IA62" s="12"/>
      <c r="IB62" s="12"/>
      <c r="IC62" s="12"/>
      <c r="ID62" s="12"/>
      <c r="IE62" s="12"/>
      <c r="IF62" s="12"/>
      <c r="IG62" s="12"/>
      <c r="IH62" s="12"/>
      <c r="II62" s="12"/>
      <c r="IJ62" s="12"/>
      <c r="IK62" s="12"/>
      <c r="IL62" s="12"/>
      <c r="IM62" s="12"/>
      <c r="IN62" s="12"/>
      <c r="IO62" s="12"/>
      <c r="IP62" s="12"/>
      <c r="IQ62" s="12"/>
      <c r="IR62" s="12"/>
      <c r="IS62" s="12"/>
      <c r="IT62" s="12"/>
      <c r="IU62" s="12"/>
      <c r="IV62" s="12"/>
      <c r="IW62" s="12"/>
      <c r="IX62" s="12"/>
      <c r="IY62" s="12"/>
      <c r="IZ62" s="12"/>
      <c r="JA62" s="12"/>
      <c r="JB62" s="12"/>
      <c r="JC62" s="12"/>
      <c r="JD62" s="12"/>
      <c r="JE62" s="12"/>
      <c r="JF62" s="12"/>
      <c r="JG62" s="12"/>
      <c r="JH62" s="12"/>
      <c r="JI62" s="12"/>
      <c r="JJ62" s="12"/>
      <c r="JK62" s="12"/>
      <c r="JL62" s="12"/>
      <c r="JM62" s="12"/>
      <c r="JN62" s="12"/>
      <c r="JO62" s="12"/>
      <c r="JP62" s="12"/>
      <c r="JQ62" s="12"/>
      <c r="JR62" s="12"/>
      <c r="JS62" s="12"/>
      <c r="JT62" s="12"/>
      <c r="JU62" s="12"/>
      <c r="JV62" s="12"/>
      <c r="JW62" s="12"/>
      <c r="JX62" s="12"/>
      <c r="JY62" s="12"/>
      <c r="JZ62" s="12"/>
      <c r="KA62" s="12"/>
      <c r="KB62" s="12"/>
      <c r="KC62" s="12"/>
      <c r="KD62" s="12"/>
      <c r="KE62" s="12"/>
      <c r="KF62" s="12"/>
      <c r="KG62" s="12"/>
      <c r="KH62" s="12"/>
      <c r="KI62" s="12"/>
      <c r="KJ62" s="12"/>
      <c r="KK62" s="12"/>
      <c r="KL62" s="12"/>
      <c r="KM62" s="12"/>
      <c r="KN62" s="12"/>
      <c r="KO62" s="12"/>
      <c r="KP62" s="12"/>
      <c r="KQ62" s="12"/>
      <c r="KR62" s="12"/>
      <c r="KS62" s="12"/>
      <c r="KT62" s="12"/>
      <c r="KU62" s="12"/>
      <c r="KV62" s="12"/>
      <c r="KW62" s="12"/>
      <c r="KX62" s="12"/>
      <c r="KY62" s="12"/>
      <c r="KZ62" s="12"/>
      <c r="LA62" s="12"/>
      <c r="LB62" s="12"/>
      <c r="LC62" s="12"/>
      <c r="LD62" s="12"/>
      <c r="LE62" s="12"/>
      <c r="LF62" s="12"/>
      <c r="LG62" s="12"/>
      <c r="LH62" s="12"/>
      <c r="LI62" s="12"/>
      <c r="LJ62" s="12"/>
      <c r="LK62" s="12"/>
      <c r="LL62" s="12"/>
      <c r="LM62" s="12"/>
      <c r="LN62" s="12"/>
      <c r="LO62" s="12"/>
      <c r="LP62" s="12"/>
      <c r="LQ62" s="12"/>
      <c r="LR62" s="12"/>
      <c r="LS62" s="12"/>
      <c r="LT62" s="12"/>
      <c r="LU62" s="12"/>
      <c r="LV62" s="12"/>
      <c r="LW62" s="12"/>
      <c r="LX62" s="12"/>
      <c r="LY62" s="12"/>
      <c r="LZ62" s="12"/>
      <c r="MA62" s="12"/>
      <c r="MB62" s="12"/>
      <c r="MC62" s="12"/>
      <c r="MD62" s="12"/>
      <c r="ME62" s="12"/>
      <c r="MF62" s="12"/>
      <c r="MG62" s="12"/>
      <c r="MH62" s="12"/>
      <c r="MI62" s="12"/>
      <c r="MJ62" s="12"/>
      <c r="MK62" s="12"/>
      <c r="ML62" s="12"/>
      <c r="MM62" s="12"/>
      <c r="MN62" s="12"/>
      <c r="MO62" s="12"/>
      <c r="MP62" s="12"/>
      <c r="MQ62" s="12"/>
      <c r="MR62" s="12"/>
      <c r="MS62" s="12"/>
      <c r="MT62" s="12"/>
      <c r="MU62" s="12"/>
      <c r="MV62" s="12"/>
      <c r="MW62" s="12"/>
      <c r="MX62" s="12"/>
      <c r="MY62" s="12"/>
      <c r="MZ62" s="12"/>
      <c r="NA62" s="12"/>
      <c r="NB62" s="12"/>
      <c r="NC62" s="12"/>
      <c r="ND62" s="12"/>
      <c r="NE62" s="12"/>
      <c r="NF62" s="12"/>
      <c r="NG62" s="12"/>
      <c r="NH62" s="12"/>
      <c r="NI62" s="12"/>
      <c r="NJ62" s="12"/>
      <c r="NK62" s="12"/>
      <c r="NL62" s="12"/>
      <c r="NM62" s="12"/>
      <c r="NN62" s="12"/>
      <c r="NO62" s="12"/>
      <c r="NP62" s="12"/>
      <c r="NQ62" s="12"/>
      <c r="NR62" s="12"/>
      <c r="NS62" s="12"/>
      <c r="NT62" s="12"/>
      <c r="NU62" s="12"/>
      <c r="NV62" s="12"/>
      <c r="NW62" s="12"/>
      <c r="NX62" s="12"/>
      <c r="NY62" s="12"/>
      <c r="NZ62" s="12"/>
      <c r="OA62" s="12"/>
      <c r="OB62" s="12"/>
      <c r="OC62" s="12"/>
      <c r="OD62" s="12"/>
      <c r="OE62" s="12"/>
      <c r="OF62" s="12"/>
      <c r="OG62" s="12"/>
      <c r="OH62" s="12"/>
      <c r="OI62" s="12"/>
      <c r="OJ62" s="12"/>
      <c r="OK62" s="12"/>
      <c r="OL62" s="12"/>
      <c r="OM62" s="12"/>
      <c r="ON62" s="12"/>
      <c r="OO62" s="12"/>
      <c r="OP62" s="12"/>
      <c r="OQ62" s="12"/>
      <c r="OR62" s="12"/>
      <c r="OS62" s="12"/>
      <c r="OT62" s="12"/>
      <c r="OU62" s="12"/>
      <c r="OV62" s="12"/>
      <c r="OW62" s="12"/>
      <c r="OX62" s="12"/>
      <c r="OY62" s="12"/>
      <c r="OZ62" s="12"/>
      <c r="PA62" s="12"/>
      <c r="PB62" s="12"/>
      <c r="PC62" s="12"/>
      <c r="PD62" s="12"/>
      <c r="PE62" s="12"/>
      <c r="PF62" s="12"/>
      <c r="PG62" s="12"/>
      <c r="PH62" s="12"/>
      <c r="PI62" s="12"/>
      <c r="PJ62" s="12"/>
      <c r="PK62" s="12"/>
      <c r="PL62" s="12"/>
      <c r="PM62" s="12"/>
      <c r="PN62" s="12"/>
      <c r="PO62" s="12"/>
      <c r="PP62" s="12"/>
      <c r="PQ62" s="12"/>
      <c r="PR62" s="12"/>
      <c r="PS62" s="12"/>
      <c r="PT62" s="12"/>
      <c r="PU62" s="12"/>
      <c r="PV62" s="12"/>
      <c r="PW62" s="12"/>
      <c r="PX62" s="12"/>
      <c r="PY62" s="12"/>
      <c r="PZ62" s="12"/>
      <c r="QA62" s="12"/>
      <c r="QB62" s="12"/>
      <c r="QC62" s="12"/>
      <c r="QD62" s="12"/>
      <c r="QE62" s="12"/>
      <c r="QF62" s="12"/>
      <c r="QG62" s="12"/>
      <c r="QH62" s="12"/>
      <c r="QI62" s="12"/>
      <c r="QJ62" s="12"/>
      <c r="QK62" s="12"/>
      <c r="QL62" s="12"/>
      <c r="QM62" s="12"/>
      <c r="QN62" s="12"/>
      <c r="QO62" s="12"/>
      <c r="QP62" s="12"/>
      <c r="QQ62" s="12"/>
      <c r="QR62" s="12"/>
      <c r="QS62" s="12"/>
      <c r="QT62" s="12"/>
      <c r="QU62" s="12"/>
      <c r="QV62" s="12"/>
      <c r="QW62" s="12"/>
      <c r="QX62" s="12"/>
      <c r="QY62" s="12"/>
      <c r="QZ62" s="12"/>
      <c r="RA62" s="12"/>
      <c r="RB62" s="12"/>
      <c r="RC62" s="12"/>
      <c r="RD62" s="12"/>
      <c r="RE62" s="12"/>
      <c r="RF62" s="12"/>
      <c r="RG62" s="12"/>
      <c r="RH62" s="12"/>
      <c r="RI62" s="12"/>
      <c r="RJ62" s="12"/>
      <c r="RK62" s="12"/>
      <c r="RL62" s="12"/>
      <c r="RM62" s="12"/>
      <c r="RN62" s="12"/>
      <c r="RO62" s="12"/>
      <c r="RP62" s="12"/>
      <c r="RQ62" s="12"/>
      <c r="RR62" s="12"/>
      <c r="RS62" s="12"/>
      <c r="RT62" s="12"/>
      <c r="RU62" s="12"/>
      <c r="RV62" s="12"/>
      <c r="RW62" s="12"/>
      <c r="RX62" s="12"/>
      <c r="RY62" s="12"/>
      <c r="RZ62" s="12"/>
      <c r="SA62" s="12"/>
      <c r="SB62" s="12"/>
      <c r="SC62" s="12"/>
      <c r="SD62" s="12"/>
      <c r="SE62" s="12"/>
      <c r="SF62" s="12"/>
      <c r="SG62" s="12"/>
      <c r="SH62" s="12"/>
      <c r="SI62" s="12"/>
      <c r="SJ62" s="12"/>
      <c r="SK62" s="12"/>
      <c r="SL62" s="12"/>
      <c r="SM62" s="12"/>
      <c r="SN62" s="12"/>
      <c r="SO62" s="12"/>
      <c r="SP62" s="12"/>
      <c r="SQ62" s="12"/>
      <c r="SR62" s="12"/>
      <c r="SS62" s="12"/>
      <c r="ST62" s="12"/>
      <c r="SU62" s="12"/>
      <c r="SV62" s="12"/>
      <c r="SW62" s="12"/>
      <c r="SX62" s="12"/>
      <c r="SY62" s="12"/>
      <c r="SZ62" s="12"/>
      <c r="TA62" s="12"/>
      <c r="TB62" s="12"/>
      <c r="TC62" s="12"/>
      <c r="TD62" s="12"/>
      <c r="TE62" s="12"/>
      <c r="TF62" s="12"/>
      <c r="TG62" s="12"/>
      <c r="TH62" s="12"/>
      <c r="TI62" s="12"/>
      <c r="TJ62" s="12"/>
      <c r="TK62" s="12"/>
      <c r="TL62" s="12"/>
      <c r="TM62" s="12"/>
      <c r="TN62" s="12"/>
      <c r="TO62" s="12"/>
      <c r="TP62" s="12"/>
      <c r="TQ62" s="12"/>
      <c r="TR62" s="12"/>
      <c r="TS62" s="12"/>
      <c r="TT62" s="12"/>
      <c r="TU62" s="12"/>
      <c r="TV62" s="12"/>
      <c r="TW62" s="12"/>
      <c r="TX62" s="12"/>
      <c r="TY62" s="12"/>
      <c r="TZ62" s="12"/>
      <c r="UA62" s="12"/>
      <c r="UB62" s="12"/>
      <c r="UC62" s="12"/>
      <c r="UD62" s="12"/>
      <c r="UE62" s="12"/>
      <c r="UF62" s="12"/>
      <c r="UG62" s="12"/>
      <c r="UH62" s="12"/>
      <c r="UI62" s="12"/>
      <c r="UJ62" s="12"/>
      <c r="UK62" s="12"/>
      <c r="UL62" s="12"/>
      <c r="UM62" s="12"/>
      <c r="UN62" s="12"/>
      <c r="UO62" s="12"/>
      <c r="UP62" s="12"/>
      <c r="UQ62" s="12"/>
      <c r="UR62" s="12"/>
      <c r="US62" s="12"/>
      <c r="UT62" s="12"/>
      <c r="UU62" s="12"/>
      <c r="UV62" s="12"/>
      <c r="UW62" s="12"/>
      <c r="UX62" s="12"/>
      <c r="UY62" s="12"/>
      <c r="UZ62" s="12"/>
      <c r="VA62" s="12"/>
      <c r="VB62" s="12"/>
      <c r="VC62" s="12"/>
      <c r="VD62" s="12"/>
      <c r="VE62" s="12"/>
      <c r="VF62" s="12"/>
      <c r="VG62" s="12"/>
      <c r="VH62" s="12"/>
      <c r="VI62" s="12"/>
      <c r="VJ62" s="12"/>
      <c r="VK62" s="12"/>
      <c r="VL62" s="12"/>
      <c r="VM62" s="12"/>
      <c r="VN62" s="12"/>
      <c r="VO62" s="12"/>
      <c r="VP62" s="12"/>
      <c r="VQ62" s="12"/>
      <c r="VR62" s="12"/>
      <c r="VS62" s="12"/>
      <c r="VT62" s="12"/>
      <c r="VU62" s="12"/>
      <c r="VV62" s="12"/>
      <c r="VW62" s="12"/>
      <c r="VX62" s="12"/>
      <c r="VY62" s="12"/>
      <c r="VZ62" s="12"/>
      <c r="WA62" s="12"/>
      <c r="WB62" s="12"/>
      <c r="WC62" s="12"/>
      <c r="WD62" s="12"/>
      <c r="WE62" s="12"/>
      <c r="WF62" s="12"/>
      <c r="WG62" s="12"/>
      <c r="WH62" s="12"/>
      <c r="WI62" s="12"/>
      <c r="WJ62" s="12"/>
      <c r="WK62" s="12"/>
      <c r="WL62" s="12"/>
      <c r="WM62" s="12"/>
      <c r="WN62" s="12"/>
      <c r="WO62" s="12"/>
      <c r="WP62" s="12"/>
      <c r="WQ62" s="12"/>
      <c r="WR62" s="12"/>
      <c r="WS62" s="12"/>
      <c r="WT62" s="12"/>
      <c r="WU62" s="12"/>
      <c r="WV62" s="12"/>
      <c r="WW62" s="12"/>
      <c r="WX62" s="12"/>
      <c r="WY62" s="12"/>
      <c r="WZ62" s="12"/>
      <c r="XA62" s="12"/>
      <c r="XB62" s="12"/>
      <c r="XC62" s="12"/>
      <c r="XD62" s="12"/>
      <c r="XE62" s="12"/>
      <c r="XF62" s="12"/>
      <c r="XG62" s="12"/>
      <c r="XH62" s="12"/>
      <c r="XI62" s="12"/>
      <c r="XJ62" s="12"/>
      <c r="XK62" s="12"/>
      <c r="XL62" s="12"/>
      <c r="XM62" s="12"/>
      <c r="XN62" s="12"/>
      <c r="XO62" s="12"/>
      <c r="XP62" s="12"/>
      <c r="XQ62" s="12"/>
      <c r="XR62" s="12"/>
      <c r="XS62" s="12"/>
      <c r="XT62" s="12"/>
      <c r="XU62" s="12"/>
      <c r="XV62" s="12"/>
      <c r="XW62" s="12"/>
      <c r="XX62" s="12"/>
      <c r="XY62" s="12"/>
      <c r="XZ62" s="12"/>
      <c r="YA62" s="12"/>
      <c r="YB62" s="12"/>
      <c r="YC62" s="12"/>
      <c r="YD62" s="12"/>
      <c r="YE62" s="12"/>
      <c r="YF62" s="12"/>
      <c r="YG62" s="12"/>
      <c r="YH62" s="12"/>
      <c r="YI62" s="12"/>
      <c r="YJ62" s="12"/>
      <c r="YK62" s="12"/>
      <c r="YL62" s="12"/>
      <c r="YM62" s="12"/>
      <c r="YN62" s="12"/>
      <c r="YO62" s="12"/>
      <c r="YP62" s="12"/>
      <c r="YQ62" s="12"/>
      <c r="YR62" s="12"/>
      <c r="YS62" s="12"/>
      <c r="YT62" s="12"/>
      <c r="YU62" s="12"/>
      <c r="YV62" s="12"/>
      <c r="YW62" s="12"/>
      <c r="YX62" s="12"/>
      <c r="YY62" s="12"/>
      <c r="YZ62" s="12"/>
      <c r="ZA62" s="12"/>
      <c r="ZB62" s="12"/>
      <c r="ZC62" s="12"/>
      <c r="ZD62" s="12"/>
      <c r="ZE62" s="12"/>
      <c r="ZF62" s="12"/>
      <c r="ZG62" s="12"/>
      <c r="ZH62" s="12"/>
      <c r="ZI62" s="12"/>
      <c r="ZJ62" s="12"/>
      <c r="ZK62" s="12"/>
      <c r="ZL62" s="12"/>
      <c r="ZM62" s="12"/>
      <c r="ZN62" s="12"/>
      <c r="ZO62" s="12"/>
      <c r="ZP62" s="12"/>
      <c r="ZQ62" s="12"/>
      <c r="ZR62" s="12"/>
      <c r="ZS62" s="12"/>
      <c r="ZT62" s="12"/>
      <c r="ZU62" s="12"/>
      <c r="ZV62" s="12"/>
      <c r="ZW62" s="12"/>
      <c r="ZX62" s="12"/>
      <c r="ZY62" s="12"/>
      <c r="ZZ62" s="12"/>
      <c r="AAA62" s="12"/>
      <c r="AAB62" s="12"/>
      <c r="AAC62" s="12"/>
      <c r="AAD62" s="12"/>
      <c r="AAE62" s="12"/>
      <c r="AAF62" s="12"/>
      <c r="AAG62" s="12"/>
      <c r="AAH62" s="12"/>
      <c r="AAI62" s="12"/>
      <c r="AAJ62" s="12"/>
      <c r="AAK62" s="12"/>
      <c r="AAL62" s="12"/>
      <c r="AAM62" s="12"/>
      <c r="AAN62" s="12"/>
      <c r="AAO62" s="12"/>
      <c r="AAP62" s="12"/>
      <c r="AAQ62" s="12"/>
      <c r="AAR62" s="12"/>
      <c r="AAS62" s="12"/>
      <c r="AAT62" s="12"/>
      <c r="AAU62" s="12"/>
      <c r="AAV62" s="12"/>
      <c r="AAW62" s="12"/>
      <c r="AAX62" s="12"/>
      <c r="AAY62" s="12"/>
      <c r="AAZ62" s="12"/>
      <c r="ABA62" s="12"/>
      <c r="ABB62" s="12"/>
      <c r="ABC62" s="12"/>
      <c r="ABD62" s="12"/>
      <c r="ABE62" s="12"/>
      <c r="ABF62" s="12"/>
      <c r="ABG62" s="12"/>
      <c r="ABH62" s="12"/>
      <c r="ABI62" s="12"/>
      <c r="ABJ62" s="12"/>
      <c r="ABK62" s="12"/>
      <c r="ABL62" s="12"/>
      <c r="ABM62" s="12"/>
      <c r="ABN62" s="12"/>
      <c r="ABO62" s="12"/>
      <c r="ABP62" s="12"/>
      <c r="ABQ62" s="12"/>
      <c r="ABR62" s="12"/>
      <c r="ABS62" s="12"/>
      <c r="ABT62" s="12"/>
      <c r="ABU62" s="12"/>
      <c r="ABV62" s="12"/>
      <c r="ABW62" s="12"/>
      <c r="ABX62" s="12"/>
      <c r="ABY62" s="12"/>
      <c r="ABZ62" s="12"/>
      <c r="ACA62" s="12"/>
      <c r="ACB62" s="12"/>
      <c r="ACC62" s="12"/>
      <c r="ACD62" s="12"/>
      <c r="ACE62" s="12"/>
      <c r="ACF62" s="12"/>
      <c r="ACG62" s="12"/>
      <c r="ACH62" s="12"/>
      <c r="ACI62" s="12"/>
      <c r="ACJ62" s="12"/>
      <c r="ACK62" s="12"/>
      <c r="ACL62" s="12"/>
      <c r="ACM62" s="12"/>
      <c r="ACN62" s="12"/>
      <c r="ACO62" s="12"/>
      <c r="ACP62" s="12"/>
      <c r="ACQ62" s="12"/>
      <c r="ACR62" s="12"/>
      <c r="ACS62" s="12"/>
      <c r="ACT62" s="12"/>
      <c r="ACU62" s="12"/>
      <c r="ACV62" s="12"/>
      <c r="ACW62" s="12"/>
      <c r="ACX62" s="12"/>
      <c r="ACY62" s="12"/>
      <c r="ACZ62" s="12"/>
      <c r="ADA62" s="12"/>
      <c r="ADB62" s="12"/>
      <c r="ADC62" s="12"/>
      <c r="ADD62" s="12"/>
      <c r="ADE62" s="12"/>
      <c r="ADF62" s="12"/>
      <c r="ADG62" s="12"/>
      <c r="ADH62" s="12"/>
      <c r="ADI62" s="12"/>
      <c r="ADJ62" s="12"/>
      <c r="ADK62" s="12"/>
      <c r="ADL62" s="12"/>
      <c r="ADM62" s="12"/>
      <c r="ADN62" s="12"/>
      <c r="ADO62" s="12"/>
      <c r="ADP62" s="12"/>
      <c r="ADQ62" s="12"/>
      <c r="ADR62" s="12"/>
      <c r="ADS62" s="12"/>
      <c r="ADT62" s="12"/>
      <c r="ADU62" s="12"/>
      <c r="ADV62" s="12"/>
      <c r="ADW62" s="12"/>
      <c r="ADX62" s="12"/>
      <c r="ADY62" s="12"/>
      <c r="ADZ62" s="12"/>
      <c r="AEA62" s="12"/>
      <c r="AEB62" s="12"/>
      <c r="AEC62" s="12"/>
      <c r="AED62" s="12"/>
      <c r="AEE62" s="12"/>
      <c r="AEF62" s="12"/>
      <c r="AEG62" s="12"/>
      <c r="AEH62" s="12"/>
      <c r="AEI62" s="12"/>
      <c r="AEJ62" s="12"/>
      <c r="AEK62" s="12"/>
      <c r="AEL62" s="12"/>
      <c r="AEM62" s="12"/>
      <c r="AEN62" s="12"/>
      <c r="AEO62" s="12"/>
      <c r="AEP62" s="12"/>
      <c r="AEQ62" s="12"/>
      <c r="AER62" s="12"/>
      <c r="AES62" s="12"/>
      <c r="AET62" s="12"/>
      <c r="AEU62" s="12"/>
      <c r="AEV62" s="12"/>
    </row>
    <row r="63" spans="1:828" s="27" customFormat="1" ht="18" x14ac:dyDescent="0.2">
      <c r="A63" s="61"/>
      <c r="D63" s="29"/>
      <c r="E63" s="23"/>
      <c r="F63" s="23"/>
      <c r="G63" s="23"/>
      <c r="H63" s="30"/>
      <c r="I63" s="23" t="s">
        <v>58</v>
      </c>
      <c r="J63" s="29">
        <v>27592</v>
      </c>
      <c r="K63" s="30"/>
      <c r="L63" s="23"/>
      <c r="M63" s="29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2"/>
      <c r="FJ63" s="12"/>
      <c r="FK63" s="12"/>
      <c r="FL63" s="12"/>
      <c r="FM63" s="12"/>
      <c r="FN63" s="12"/>
      <c r="FO63" s="12"/>
      <c r="FP63" s="12"/>
      <c r="FQ63" s="12"/>
      <c r="FR63" s="12"/>
      <c r="FS63" s="12"/>
      <c r="FT63" s="12"/>
      <c r="FU63" s="12"/>
      <c r="FV63" s="12"/>
      <c r="FW63" s="12"/>
      <c r="FX63" s="12"/>
      <c r="FY63" s="12"/>
      <c r="FZ63" s="12"/>
      <c r="GA63" s="12"/>
      <c r="GB63" s="12"/>
      <c r="GC63" s="12"/>
      <c r="GD63" s="12"/>
      <c r="GE63" s="12"/>
      <c r="GF63" s="12"/>
      <c r="GG63" s="12"/>
      <c r="GH63" s="12"/>
      <c r="GI63" s="12"/>
      <c r="GJ63" s="12"/>
      <c r="GK63" s="12"/>
      <c r="GL63" s="12"/>
      <c r="GM63" s="12"/>
      <c r="GN63" s="12"/>
      <c r="GO63" s="12"/>
      <c r="GP63" s="12"/>
      <c r="GQ63" s="12"/>
      <c r="GR63" s="12"/>
      <c r="GS63" s="12"/>
      <c r="GT63" s="12"/>
      <c r="GU63" s="12"/>
      <c r="GV63" s="12"/>
      <c r="GW63" s="12"/>
      <c r="GX63" s="12"/>
      <c r="GY63" s="12"/>
      <c r="GZ63" s="12"/>
      <c r="HA63" s="12"/>
      <c r="HB63" s="12"/>
      <c r="HC63" s="12"/>
      <c r="HD63" s="12"/>
      <c r="HE63" s="12"/>
      <c r="HF63" s="12"/>
      <c r="HG63" s="12"/>
      <c r="HH63" s="12"/>
      <c r="HI63" s="12"/>
      <c r="HJ63" s="12"/>
      <c r="HK63" s="12"/>
      <c r="HL63" s="12"/>
      <c r="HM63" s="12"/>
      <c r="HN63" s="12"/>
      <c r="HO63" s="12"/>
      <c r="HP63" s="12"/>
      <c r="HQ63" s="12"/>
      <c r="HR63" s="12"/>
      <c r="HS63" s="12"/>
      <c r="HT63" s="12"/>
      <c r="HU63" s="12"/>
      <c r="HV63" s="12"/>
      <c r="HW63" s="12"/>
      <c r="HX63" s="12"/>
      <c r="HY63" s="12"/>
      <c r="HZ63" s="12"/>
      <c r="IA63" s="12"/>
      <c r="IB63" s="12"/>
      <c r="IC63" s="12"/>
      <c r="ID63" s="12"/>
      <c r="IE63" s="12"/>
      <c r="IF63" s="12"/>
      <c r="IG63" s="12"/>
      <c r="IH63" s="12"/>
      <c r="II63" s="12"/>
      <c r="IJ63" s="12"/>
      <c r="IK63" s="12"/>
      <c r="IL63" s="12"/>
      <c r="IM63" s="12"/>
      <c r="IN63" s="12"/>
      <c r="IO63" s="12"/>
      <c r="IP63" s="12"/>
      <c r="IQ63" s="12"/>
      <c r="IR63" s="12"/>
      <c r="IS63" s="12"/>
      <c r="IT63" s="12"/>
      <c r="IU63" s="12"/>
      <c r="IV63" s="12"/>
      <c r="IW63" s="12"/>
      <c r="IX63" s="12"/>
      <c r="IY63" s="12"/>
      <c r="IZ63" s="12"/>
      <c r="JA63" s="12"/>
      <c r="JB63" s="12"/>
      <c r="JC63" s="12"/>
      <c r="JD63" s="12"/>
      <c r="JE63" s="12"/>
      <c r="JF63" s="12"/>
      <c r="JG63" s="12"/>
      <c r="JH63" s="12"/>
      <c r="JI63" s="12"/>
      <c r="JJ63" s="12"/>
      <c r="JK63" s="12"/>
      <c r="JL63" s="12"/>
      <c r="JM63" s="12"/>
      <c r="JN63" s="12"/>
      <c r="JO63" s="12"/>
      <c r="JP63" s="12"/>
      <c r="JQ63" s="12"/>
      <c r="JR63" s="12"/>
      <c r="JS63" s="12"/>
      <c r="JT63" s="12"/>
      <c r="JU63" s="12"/>
      <c r="JV63" s="12"/>
      <c r="JW63" s="12"/>
      <c r="JX63" s="12"/>
      <c r="JY63" s="12"/>
      <c r="JZ63" s="12"/>
      <c r="KA63" s="12"/>
      <c r="KB63" s="12"/>
      <c r="KC63" s="12"/>
      <c r="KD63" s="12"/>
      <c r="KE63" s="12"/>
      <c r="KF63" s="12"/>
      <c r="KG63" s="12"/>
      <c r="KH63" s="12"/>
      <c r="KI63" s="12"/>
      <c r="KJ63" s="12"/>
      <c r="KK63" s="12"/>
      <c r="KL63" s="12"/>
      <c r="KM63" s="12"/>
      <c r="KN63" s="12"/>
      <c r="KO63" s="12"/>
      <c r="KP63" s="12"/>
      <c r="KQ63" s="12"/>
      <c r="KR63" s="12"/>
      <c r="KS63" s="12"/>
      <c r="KT63" s="12"/>
      <c r="KU63" s="12"/>
      <c r="KV63" s="12"/>
      <c r="KW63" s="12"/>
      <c r="KX63" s="12"/>
      <c r="KY63" s="12"/>
      <c r="KZ63" s="12"/>
      <c r="LA63" s="12"/>
      <c r="LB63" s="12"/>
      <c r="LC63" s="12"/>
      <c r="LD63" s="12"/>
      <c r="LE63" s="12"/>
      <c r="LF63" s="12"/>
      <c r="LG63" s="12"/>
      <c r="LH63" s="12"/>
      <c r="LI63" s="12"/>
      <c r="LJ63" s="12"/>
      <c r="LK63" s="12"/>
      <c r="LL63" s="12"/>
      <c r="LM63" s="12"/>
      <c r="LN63" s="12"/>
      <c r="LO63" s="12"/>
      <c r="LP63" s="12"/>
      <c r="LQ63" s="12"/>
      <c r="LR63" s="12"/>
      <c r="LS63" s="12"/>
      <c r="LT63" s="12"/>
      <c r="LU63" s="12"/>
      <c r="LV63" s="12"/>
      <c r="LW63" s="12"/>
      <c r="LX63" s="12"/>
      <c r="LY63" s="12"/>
      <c r="LZ63" s="12"/>
      <c r="MA63" s="12"/>
      <c r="MB63" s="12"/>
      <c r="MC63" s="12"/>
      <c r="MD63" s="12"/>
      <c r="ME63" s="12"/>
      <c r="MF63" s="12"/>
      <c r="MG63" s="12"/>
      <c r="MH63" s="12"/>
      <c r="MI63" s="12"/>
      <c r="MJ63" s="12"/>
      <c r="MK63" s="12"/>
      <c r="ML63" s="12"/>
      <c r="MM63" s="12"/>
      <c r="MN63" s="12"/>
      <c r="MO63" s="12"/>
      <c r="MP63" s="12"/>
      <c r="MQ63" s="12"/>
      <c r="MR63" s="12"/>
      <c r="MS63" s="12"/>
      <c r="MT63" s="12"/>
      <c r="MU63" s="12"/>
      <c r="MV63" s="12"/>
      <c r="MW63" s="12"/>
      <c r="MX63" s="12"/>
      <c r="MY63" s="12"/>
      <c r="MZ63" s="12"/>
      <c r="NA63" s="12"/>
      <c r="NB63" s="12"/>
      <c r="NC63" s="12"/>
      <c r="ND63" s="12"/>
      <c r="NE63" s="12"/>
      <c r="NF63" s="12"/>
      <c r="NG63" s="12"/>
      <c r="NH63" s="12"/>
      <c r="NI63" s="12"/>
      <c r="NJ63" s="12"/>
      <c r="NK63" s="12"/>
      <c r="NL63" s="12"/>
      <c r="NM63" s="12"/>
      <c r="NN63" s="12"/>
      <c r="NO63" s="12"/>
      <c r="NP63" s="12"/>
      <c r="NQ63" s="12"/>
      <c r="NR63" s="12"/>
      <c r="NS63" s="12"/>
      <c r="NT63" s="12"/>
      <c r="NU63" s="12"/>
      <c r="NV63" s="12"/>
      <c r="NW63" s="12"/>
      <c r="NX63" s="12"/>
      <c r="NY63" s="12"/>
      <c r="NZ63" s="12"/>
      <c r="OA63" s="12"/>
      <c r="OB63" s="12"/>
      <c r="OC63" s="12"/>
      <c r="OD63" s="12"/>
      <c r="OE63" s="12"/>
      <c r="OF63" s="12"/>
      <c r="OG63" s="12"/>
      <c r="OH63" s="12"/>
      <c r="OI63" s="12"/>
      <c r="OJ63" s="12"/>
      <c r="OK63" s="12"/>
      <c r="OL63" s="12"/>
      <c r="OM63" s="12"/>
      <c r="ON63" s="12"/>
      <c r="OO63" s="12"/>
      <c r="OP63" s="12"/>
      <c r="OQ63" s="12"/>
      <c r="OR63" s="12"/>
      <c r="OS63" s="12"/>
      <c r="OT63" s="12"/>
      <c r="OU63" s="12"/>
      <c r="OV63" s="12"/>
      <c r="OW63" s="12"/>
      <c r="OX63" s="12"/>
      <c r="OY63" s="12"/>
      <c r="OZ63" s="12"/>
      <c r="PA63" s="12"/>
      <c r="PB63" s="12"/>
      <c r="PC63" s="12"/>
      <c r="PD63" s="12"/>
      <c r="PE63" s="12"/>
      <c r="PF63" s="12"/>
      <c r="PG63" s="12"/>
      <c r="PH63" s="12"/>
      <c r="PI63" s="12"/>
      <c r="PJ63" s="12"/>
      <c r="PK63" s="12"/>
      <c r="PL63" s="12"/>
      <c r="PM63" s="12"/>
      <c r="PN63" s="12"/>
      <c r="PO63" s="12"/>
      <c r="PP63" s="12"/>
      <c r="PQ63" s="12"/>
      <c r="PR63" s="12"/>
      <c r="PS63" s="12"/>
      <c r="PT63" s="12"/>
      <c r="PU63" s="12"/>
      <c r="PV63" s="12"/>
      <c r="PW63" s="12"/>
      <c r="PX63" s="12"/>
      <c r="PY63" s="12"/>
      <c r="PZ63" s="12"/>
      <c r="QA63" s="12"/>
      <c r="QB63" s="12"/>
      <c r="QC63" s="12"/>
      <c r="QD63" s="12"/>
      <c r="QE63" s="12"/>
      <c r="QF63" s="12"/>
      <c r="QG63" s="12"/>
      <c r="QH63" s="12"/>
      <c r="QI63" s="12"/>
      <c r="QJ63" s="12"/>
      <c r="QK63" s="12"/>
      <c r="QL63" s="12"/>
      <c r="QM63" s="12"/>
      <c r="QN63" s="12"/>
      <c r="QO63" s="12"/>
      <c r="QP63" s="12"/>
      <c r="QQ63" s="12"/>
      <c r="QR63" s="12"/>
      <c r="QS63" s="12"/>
      <c r="QT63" s="12"/>
      <c r="QU63" s="12"/>
      <c r="QV63" s="12"/>
      <c r="QW63" s="12"/>
      <c r="QX63" s="12"/>
      <c r="QY63" s="12"/>
      <c r="QZ63" s="12"/>
      <c r="RA63" s="12"/>
      <c r="RB63" s="12"/>
      <c r="RC63" s="12"/>
      <c r="RD63" s="12"/>
      <c r="RE63" s="12"/>
      <c r="RF63" s="12"/>
      <c r="RG63" s="12"/>
      <c r="RH63" s="12"/>
      <c r="RI63" s="12"/>
      <c r="RJ63" s="12"/>
      <c r="RK63" s="12"/>
      <c r="RL63" s="12"/>
      <c r="RM63" s="12"/>
      <c r="RN63" s="12"/>
      <c r="RO63" s="12"/>
      <c r="RP63" s="12"/>
      <c r="RQ63" s="12"/>
      <c r="RR63" s="12"/>
      <c r="RS63" s="12"/>
      <c r="RT63" s="12"/>
      <c r="RU63" s="12"/>
      <c r="RV63" s="12"/>
      <c r="RW63" s="12"/>
      <c r="RX63" s="12"/>
      <c r="RY63" s="12"/>
      <c r="RZ63" s="12"/>
      <c r="SA63" s="12"/>
      <c r="SB63" s="12"/>
      <c r="SC63" s="12"/>
      <c r="SD63" s="12"/>
      <c r="SE63" s="12"/>
      <c r="SF63" s="12"/>
      <c r="SG63" s="12"/>
      <c r="SH63" s="12"/>
      <c r="SI63" s="12"/>
      <c r="SJ63" s="12"/>
      <c r="SK63" s="12"/>
      <c r="SL63" s="12"/>
      <c r="SM63" s="12"/>
      <c r="SN63" s="12"/>
      <c r="SO63" s="12"/>
      <c r="SP63" s="12"/>
      <c r="SQ63" s="12"/>
      <c r="SR63" s="12"/>
      <c r="SS63" s="12"/>
      <c r="ST63" s="12"/>
      <c r="SU63" s="12"/>
      <c r="SV63" s="12"/>
      <c r="SW63" s="12"/>
      <c r="SX63" s="12"/>
      <c r="SY63" s="12"/>
      <c r="SZ63" s="12"/>
      <c r="TA63" s="12"/>
      <c r="TB63" s="12"/>
      <c r="TC63" s="12"/>
      <c r="TD63" s="12"/>
      <c r="TE63" s="12"/>
      <c r="TF63" s="12"/>
      <c r="TG63" s="12"/>
      <c r="TH63" s="12"/>
      <c r="TI63" s="12"/>
      <c r="TJ63" s="12"/>
      <c r="TK63" s="12"/>
      <c r="TL63" s="12"/>
      <c r="TM63" s="12"/>
      <c r="TN63" s="12"/>
      <c r="TO63" s="12"/>
      <c r="TP63" s="12"/>
      <c r="TQ63" s="12"/>
      <c r="TR63" s="12"/>
      <c r="TS63" s="12"/>
      <c r="TT63" s="12"/>
      <c r="TU63" s="12"/>
      <c r="TV63" s="12"/>
      <c r="TW63" s="12"/>
      <c r="TX63" s="12"/>
      <c r="TY63" s="12"/>
      <c r="TZ63" s="12"/>
      <c r="UA63" s="12"/>
      <c r="UB63" s="12"/>
      <c r="UC63" s="12"/>
      <c r="UD63" s="12"/>
      <c r="UE63" s="12"/>
      <c r="UF63" s="12"/>
      <c r="UG63" s="12"/>
      <c r="UH63" s="12"/>
      <c r="UI63" s="12"/>
      <c r="UJ63" s="12"/>
      <c r="UK63" s="12"/>
      <c r="UL63" s="12"/>
      <c r="UM63" s="12"/>
      <c r="UN63" s="12"/>
      <c r="UO63" s="12"/>
      <c r="UP63" s="12"/>
      <c r="UQ63" s="12"/>
      <c r="UR63" s="12"/>
      <c r="US63" s="12"/>
      <c r="UT63" s="12"/>
      <c r="UU63" s="12"/>
      <c r="UV63" s="12"/>
      <c r="UW63" s="12"/>
      <c r="UX63" s="12"/>
      <c r="UY63" s="12"/>
      <c r="UZ63" s="12"/>
      <c r="VA63" s="12"/>
      <c r="VB63" s="12"/>
      <c r="VC63" s="12"/>
      <c r="VD63" s="12"/>
      <c r="VE63" s="12"/>
      <c r="VF63" s="12"/>
      <c r="VG63" s="12"/>
      <c r="VH63" s="12"/>
      <c r="VI63" s="12"/>
      <c r="VJ63" s="12"/>
      <c r="VK63" s="12"/>
      <c r="VL63" s="12"/>
      <c r="VM63" s="12"/>
      <c r="VN63" s="12"/>
      <c r="VO63" s="12"/>
      <c r="VP63" s="12"/>
      <c r="VQ63" s="12"/>
      <c r="VR63" s="12"/>
      <c r="VS63" s="12"/>
      <c r="VT63" s="12"/>
      <c r="VU63" s="12"/>
      <c r="VV63" s="12"/>
      <c r="VW63" s="12"/>
      <c r="VX63" s="12"/>
      <c r="VY63" s="12"/>
      <c r="VZ63" s="12"/>
      <c r="WA63" s="12"/>
      <c r="WB63" s="12"/>
      <c r="WC63" s="12"/>
      <c r="WD63" s="12"/>
      <c r="WE63" s="12"/>
      <c r="WF63" s="12"/>
      <c r="WG63" s="12"/>
      <c r="WH63" s="12"/>
      <c r="WI63" s="12"/>
      <c r="WJ63" s="12"/>
      <c r="WK63" s="12"/>
      <c r="WL63" s="12"/>
      <c r="WM63" s="12"/>
      <c r="WN63" s="12"/>
      <c r="WO63" s="12"/>
      <c r="WP63" s="12"/>
      <c r="WQ63" s="12"/>
      <c r="WR63" s="12"/>
      <c r="WS63" s="12"/>
      <c r="WT63" s="12"/>
      <c r="WU63" s="12"/>
      <c r="WV63" s="12"/>
      <c r="WW63" s="12"/>
      <c r="WX63" s="12"/>
      <c r="WY63" s="12"/>
      <c r="WZ63" s="12"/>
      <c r="XA63" s="12"/>
      <c r="XB63" s="12"/>
      <c r="XC63" s="12"/>
      <c r="XD63" s="12"/>
      <c r="XE63" s="12"/>
      <c r="XF63" s="12"/>
      <c r="XG63" s="12"/>
      <c r="XH63" s="12"/>
      <c r="XI63" s="12"/>
      <c r="XJ63" s="12"/>
      <c r="XK63" s="12"/>
      <c r="XL63" s="12"/>
      <c r="XM63" s="12"/>
      <c r="XN63" s="12"/>
      <c r="XO63" s="12"/>
      <c r="XP63" s="12"/>
      <c r="XQ63" s="12"/>
      <c r="XR63" s="12"/>
      <c r="XS63" s="12"/>
      <c r="XT63" s="12"/>
      <c r="XU63" s="12"/>
      <c r="XV63" s="12"/>
      <c r="XW63" s="12"/>
      <c r="XX63" s="12"/>
      <c r="XY63" s="12"/>
      <c r="XZ63" s="12"/>
      <c r="YA63" s="12"/>
      <c r="YB63" s="12"/>
      <c r="YC63" s="12"/>
      <c r="YD63" s="12"/>
      <c r="YE63" s="12"/>
      <c r="YF63" s="12"/>
      <c r="YG63" s="12"/>
      <c r="YH63" s="12"/>
      <c r="YI63" s="12"/>
      <c r="YJ63" s="12"/>
      <c r="YK63" s="12"/>
      <c r="YL63" s="12"/>
      <c r="YM63" s="12"/>
      <c r="YN63" s="12"/>
      <c r="YO63" s="12"/>
      <c r="YP63" s="12"/>
      <c r="YQ63" s="12"/>
      <c r="YR63" s="12"/>
      <c r="YS63" s="12"/>
      <c r="YT63" s="12"/>
      <c r="YU63" s="12"/>
      <c r="YV63" s="12"/>
      <c r="YW63" s="12"/>
      <c r="YX63" s="12"/>
      <c r="YY63" s="12"/>
      <c r="YZ63" s="12"/>
      <c r="ZA63" s="12"/>
      <c r="ZB63" s="12"/>
      <c r="ZC63" s="12"/>
      <c r="ZD63" s="12"/>
      <c r="ZE63" s="12"/>
      <c r="ZF63" s="12"/>
      <c r="ZG63" s="12"/>
      <c r="ZH63" s="12"/>
      <c r="ZI63" s="12"/>
      <c r="ZJ63" s="12"/>
      <c r="ZK63" s="12"/>
      <c r="ZL63" s="12"/>
      <c r="ZM63" s="12"/>
      <c r="ZN63" s="12"/>
      <c r="ZO63" s="12"/>
      <c r="ZP63" s="12"/>
      <c r="ZQ63" s="12"/>
      <c r="ZR63" s="12"/>
      <c r="ZS63" s="12"/>
      <c r="ZT63" s="12"/>
      <c r="ZU63" s="12"/>
      <c r="ZV63" s="12"/>
      <c r="ZW63" s="12"/>
      <c r="ZX63" s="12"/>
      <c r="ZY63" s="12"/>
      <c r="ZZ63" s="12"/>
      <c r="AAA63" s="12"/>
      <c r="AAB63" s="12"/>
      <c r="AAC63" s="12"/>
      <c r="AAD63" s="12"/>
      <c r="AAE63" s="12"/>
      <c r="AAF63" s="12"/>
      <c r="AAG63" s="12"/>
      <c r="AAH63" s="12"/>
      <c r="AAI63" s="12"/>
      <c r="AAJ63" s="12"/>
      <c r="AAK63" s="12"/>
      <c r="AAL63" s="12"/>
      <c r="AAM63" s="12"/>
      <c r="AAN63" s="12"/>
      <c r="AAO63" s="12"/>
      <c r="AAP63" s="12"/>
      <c r="AAQ63" s="12"/>
      <c r="AAR63" s="12"/>
      <c r="AAS63" s="12"/>
      <c r="AAT63" s="12"/>
      <c r="AAU63" s="12"/>
      <c r="AAV63" s="12"/>
      <c r="AAW63" s="12"/>
      <c r="AAX63" s="12"/>
      <c r="AAY63" s="12"/>
      <c r="AAZ63" s="12"/>
      <c r="ABA63" s="12"/>
      <c r="ABB63" s="12"/>
      <c r="ABC63" s="12"/>
      <c r="ABD63" s="12"/>
      <c r="ABE63" s="12"/>
      <c r="ABF63" s="12"/>
      <c r="ABG63" s="12"/>
      <c r="ABH63" s="12"/>
      <c r="ABI63" s="12"/>
      <c r="ABJ63" s="12"/>
      <c r="ABK63" s="12"/>
      <c r="ABL63" s="12"/>
      <c r="ABM63" s="12"/>
      <c r="ABN63" s="12"/>
      <c r="ABO63" s="12"/>
      <c r="ABP63" s="12"/>
      <c r="ABQ63" s="12"/>
      <c r="ABR63" s="12"/>
      <c r="ABS63" s="12"/>
      <c r="ABT63" s="12"/>
      <c r="ABU63" s="12"/>
      <c r="ABV63" s="12"/>
      <c r="ABW63" s="12"/>
      <c r="ABX63" s="12"/>
      <c r="ABY63" s="12"/>
      <c r="ABZ63" s="12"/>
      <c r="ACA63" s="12"/>
      <c r="ACB63" s="12"/>
      <c r="ACC63" s="12"/>
      <c r="ACD63" s="12"/>
      <c r="ACE63" s="12"/>
      <c r="ACF63" s="12"/>
      <c r="ACG63" s="12"/>
      <c r="ACH63" s="12"/>
      <c r="ACI63" s="12"/>
      <c r="ACJ63" s="12"/>
      <c r="ACK63" s="12"/>
      <c r="ACL63" s="12"/>
      <c r="ACM63" s="12"/>
      <c r="ACN63" s="12"/>
      <c r="ACO63" s="12"/>
      <c r="ACP63" s="12"/>
      <c r="ACQ63" s="12"/>
      <c r="ACR63" s="12"/>
      <c r="ACS63" s="12"/>
      <c r="ACT63" s="12"/>
      <c r="ACU63" s="12"/>
      <c r="ACV63" s="12"/>
      <c r="ACW63" s="12"/>
      <c r="ACX63" s="12"/>
      <c r="ACY63" s="12"/>
      <c r="ACZ63" s="12"/>
      <c r="ADA63" s="12"/>
      <c r="ADB63" s="12"/>
      <c r="ADC63" s="12"/>
      <c r="ADD63" s="12"/>
      <c r="ADE63" s="12"/>
      <c r="ADF63" s="12"/>
      <c r="ADG63" s="12"/>
      <c r="ADH63" s="12"/>
      <c r="ADI63" s="12"/>
      <c r="ADJ63" s="12"/>
      <c r="ADK63" s="12"/>
      <c r="ADL63" s="12"/>
      <c r="ADM63" s="12"/>
      <c r="ADN63" s="12"/>
      <c r="ADO63" s="12"/>
      <c r="ADP63" s="12"/>
      <c r="ADQ63" s="12"/>
      <c r="ADR63" s="12"/>
      <c r="ADS63" s="12"/>
      <c r="ADT63" s="12"/>
      <c r="ADU63" s="12"/>
      <c r="ADV63" s="12"/>
      <c r="ADW63" s="12"/>
      <c r="ADX63" s="12"/>
      <c r="ADY63" s="12"/>
      <c r="ADZ63" s="12"/>
      <c r="AEA63" s="12"/>
      <c r="AEB63" s="12"/>
      <c r="AEC63" s="12"/>
      <c r="AED63" s="12"/>
      <c r="AEE63" s="12"/>
      <c r="AEF63" s="12"/>
      <c r="AEG63" s="12"/>
      <c r="AEH63" s="12"/>
      <c r="AEI63" s="12"/>
      <c r="AEJ63" s="12"/>
      <c r="AEK63" s="12"/>
      <c r="AEL63" s="12"/>
      <c r="AEM63" s="12"/>
      <c r="AEN63" s="12"/>
      <c r="AEO63" s="12"/>
      <c r="AEP63" s="12"/>
      <c r="AEQ63" s="12"/>
      <c r="AER63" s="12"/>
      <c r="AES63" s="12"/>
      <c r="AET63" s="12"/>
      <c r="AEU63" s="12"/>
      <c r="AEV63" s="12"/>
    </row>
    <row r="64" spans="1:828" s="27" customFormat="1" ht="18" x14ac:dyDescent="0.2">
      <c r="A64" s="61"/>
      <c r="D64" s="29"/>
      <c r="E64" s="23"/>
      <c r="F64" s="23"/>
      <c r="G64" s="23"/>
      <c r="H64" s="30"/>
      <c r="I64" s="23" t="s">
        <v>59</v>
      </c>
      <c r="J64" s="29">
        <v>866</v>
      </c>
      <c r="K64" s="30"/>
      <c r="L64" s="23"/>
      <c r="M64" s="29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2"/>
      <c r="FJ64" s="12"/>
      <c r="FK64" s="12"/>
      <c r="FL64" s="12"/>
      <c r="FM64" s="12"/>
      <c r="FN64" s="12"/>
      <c r="FO64" s="12"/>
      <c r="FP64" s="12"/>
      <c r="FQ64" s="12"/>
      <c r="FR64" s="12"/>
      <c r="FS64" s="12"/>
      <c r="FT64" s="12"/>
      <c r="FU64" s="12"/>
      <c r="FV64" s="12"/>
      <c r="FW64" s="12"/>
      <c r="FX64" s="12"/>
      <c r="FY64" s="12"/>
      <c r="FZ64" s="12"/>
      <c r="GA64" s="12"/>
      <c r="GB64" s="12"/>
      <c r="GC64" s="12"/>
      <c r="GD64" s="12"/>
      <c r="GE64" s="12"/>
      <c r="GF64" s="12"/>
      <c r="GG64" s="12"/>
      <c r="GH64" s="12"/>
      <c r="GI64" s="12"/>
      <c r="GJ64" s="12"/>
      <c r="GK64" s="12"/>
      <c r="GL64" s="12"/>
      <c r="GM64" s="12"/>
      <c r="GN64" s="12"/>
      <c r="GO64" s="12"/>
      <c r="GP64" s="12"/>
      <c r="GQ64" s="12"/>
      <c r="GR64" s="12"/>
      <c r="GS64" s="12"/>
      <c r="GT64" s="12"/>
      <c r="GU64" s="12"/>
      <c r="GV64" s="12"/>
      <c r="GW64" s="12"/>
      <c r="GX64" s="12"/>
      <c r="GY64" s="12"/>
      <c r="GZ64" s="12"/>
      <c r="HA64" s="12"/>
      <c r="HB64" s="12"/>
      <c r="HC64" s="12"/>
      <c r="HD64" s="12"/>
      <c r="HE64" s="12"/>
      <c r="HF64" s="12"/>
      <c r="HG64" s="12"/>
      <c r="HH64" s="12"/>
      <c r="HI64" s="12"/>
      <c r="HJ64" s="12"/>
      <c r="HK64" s="12"/>
      <c r="HL64" s="12"/>
      <c r="HM64" s="12"/>
      <c r="HN64" s="12"/>
      <c r="HO64" s="12"/>
      <c r="HP64" s="12"/>
      <c r="HQ64" s="12"/>
      <c r="HR64" s="12"/>
      <c r="HS64" s="12"/>
      <c r="HT64" s="12"/>
      <c r="HU64" s="12"/>
      <c r="HV64" s="12"/>
      <c r="HW64" s="12"/>
      <c r="HX64" s="12"/>
      <c r="HY64" s="12"/>
      <c r="HZ64" s="12"/>
      <c r="IA64" s="12"/>
      <c r="IB64" s="12"/>
      <c r="IC64" s="12"/>
      <c r="ID64" s="12"/>
      <c r="IE64" s="12"/>
      <c r="IF64" s="12"/>
      <c r="IG64" s="12"/>
      <c r="IH64" s="12"/>
      <c r="II64" s="12"/>
      <c r="IJ64" s="12"/>
      <c r="IK64" s="12"/>
      <c r="IL64" s="12"/>
      <c r="IM64" s="12"/>
      <c r="IN64" s="12"/>
      <c r="IO64" s="12"/>
      <c r="IP64" s="12"/>
      <c r="IQ64" s="12"/>
      <c r="IR64" s="12"/>
      <c r="IS64" s="12"/>
      <c r="IT64" s="12"/>
      <c r="IU64" s="12"/>
      <c r="IV64" s="12"/>
      <c r="IW64" s="12"/>
      <c r="IX64" s="12"/>
      <c r="IY64" s="12"/>
      <c r="IZ64" s="12"/>
      <c r="JA64" s="12"/>
      <c r="JB64" s="12"/>
      <c r="JC64" s="12"/>
      <c r="JD64" s="12"/>
      <c r="JE64" s="12"/>
      <c r="JF64" s="12"/>
      <c r="JG64" s="12"/>
      <c r="JH64" s="12"/>
      <c r="JI64" s="12"/>
      <c r="JJ64" s="12"/>
      <c r="JK64" s="12"/>
      <c r="JL64" s="12"/>
      <c r="JM64" s="12"/>
      <c r="JN64" s="12"/>
      <c r="JO64" s="12"/>
      <c r="JP64" s="12"/>
      <c r="JQ64" s="12"/>
      <c r="JR64" s="12"/>
      <c r="JS64" s="12"/>
      <c r="JT64" s="12"/>
      <c r="JU64" s="12"/>
      <c r="JV64" s="12"/>
      <c r="JW64" s="12"/>
      <c r="JX64" s="12"/>
      <c r="JY64" s="12"/>
      <c r="JZ64" s="12"/>
      <c r="KA64" s="12"/>
      <c r="KB64" s="12"/>
      <c r="KC64" s="12"/>
      <c r="KD64" s="12"/>
      <c r="KE64" s="12"/>
      <c r="KF64" s="12"/>
      <c r="KG64" s="12"/>
      <c r="KH64" s="12"/>
      <c r="KI64" s="12"/>
      <c r="KJ64" s="12"/>
      <c r="KK64" s="12"/>
      <c r="KL64" s="12"/>
      <c r="KM64" s="12"/>
      <c r="KN64" s="12"/>
      <c r="KO64" s="12"/>
      <c r="KP64" s="12"/>
      <c r="KQ64" s="12"/>
      <c r="KR64" s="12"/>
      <c r="KS64" s="12"/>
      <c r="KT64" s="12"/>
      <c r="KU64" s="12"/>
      <c r="KV64" s="12"/>
      <c r="KW64" s="12"/>
      <c r="KX64" s="12"/>
      <c r="KY64" s="12"/>
      <c r="KZ64" s="12"/>
      <c r="LA64" s="12"/>
      <c r="LB64" s="12"/>
      <c r="LC64" s="12"/>
      <c r="LD64" s="12"/>
      <c r="LE64" s="12"/>
      <c r="LF64" s="12"/>
      <c r="LG64" s="12"/>
      <c r="LH64" s="12"/>
      <c r="LI64" s="12"/>
      <c r="LJ64" s="12"/>
      <c r="LK64" s="12"/>
      <c r="LL64" s="12"/>
      <c r="LM64" s="12"/>
      <c r="LN64" s="12"/>
      <c r="LO64" s="12"/>
      <c r="LP64" s="12"/>
      <c r="LQ64" s="12"/>
      <c r="LR64" s="12"/>
      <c r="LS64" s="12"/>
      <c r="LT64" s="12"/>
      <c r="LU64" s="12"/>
      <c r="LV64" s="12"/>
      <c r="LW64" s="12"/>
      <c r="LX64" s="12"/>
      <c r="LY64" s="12"/>
      <c r="LZ64" s="12"/>
      <c r="MA64" s="12"/>
      <c r="MB64" s="12"/>
      <c r="MC64" s="12"/>
      <c r="MD64" s="12"/>
      <c r="ME64" s="12"/>
      <c r="MF64" s="12"/>
      <c r="MG64" s="12"/>
      <c r="MH64" s="12"/>
      <c r="MI64" s="12"/>
      <c r="MJ64" s="12"/>
      <c r="MK64" s="12"/>
      <c r="ML64" s="12"/>
      <c r="MM64" s="12"/>
      <c r="MN64" s="12"/>
      <c r="MO64" s="12"/>
      <c r="MP64" s="12"/>
      <c r="MQ64" s="12"/>
      <c r="MR64" s="12"/>
      <c r="MS64" s="12"/>
      <c r="MT64" s="12"/>
      <c r="MU64" s="12"/>
      <c r="MV64" s="12"/>
      <c r="MW64" s="12"/>
      <c r="MX64" s="12"/>
      <c r="MY64" s="12"/>
      <c r="MZ64" s="12"/>
      <c r="NA64" s="12"/>
      <c r="NB64" s="12"/>
      <c r="NC64" s="12"/>
      <c r="ND64" s="12"/>
      <c r="NE64" s="12"/>
      <c r="NF64" s="12"/>
      <c r="NG64" s="12"/>
      <c r="NH64" s="12"/>
      <c r="NI64" s="12"/>
      <c r="NJ64" s="12"/>
      <c r="NK64" s="12"/>
      <c r="NL64" s="12"/>
      <c r="NM64" s="12"/>
      <c r="NN64" s="12"/>
      <c r="NO64" s="12"/>
      <c r="NP64" s="12"/>
      <c r="NQ64" s="12"/>
      <c r="NR64" s="12"/>
      <c r="NS64" s="12"/>
      <c r="NT64" s="12"/>
      <c r="NU64" s="12"/>
      <c r="NV64" s="12"/>
      <c r="NW64" s="12"/>
      <c r="NX64" s="12"/>
      <c r="NY64" s="12"/>
      <c r="NZ64" s="12"/>
      <c r="OA64" s="12"/>
      <c r="OB64" s="12"/>
      <c r="OC64" s="12"/>
      <c r="OD64" s="12"/>
      <c r="OE64" s="12"/>
      <c r="OF64" s="12"/>
      <c r="OG64" s="12"/>
      <c r="OH64" s="12"/>
      <c r="OI64" s="12"/>
      <c r="OJ64" s="12"/>
      <c r="OK64" s="12"/>
      <c r="OL64" s="12"/>
      <c r="OM64" s="12"/>
      <c r="ON64" s="12"/>
      <c r="OO64" s="12"/>
      <c r="OP64" s="12"/>
      <c r="OQ64" s="12"/>
      <c r="OR64" s="12"/>
      <c r="OS64" s="12"/>
      <c r="OT64" s="12"/>
      <c r="OU64" s="12"/>
      <c r="OV64" s="12"/>
      <c r="OW64" s="12"/>
      <c r="OX64" s="12"/>
      <c r="OY64" s="12"/>
      <c r="OZ64" s="12"/>
      <c r="PA64" s="12"/>
      <c r="PB64" s="12"/>
      <c r="PC64" s="12"/>
      <c r="PD64" s="12"/>
      <c r="PE64" s="12"/>
      <c r="PF64" s="12"/>
      <c r="PG64" s="12"/>
      <c r="PH64" s="12"/>
      <c r="PI64" s="12"/>
      <c r="PJ64" s="12"/>
      <c r="PK64" s="12"/>
      <c r="PL64" s="12"/>
      <c r="PM64" s="12"/>
      <c r="PN64" s="12"/>
      <c r="PO64" s="12"/>
      <c r="PP64" s="12"/>
      <c r="PQ64" s="12"/>
      <c r="PR64" s="12"/>
      <c r="PS64" s="12"/>
      <c r="PT64" s="12"/>
      <c r="PU64" s="12"/>
      <c r="PV64" s="12"/>
      <c r="PW64" s="12"/>
      <c r="PX64" s="12"/>
      <c r="PY64" s="12"/>
      <c r="PZ64" s="12"/>
      <c r="QA64" s="12"/>
      <c r="QB64" s="12"/>
      <c r="QC64" s="12"/>
      <c r="QD64" s="12"/>
      <c r="QE64" s="12"/>
      <c r="QF64" s="12"/>
      <c r="QG64" s="12"/>
      <c r="QH64" s="12"/>
      <c r="QI64" s="12"/>
      <c r="QJ64" s="12"/>
      <c r="QK64" s="12"/>
      <c r="QL64" s="12"/>
      <c r="QM64" s="12"/>
      <c r="QN64" s="12"/>
      <c r="QO64" s="12"/>
      <c r="QP64" s="12"/>
      <c r="QQ64" s="12"/>
      <c r="QR64" s="12"/>
      <c r="QS64" s="12"/>
      <c r="QT64" s="12"/>
      <c r="QU64" s="12"/>
      <c r="QV64" s="12"/>
      <c r="QW64" s="12"/>
      <c r="QX64" s="12"/>
      <c r="QY64" s="12"/>
      <c r="QZ64" s="12"/>
      <c r="RA64" s="12"/>
      <c r="RB64" s="12"/>
      <c r="RC64" s="12"/>
      <c r="RD64" s="12"/>
      <c r="RE64" s="12"/>
      <c r="RF64" s="12"/>
      <c r="RG64" s="12"/>
      <c r="RH64" s="12"/>
      <c r="RI64" s="12"/>
      <c r="RJ64" s="12"/>
      <c r="RK64" s="12"/>
      <c r="RL64" s="12"/>
      <c r="RM64" s="12"/>
      <c r="RN64" s="12"/>
      <c r="RO64" s="12"/>
      <c r="RP64" s="12"/>
      <c r="RQ64" s="12"/>
      <c r="RR64" s="12"/>
      <c r="RS64" s="12"/>
      <c r="RT64" s="12"/>
      <c r="RU64" s="12"/>
      <c r="RV64" s="12"/>
      <c r="RW64" s="12"/>
      <c r="RX64" s="12"/>
      <c r="RY64" s="12"/>
      <c r="RZ64" s="12"/>
      <c r="SA64" s="12"/>
      <c r="SB64" s="12"/>
      <c r="SC64" s="12"/>
      <c r="SD64" s="12"/>
      <c r="SE64" s="12"/>
      <c r="SF64" s="12"/>
      <c r="SG64" s="12"/>
      <c r="SH64" s="12"/>
      <c r="SI64" s="12"/>
      <c r="SJ64" s="12"/>
      <c r="SK64" s="12"/>
      <c r="SL64" s="12"/>
      <c r="SM64" s="12"/>
      <c r="SN64" s="12"/>
      <c r="SO64" s="12"/>
      <c r="SP64" s="12"/>
      <c r="SQ64" s="12"/>
      <c r="SR64" s="12"/>
      <c r="SS64" s="12"/>
      <c r="ST64" s="12"/>
      <c r="SU64" s="12"/>
      <c r="SV64" s="12"/>
      <c r="SW64" s="12"/>
      <c r="SX64" s="12"/>
      <c r="SY64" s="12"/>
      <c r="SZ64" s="12"/>
      <c r="TA64" s="12"/>
      <c r="TB64" s="12"/>
      <c r="TC64" s="12"/>
      <c r="TD64" s="12"/>
      <c r="TE64" s="12"/>
      <c r="TF64" s="12"/>
      <c r="TG64" s="12"/>
      <c r="TH64" s="12"/>
      <c r="TI64" s="12"/>
      <c r="TJ64" s="12"/>
      <c r="TK64" s="12"/>
      <c r="TL64" s="12"/>
      <c r="TM64" s="12"/>
      <c r="TN64" s="12"/>
      <c r="TO64" s="12"/>
      <c r="TP64" s="12"/>
      <c r="TQ64" s="12"/>
      <c r="TR64" s="12"/>
      <c r="TS64" s="12"/>
      <c r="TT64" s="12"/>
      <c r="TU64" s="12"/>
      <c r="TV64" s="12"/>
      <c r="TW64" s="12"/>
      <c r="TX64" s="12"/>
      <c r="TY64" s="12"/>
      <c r="TZ64" s="12"/>
      <c r="UA64" s="12"/>
      <c r="UB64" s="12"/>
      <c r="UC64" s="12"/>
      <c r="UD64" s="12"/>
      <c r="UE64" s="12"/>
      <c r="UF64" s="12"/>
      <c r="UG64" s="12"/>
      <c r="UH64" s="12"/>
      <c r="UI64" s="12"/>
      <c r="UJ64" s="12"/>
      <c r="UK64" s="12"/>
      <c r="UL64" s="12"/>
      <c r="UM64" s="12"/>
      <c r="UN64" s="12"/>
      <c r="UO64" s="12"/>
      <c r="UP64" s="12"/>
      <c r="UQ64" s="12"/>
      <c r="UR64" s="12"/>
      <c r="US64" s="12"/>
      <c r="UT64" s="12"/>
      <c r="UU64" s="12"/>
      <c r="UV64" s="12"/>
      <c r="UW64" s="12"/>
      <c r="UX64" s="12"/>
      <c r="UY64" s="12"/>
      <c r="UZ64" s="12"/>
      <c r="VA64" s="12"/>
      <c r="VB64" s="12"/>
      <c r="VC64" s="12"/>
      <c r="VD64" s="12"/>
      <c r="VE64" s="12"/>
      <c r="VF64" s="12"/>
      <c r="VG64" s="12"/>
      <c r="VH64" s="12"/>
      <c r="VI64" s="12"/>
      <c r="VJ64" s="12"/>
      <c r="VK64" s="12"/>
      <c r="VL64" s="12"/>
      <c r="VM64" s="12"/>
      <c r="VN64" s="12"/>
      <c r="VO64" s="12"/>
      <c r="VP64" s="12"/>
      <c r="VQ64" s="12"/>
      <c r="VR64" s="12"/>
      <c r="VS64" s="12"/>
      <c r="VT64" s="12"/>
      <c r="VU64" s="12"/>
      <c r="VV64" s="12"/>
      <c r="VW64" s="12"/>
      <c r="VX64" s="12"/>
      <c r="VY64" s="12"/>
      <c r="VZ64" s="12"/>
      <c r="WA64" s="12"/>
      <c r="WB64" s="12"/>
      <c r="WC64" s="12"/>
      <c r="WD64" s="12"/>
      <c r="WE64" s="12"/>
      <c r="WF64" s="12"/>
      <c r="WG64" s="12"/>
      <c r="WH64" s="12"/>
      <c r="WI64" s="12"/>
      <c r="WJ64" s="12"/>
      <c r="WK64" s="12"/>
      <c r="WL64" s="12"/>
      <c r="WM64" s="12"/>
      <c r="WN64" s="12"/>
      <c r="WO64" s="12"/>
      <c r="WP64" s="12"/>
      <c r="WQ64" s="12"/>
      <c r="WR64" s="12"/>
      <c r="WS64" s="12"/>
      <c r="WT64" s="12"/>
      <c r="WU64" s="12"/>
      <c r="WV64" s="12"/>
      <c r="WW64" s="12"/>
      <c r="WX64" s="12"/>
      <c r="WY64" s="12"/>
      <c r="WZ64" s="12"/>
      <c r="XA64" s="12"/>
      <c r="XB64" s="12"/>
      <c r="XC64" s="12"/>
      <c r="XD64" s="12"/>
      <c r="XE64" s="12"/>
      <c r="XF64" s="12"/>
      <c r="XG64" s="12"/>
      <c r="XH64" s="12"/>
      <c r="XI64" s="12"/>
      <c r="XJ64" s="12"/>
      <c r="XK64" s="12"/>
      <c r="XL64" s="12"/>
      <c r="XM64" s="12"/>
      <c r="XN64" s="12"/>
      <c r="XO64" s="12"/>
      <c r="XP64" s="12"/>
      <c r="XQ64" s="12"/>
      <c r="XR64" s="12"/>
      <c r="XS64" s="12"/>
      <c r="XT64" s="12"/>
      <c r="XU64" s="12"/>
      <c r="XV64" s="12"/>
      <c r="XW64" s="12"/>
      <c r="XX64" s="12"/>
      <c r="XY64" s="12"/>
      <c r="XZ64" s="12"/>
      <c r="YA64" s="12"/>
      <c r="YB64" s="12"/>
      <c r="YC64" s="12"/>
      <c r="YD64" s="12"/>
      <c r="YE64" s="12"/>
      <c r="YF64" s="12"/>
      <c r="YG64" s="12"/>
      <c r="YH64" s="12"/>
      <c r="YI64" s="12"/>
      <c r="YJ64" s="12"/>
      <c r="YK64" s="12"/>
      <c r="YL64" s="12"/>
      <c r="YM64" s="12"/>
      <c r="YN64" s="12"/>
      <c r="YO64" s="12"/>
      <c r="YP64" s="12"/>
      <c r="YQ64" s="12"/>
      <c r="YR64" s="12"/>
      <c r="YS64" s="12"/>
      <c r="YT64" s="12"/>
      <c r="YU64" s="12"/>
      <c r="YV64" s="12"/>
      <c r="YW64" s="12"/>
      <c r="YX64" s="12"/>
      <c r="YY64" s="12"/>
      <c r="YZ64" s="12"/>
      <c r="ZA64" s="12"/>
      <c r="ZB64" s="12"/>
      <c r="ZC64" s="12"/>
      <c r="ZD64" s="12"/>
      <c r="ZE64" s="12"/>
      <c r="ZF64" s="12"/>
      <c r="ZG64" s="12"/>
      <c r="ZH64" s="12"/>
      <c r="ZI64" s="12"/>
      <c r="ZJ64" s="12"/>
      <c r="ZK64" s="12"/>
      <c r="ZL64" s="12"/>
      <c r="ZM64" s="12"/>
      <c r="ZN64" s="12"/>
      <c r="ZO64" s="12"/>
      <c r="ZP64" s="12"/>
      <c r="ZQ64" s="12"/>
      <c r="ZR64" s="12"/>
      <c r="ZS64" s="12"/>
      <c r="ZT64" s="12"/>
      <c r="ZU64" s="12"/>
      <c r="ZV64" s="12"/>
      <c r="ZW64" s="12"/>
      <c r="ZX64" s="12"/>
      <c r="ZY64" s="12"/>
      <c r="ZZ64" s="12"/>
      <c r="AAA64" s="12"/>
      <c r="AAB64" s="12"/>
      <c r="AAC64" s="12"/>
      <c r="AAD64" s="12"/>
      <c r="AAE64" s="12"/>
      <c r="AAF64" s="12"/>
      <c r="AAG64" s="12"/>
      <c r="AAH64" s="12"/>
      <c r="AAI64" s="12"/>
      <c r="AAJ64" s="12"/>
      <c r="AAK64" s="12"/>
      <c r="AAL64" s="12"/>
      <c r="AAM64" s="12"/>
      <c r="AAN64" s="12"/>
      <c r="AAO64" s="12"/>
      <c r="AAP64" s="12"/>
      <c r="AAQ64" s="12"/>
      <c r="AAR64" s="12"/>
      <c r="AAS64" s="12"/>
      <c r="AAT64" s="12"/>
      <c r="AAU64" s="12"/>
      <c r="AAV64" s="12"/>
      <c r="AAW64" s="12"/>
      <c r="AAX64" s="12"/>
      <c r="AAY64" s="12"/>
      <c r="AAZ64" s="12"/>
      <c r="ABA64" s="12"/>
      <c r="ABB64" s="12"/>
      <c r="ABC64" s="12"/>
      <c r="ABD64" s="12"/>
      <c r="ABE64" s="12"/>
      <c r="ABF64" s="12"/>
      <c r="ABG64" s="12"/>
      <c r="ABH64" s="12"/>
      <c r="ABI64" s="12"/>
      <c r="ABJ64" s="12"/>
      <c r="ABK64" s="12"/>
      <c r="ABL64" s="12"/>
      <c r="ABM64" s="12"/>
      <c r="ABN64" s="12"/>
      <c r="ABO64" s="12"/>
      <c r="ABP64" s="12"/>
      <c r="ABQ64" s="12"/>
      <c r="ABR64" s="12"/>
      <c r="ABS64" s="12"/>
      <c r="ABT64" s="12"/>
      <c r="ABU64" s="12"/>
      <c r="ABV64" s="12"/>
      <c r="ABW64" s="12"/>
      <c r="ABX64" s="12"/>
      <c r="ABY64" s="12"/>
      <c r="ABZ64" s="12"/>
      <c r="ACA64" s="12"/>
      <c r="ACB64" s="12"/>
      <c r="ACC64" s="12"/>
      <c r="ACD64" s="12"/>
      <c r="ACE64" s="12"/>
      <c r="ACF64" s="12"/>
      <c r="ACG64" s="12"/>
      <c r="ACH64" s="12"/>
      <c r="ACI64" s="12"/>
      <c r="ACJ64" s="12"/>
      <c r="ACK64" s="12"/>
      <c r="ACL64" s="12"/>
      <c r="ACM64" s="12"/>
      <c r="ACN64" s="12"/>
      <c r="ACO64" s="12"/>
      <c r="ACP64" s="12"/>
      <c r="ACQ64" s="12"/>
      <c r="ACR64" s="12"/>
      <c r="ACS64" s="12"/>
      <c r="ACT64" s="12"/>
      <c r="ACU64" s="12"/>
      <c r="ACV64" s="12"/>
      <c r="ACW64" s="12"/>
      <c r="ACX64" s="12"/>
      <c r="ACY64" s="12"/>
      <c r="ACZ64" s="12"/>
      <c r="ADA64" s="12"/>
      <c r="ADB64" s="12"/>
      <c r="ADC64" s="12"/>
      <c r="ADD64" s="12"/>
      <c r="ADE64" s="12"/>
      <c r="ADF64" s="12"/>
      <c r="ADG64" s="12"/>
      <c r="ADH64" s="12"/>
      <c r="ADI64" s="12"/>
      <c r="ADJ64" s="12"/>
      <c r="ADK64" s="12"/>
      <c r="ADL64" s="12"/>
      <c r="ADM64" s="12"/>
      <c r="ADN64" s="12"/>
      <c r="ADO64" s="12"/>
      <c r="ADP64" s="12"/>
      <c r="ADQ64" s="12"/>
      <c r="ADR64" s="12"/>
      <c r="ADS64" s="12"/>
      <c r="ADT64" s="12"/>
      <c r="ADU64" s="12"/>
      <c r="ADV64" s="12"/>
      <c r="ADW64" s="12"/>
      <c r="ADX64" s="12"/>
      <c r="ADY64" s="12"/>
      <c r="ADZ64" s="12"/>
      <c r="AEA64" s="12"/>
      <c r="AEB64" s="12"/>
      <c r="AEC64" s="12"/>
      <c r="AED64" s="12"/>
      <c r="AEE64" s="12"/>
      <c r="AEF64" s="12"/>
      <c r="AEG64" s="12"/>
      <c r="AEH64" s="12"/>
      <c r="AEI64" s="12"/>
      <c r="AEJ64" s="12"/>
      <c r="AEK64" s="12"/>
      <c r="AEL64" s="12"/>
      <c r="AEM64" s="12"/>
      <c r="AEN64" s="12"/>
      <c r="AEO64" s="12"/>
      <c r="AEP64" s="12"/>
      <c r="AEQ64" s="12"/>
      <c r="AER64" s="12"/>
      <c r="AES64" s="12"/>
      <c r="AET64" s="12"/>
      <c r="AEU64" s="12"/>
      <c r="AEV64" s="12"/>
    </row>
    <row r="65" spans="1:828" s="65" customFormat="1" ht="19" thickBot="1" x14ac:dyDescent="0.25">
      <c r="A65" s="62"/>
      <c r="B65" s="27"/>
      <c r="D65" s="64"/>
      <c r="E65" s="63"/>
      <c r="F65" s="63"/>
      <c r="G65" s="63"/>
      <c r="H65" s="66"/>
      <c r="I65" s="63"/>
      <c r="J65" s="64"/>
      <c r="K65" s="66"/>
      <c r="L65" s="63"/>
      <c r="M65" s="64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2"/>
      <c r="FJ65" s="12"/>
      <c r="FK65" s="12"/>
      <c r="FL65" s="12"/>
      <c r="FM65" s="12"/>
      <c r="FN65" s="12"/>
      <c r="FO65" s="12"/>
      <c r="FP65" s="12"/>
      <c r="FQ65" s="12"/>
      <c r="FR65" s="12"/>
      <c r="FS65" s="12"/>
      <c r="FT65" s="12"/>
      <c r="FU65" s="12"/>
      <c r="FV65" s="12"/>
      <c r="FW65" s="12"/>
      <c r="FX65" s="12"/>
      <c r="FY65" s="12"/>
      <c r="FZ65" s="12"/>
      <c r="GA65" s="12"/>
      <c r="GB65" s="12"/>
      <c r="GC65" s="12"/>
      <c r="GD65" s="12"/>
      <c r="GE65" s="12"/>
      <c r="GF65" s="12"/>
      <c r="GG65" s="12"/>
      <c r="GH65" s="12"/>
      <c r="GI65" s="12"/>
      <c r="GJ65" s="12"/>
      <c r="GK65" s="12"/>
      <c r="GL65" s="12"/>
      <c r="GM65" s="12"/>
      <c r="GN65" s="12"/>
      <c r="GO65" s="12"/>
      <c r="GP65" s="12"/>
      <c r="GQ65" s="12"/>
      <c r="GR65" s="12"/>
      <c r="GS65" s="12"/>
      <c r="GT65" s="12"/>
      <c r="GU65" s="12"/>
      <c r="GV65" s="12"/>
      <c r="GW65" s="12"/>
      <c r="GX65" s="12"/>
      <c r="GY65" s="12"/>
      <c r="GZ65" s="12"/>
      <c r="HA65" s="12"/>
      <c r="HB65" s="12"/>
      <c r="HC65" s="12"/>
      <c r="HD65" s="12"/>
      <c r="HE65" s="12"/>
      <c r="HF65" s="12"/>
      <c r="HG65" s="12"/>
      <c r="HH65" s="12"/>
      <c r="HI65" s="12"/>
      <c r="HJ65" s="12"/>
      <c r="HK65" s="12"/>
      <c r="HL65" s="12"/>
      <c r="HM65" s="12"/>
      <c r="HN65" s="12"/>
      <c r="HO65" s="12"/>
      <c r="HP65" s="12"/>
      <c r="HQ65" s="12"/>
      <c r="HR65" s="12"/>
      <c r="HS65" s="12"/>
      <c r="HT65" s="12"/>
      <c r="HU65" s="12"/>
      <c r="HV65" s="12"/>
      <c r="HW65" s="12"/>
      <c r="HX65" s="12"/>
      <c r="HY65" s="12"/>
      <c r="HZ65" s="12"/>
      <c r="IA65" s="12"/>
      <c r="IB65" s="12"/>
      <c r="IC65" s="12"/>
      <c r="ID65" s="12"/>
      <c r="IE65" s="12"/>
      <c r="IF65" s="12"/>
      <c r="IG65" s="12"/>
      <c r="IH65" s="12"/>
      <c r="II65" s="12"/>
      <c r="IJ65" s="12"/>
      <c r="IK65" s="12"/>
      <c r="IL65" s="12"/>
      <c r="IM65" s="12"/>
      <c r="IN65" s="12"/>
      <c r="IO65" s="12"/>
      <c r="IP65" s="12"/>
      <c r="IQ65" s="12"/>
      <c r="IR65" s="12"/>
      <c r="IS65" s="12"/>
      <c r="IT65" s="12"/>
      <c r="IU65" s="12"/>
      <c r="IV65" s="12"/>
      <c r="IW65" s="12"/>
      <c r="IX65" s="12"/>
      <c r="IY65" s="12"/>
      <c r="IZ65" s="12"/>
      <c r="JA65" s="12"/>
      <c r="JB65" s="12"/>
      <c r="JC65" s="12"/>
      <c r="JD65" s="12"/>
      <c r="JE65" s="12"/>
      <c r="JF65" s="12"/>
      <c r="JG65" s="12"/>
      <c r="JH65" s="12"/>
      <c r="JI65" s="12"/>
      <c r="JJ65" s="12"/>
      <c r="JK65" s="12"/>
      <c r="JL65" s="12"/>
      <c r="JM65" s="12"/>
      <c r="JN65" s="12"/>
      <c r="JO65" s="12"/>
      <c r="JP65" s="12"/>
      <c r="JQ65" s="12"/>
      <c r="JR65" s="12"/>
      <c r="JS65" s="12"/>
      <c r="JT65" s="12"/>
      <c r="JU65" s="12"/>
      <c r="JV65" s="12"/>
      <c r="JW65" s="12"/>
      <c r="JX65" s="12"/>
      <c r="JY65" s="12"/>
      <c r="JZ65" s="12"/>
      <c r="KA65" s="12"/>
      <c r="KB65" s="12"/>
      <c r="KC65" s="12"/>
      <c r="KD65" s="12"/>
      <c r="KE65" s="12"/>
      <c r="KF65" s="12"/>
      <c r="KG65" s="12"/>
      <c r="KH65" s="12"/>
      <c r="KI65" s="12"/>
      <c r="KJ65" s="12"/>
      <c r="KK65" s="12"/>
      <c r="KL65" s="12"/>
      <c r="KM65" s="12"/>
      <c r="KN65" s="12"/>
      <c r="KO65" s="12"/>
      <c r="KP65" s="12"/>
      <c r="KQ65" s="12"/>
      <c r="KR65" s="12"/>
      <c r="KS65" s="12"/>
      <c r="KT65" s="12"/>
      <c r="KU65" s="12"/>
      <c r="KV65" s="12"/>
      <c r="KW65" s="12"/>
      <c r="KX65" s="12"/>
      <c r="KY65" s="12"/>
      <c r="KZ65" s="12"/>
      <c r="LA65" s="12"/>
      <c r="LB65" s="12"/>
      <c r="LC65" s="12"/>
      <c r="LD65" s="12"/>
      <c r="LE65" s="12"/>
      <c r="LF65" s="12"/>
      <c r="LG65" s="12"/>
      <c r="LH65" s="12"/>
      <c r="LI65" s="12"/>
      <c r="LJ65" s="12"/>
      <c r="LK65" s="12"/>
      <c r="LL65" s="12"/>
      <c r="LM65" s="12"/>
      <c r="LN65" s="12"/>
      <c r="LO65" s="12"/>
      <c r="LP65" s="12"/>
      <c r="LQ65" s="12"/>
      <c r="LR65" s="12"/>
      <c r="LS65" s="12"/>
      <c r="LT65" s="12"/>
      <c r="LU65" s="12"/>
      <c r="LV65" s="12"/>
      <c r="LW65" s="12"/>
      <c r="LX65" s="12"/>
      <c r="LY65" s="12"/>
      <c r="LZ65" s="12"/>
      <c r="MA65" s="12"/>
      <c r="MB65" s="12"/>
      <c r="MC65" s="12"/>
      <c r="MD65" s="12"/>
      <c r="ME65" s="12"/>
      <c r="MF65" s="12"/>
      <c r="MG65" s="12"/>
      <c r="MH65" s="12"/>
      <c r="MI65" s="12"/>
      <c r="MJ65" s="12"/>
      <c r="MK65" s="12"/>
      <c r="ML65" s="12"/>
      <c r="MM65" s="12"/>
      <c r="MN65" s="12"/>
      <c r="MO65" s="12"/>
      <c r="MP65" s="12"/>
      <c r="MQ65" s="12"/>
      <c r="MR65" s="12"/>
      <c r="MS65" s="12"/>
      <c r="MT65" s="12"/>
      <c r="MU65" s="12"/>
      <c r="MV65" s="12"/>
      <c r="MW65" s="12"/>
      <c r="MX65" s="12"/>
      <c r="MY65" s="12"/>
      <c r="MZ65" s="12"/>
      <c r="NA65" s="12"/>
      <c r="NB65" s="12"/>
      <c r="NC65" s="12"/>
      <c r="ND65" s="12"/>
      <c r="NE65" s="12"/>
      <c r="NF65" s="12"/>
      <c r="NG65" s="12"/>
      <c r="NH65" s="12"/>
      <c r="NI65" s="12"/>
      <c r="NJ65" s="12"/>
      <c r="NK65" s="12"/>
      <c r="NL65" s="12"/>
      <c r="NM65" s="12"/>
      <c r="NN65" s="12"/>
      <c r="NO65" s="12"/>
      <c r="NP65" s="12"/>
      <c r="NQ65" s="12"/>
      <c r="NR65" s="12"/>
      <c r="NS65" s="12"/>
      <c r="NT65" s="12"/>
      <c r="NU65" s="12"/>
      <c r="NV65" s="12"/>
      <c r="NW65" s="12"/>
      <c r="NX65" s="12"/>
      <c r="NY65" s="12"/>
      <c r="NZ65" s="12"/>
      <c r="OA65" s="12"/>
      <c r="OB65" s="12"/>
      <c r="OC65" s="12"/>
      <c r="OD65" s="12"/>
      <c r="OE65" s="12"/>
      <c r="OF65" s="12"/>
      <c r="OG65" s="12"/>
      <c r="OH65" s="12"/>
      <c r="OI65" s="12"/>
      <c r="OJ65" s="12"/>
      <c r="OK65" s="12"/>
      <c r="OL65" s="12"/>
      <c r="OM65" s="12"/>
      <c r="ON65" s="12"/>
      <c r="OO65" s="12"/>
      <c r="OP65" s="12"/>
      <c r="OQ65" s="12"/>
      <c r="OR65" s="12"/>
      <c r="OS65" s="12"/>
      <c r="OT65" s="12"/>
      <c r="OU65" s="12"/>
      <c r="OV65" s="12"/>
      <c r="OW65" s="12"/>
      <c r="OX65" s="12"/>
      <c r="OY65" s="12"/>
      <c r="OZ65" s="12"/>
      <c r="PA65" s="12"/>
      <c r="PB65" s="12"/>
      <c r="PC65" s="12"/>
      <c r="PD65" s="12"/>
      <c r="PE65" s="12"/>
      <c r="PF65" s="12"/>
      <c r="PG65" s="12"/>
      <c r="PH65" s="12"/>
      <c r="PI65" s="12"/>
      <c r="PJ65" s="12"/>
      <c r="PK65" s="12"/>
      <c r="PL65" s="12"/>
      <c r="PM65" s="12"/>
      <c r="PN65" s="12"/>
      <c r="PO65" s="12"/>
      <c r="PP65" s="12"/>
      <c r="PQ65" s="12"/>
      <c r="PR65" s="12"/>
      <c r="PS65" s="12"/>
      <c r="PT65" s="12"/>
      <c r="PU65" s="12"/>
      <c r="PV65" s="12"/>
      <c r="PW65" s="12"/>
      <c r="PX65" s="12"/>
      <c r="PY65" s="12"/>
      <c r="PZ65" s="12"/>
      <c r="QA65" s="12"/>
      <c r="QB65" s="12"/>
      <c r="QC65" s="12"/>
      <c r="QD65" s="12"/>
      <c r="QE65" s="12"/>
      <c r="QF65" s="12"/>
      <c r="QG65" s="12"/>
      <c r="QH65" s="12"/>
      <c r="QI65" s="12"/>
      <c r="QJ65" s="12"/>
      <c r="QK65" s="12"/>
      <c r="QL65" s="12"/>
      <c r="QM65" s="12"/>
      <c r="QN65" s="12"/>
      <c r="QO65" s="12"/>
      <c r="QP65" s="12"/>
      <c r="QQ65" s="12"/>
      <c r="QR65" s="12"/>
      <c r="QS65" s="12"/>
      <c r="QT65" s="12"/>
      <c r="QU65" s="12"/>
      <c r="QV65" s="12"/>
      <c r="QW65" s="12"/>
      <c r="QX65" s="12"/>
      <c r="QY65" s="12"/>
      <c r="QZ65" s="12"/>
      <c r="RA65" s="12"/>
      <c r="RB65" s="12"/>
      <c r="RC65" s="12"/>
      <c r="RD65" s="12"/>
      <c r="RE65" s="12"/>
      <c r="RF65" s="12"/>
      <c r="RG65" s="12"/>
      <c r="RH65" s="12"/>
      <c r="RI65" s="12"/>
      <c r="RJ65" s="12"/>
      <c r="RK65" s="12"/>
      <c r="RL65" s="12"/>
      <c r="RM65" s="12"/>
      <c r="RN65" s="12"/>
      <c r="RO65" s="12"/>
      <c r="RP65" s="12"/>
      <c r="RQ65" s="12"/>
      <c r="RR65" s="12"/>
      <c r="RS65" s="12"/>
      <c r="RT65" s="12"/>
      <c r="RU65" s="12"/>
      <c r="RV65" s="12"/>
      <c r="RW65" s="12"/>
      <c r="RX65" s="12"/>
      <c r="RY65" s="12"/>
      <c r="RZ65" s="12"/>
      <c r="SA65" s="12"/>
      <c r="SB65" s="12"/>
      <c r="SC65" s="12"/>
      <c r="SD65" s="12"/>
      <c r="SE65" s="12"/>
      <c r="SF65" s="12"/>
      <c r="SG65" s="12"/>
      <c r="SH65" s="12"/>
      <c r="SI65" s="12"/>
      <c r="SJ65" s="12"/>
      <c r="SK65" s="12"/>
      <c r="SL65" s="12"/>
      <c r="SM65" s="12"/>
      <c r="SN65" s="12"/>
      <c r="SO65" s="12"/>
      <c r="SP65" s="12"/>
      <c r="SQ65" s="12"/>
      <c r="SR65" s="12"/>
      <c r="SS65" s="12"/>
      <c r="ST65" s="12"/>
      <c r="SU65" s="12"/>
      <c r="SV65" s="12"/>
      <c r="SW65" s="12"/>
      <c r="SX65" s="12"/>
      <c r="SY65" s="12"/>
      <c r="SZ65" s="12"/>
      <c r="TA65" s="12"/>
      <c r="TB65" s="12"/>
      <c r="TC65" s="12"/>
      <c r="TD65" s="12"/>
      <c r="TE65" s="12"/>
      <c r="TF65" s="12"/>
      <c r="TG65" s="12"/>
      <c r="TH65" s="12"/>
      <c r="TI65" s="12"/>
      <c r="TJ65" s="12"/>
      <c r="TK65" s="12"/>
      <c r="TL65" s="12"/>
      <c r="TM65" s="12"/>
      <c r="TN65" s="12"/>
      <c r="TO65" s="12"/>
      <c r="TP65" s="12"/>
      <c r="TQ65" s="12"/>
      <c r="TR65" s="12"/>
      <c r="TS65" s="12"/>
      <c r="TT65" s="12"/>
      <c r="TU65" s="12"/>
      <c r="TV65" s="12"/>
      <c r="TW65" s="12"/>
      <c r="TX65" s="12"/>
      <c r="TY65" s="12"/>
      <c r="TZ65" s="12"/>
      <c r="UA65" s="12"/>
      <c r="UB65" s="12"/>
      <c r="UC65" s="12"/>
      <c r="UD65" s="12"/>
      <c r="UE65" s="12"/>
      <c r="UF65" s="12"/>
      <c r="UG65" s="12"/>
      <c r="UH65" s="12"/>
      <c r="UI65" s="12"/>
      <c r="UJ65" s="12"/>
      <c r="UK65" s="12"/>
      <c r="UL65" s="12"/>
      <c r="UM65" s="12"/>
      <c r="UN65" s="12"/>
      <c r="UO65" s="12"/>
      <c r="UP65" s="12"/>
      <c r="UQ65" s="12"/>
      <c r="UR65" s="12"/>
      <c r="US65" s="12"/>
      <c r="UT65" s="12"/>
      <c r="UU65" s="12"/>
      <c r="UV65" s="12"/>
      <c r="UW65" s="12"/>
      <c r="UX65" s="12"/>
      <c r="UY65" s="12"/>
      <c r="UZ65" s="12"/>
      <c r="VA65" s="12"/>
      <c r="VB65" s="12"/>
      <c r="VC65" s="12"/>
      <c r="VD65" s="12"/>
      <c r="VE65" s="12"/>
      <c r="VF65" s="12"/>
      <c r="VG65" s="12"/>
      <c r="VH65" s="12"/>
      <c r="VI65" s="12"/>
      <c r="VJ65" s="12"/>
      <c r="VK65" s="12"/>
      <c r="VL65" s="12"/>
      <c r="VM65" s="12"/>
      <c r="VN65" s="12"/>
      <c r="VO65" s="12"/>
      <c r="VP65" s="12"/>
      <c r="VQ65" s="12"/>
      <c r="VR65" s="12"/>
      <c r="VS65" s="12"/>
      <c r="VT65" s="12"/>
      <c r="VU65" s="12"/>
      <c r="VV65" s="12"/>
      <c r="VW65" s="12"/>
      <c r="VX65" s="12"/>
      <c r="VY65" s="12"/>
      <c r="VZ65" s="12"/>
      <c r="WA65" s="12"/>
      <c r="WB65" s="12"/>
      <c r="WC65" s="12"/>
      <c r="WD65" s="12"/>
      <c r="WE65" s="12"/>
      <c r="WF65" s="12"/>
      <c r="WG65" s="12"/>
      <c r="WH65" s="12"/>
      <c r="WI65" s="12"/>
      <c r="WJ65" s="12"/>
      <c r="WK65" s="12"/>
      <c r="WL65" s="12"/>
      <c r="WM65" s="12"/>
      <c r="WN65" s="12"/>
      <c r="WO65" s="12"/>
      <c r="WP65" s="12"/>
      <c r="WQ65" s="12"/>
      <c r="WR65" s="12"/>
      <c r="WS65" s="12"/>
      <c r="WT65" s="12"/>
      <c r="WU65" s="12"/>
      <c r="WV65" s="12"/>
      <c r="WW65" s="12"/>
      <c r="WX65" s="12"/>
      <c r="WY65" s="12"/>
      <c r="WZ65" s="12"/>
      <c r="XA65" s="12"/>
      <c r="XB65" s="12"/>
      <c r="XC65" s="12"/>
      <c r="XD65" s="12"/>
      <c r="XE65" s="12"/>
      <c r="XF65" s="12"/>
      <c r="XG65" s="12"/>
      <c r="XH65" s="12"/>
      <c r="XI65" s="12"/>
      <c r="XJ65" s="12"/>
      <c r="XK65" s="12"/>
      <c r="XL65" s="12"/>
      <c r="XM65" s="12"/>
      <c r="XN65" s="12"/>
      <c r="XO65" s="12"/>
      <c r="XP65" s="12"/>
      <c r="XQ65" s="12"/>
      <c r="XR65" s="12"/>
      <c r="XS65" s="12"/>
      <c r="XT65" s="12"/>
      <c r="XU65" s="12"/>
      <c r="XV65" s="12"/>
      <c r="XW65" s="12"/>
      <c r="XX65" s="12"/>
      <c r="XY65" s="12"/>
      <c r="XZ65" s="12"/>
      <c r="YA65" s="12"/>
      <c r="YB65" s="12"/>
      <c r="YC65" s="12"/>
      <c r="YD65" s="12"/>
      <c r="YE65" s="12"/>
      <c r="YF65" s="12"/>
      <c r="YG65" s="12"/>
      <c r="YH65" s="12"/>
      <c r="YI65" s="12"/>
      <c r="YJ65" s="12"/>
      <c r="YK65" s="12"/>
      <c r="YL65" s="12"/>
      <c r="YM65" s="12"/>
      <c r="YN65" s="12"/>
      <c r="YO65" s="12"/>
      <c r="YP65" s="12"/>
      <c r="YQ65" s="12"/>
      <c r="YR65" s="12"/>
      <c r="YS65" s="12"/>
      <c r="YT65" s="12"/>
      <c r="YU65" s="12"/>
      <c r="YV65" s="12"/>
      <c r="YW65" s="12"/>
      <c r="YX65" s="12"/>
      <c r="YY65" s="12"/>
      <c r="YZ65" s="12"/>
      <c r="ZA65" s="12"/>
      <c r="ZB65" s="12"/>
      <c r="ZC65" s="12"/>
      <c r="ZD65" s="12"/>
      <c r="ZE65" s="12"/>
      <c r="ZF65" s="12"/>
      <c r="ZG65" s="12"/>
      <c r="ZH65" s="12"/>
      <c r="ZI65" s="12"/>
      <c r="ZJ65" s="12"/>
      <c r="ZK65" s="12"/>
      <c r="ZL65" s="12"/>
      <c r="ZM65" s="12"/>
      <c r="ZN65" s="12"/>
      <c r="ZO65" s="12"/>
      <c r="ZP65" s="12"/>
      <c r="ZQ65" s="12"/>
      <c r="ZR65" s="12"/>
      <c r="ZS65" s="12"/>
      <c r="ZT65" s="12"/>
      <c r="ZU65" s="12"/>
      <c r="ZV65" s="12"/>
      <c r="ZW65" s="12"/>
      <c r="ZX65" s="12"/>
      <c r="ZY65" s="12"/>
      <c r="ZZ65" s="12"/>
      <c r="AAA65" s="12"/>
      <c r="AAB65" s="12"/>
      <c r="AAC65" s="12"/>
      <c r="AAD65" s="12"/>
      <c r="AAE65" s="12"/>
      <c r="AAF65" s="12"/>
      <c r="AAG65" s="12"/>
      <c r="AAH65" s="12"/>
      <c r="AAI65" s="12"/>
      <c r="AAJ65" s="12"/>
      <c r="AAK65" s="12"/>
      <c r="AAL65" s="12"/>
      <c r="AAM65" s="12"/>
      <c r="AAN65" s="12"/>
      <c r="AAO65" s="12"/>
      <c r="AAP65" s="12"/>
      <c r="AAQ65" s="12"/>
      <c r="AAR65" s="12"/>
      <c r="AAS65" s="12"/>
      <c r="AAT65" s="12"/>
      <c r="AAU65" s="12"/>
      <c r="AAV65" s="12"/>
      <c r="AAW65" s="12"/>
      <c r="AAX65" s="12"/>
      <c r="AAY65" s="12"/>
      <c r="AAZ65" s="12"/>
      <c r="ABA65" s="12"/>
      <c r="ABB65" s="12"/>
      <c r="ABC65" s="12"/>
      <c r="ABD65" s="12"/>
      <c r="ABE65" s="12"/>
      <c r="ABF65" s="12"/>
      <c r="ABG65" s="12"/>
      <c r="ABH65" s="12"/>
      <c r="ABI65" s="12"/>
      <c r="ABJ65" s="12"/>
      <c r="ABK65" s="12"/>
      <c r="ABL65" s="12"/>
      <c r="ABM65" s="12"/>
      <c r="ABN65" s="12"/>
      <c r="ABO65" s="12"/>
      <c r="ABP65" s="12"/>
      <c r="ABQ65" s="12"/>
      <c r="ABR65" s="12"/>
      <c r="ABS65" s="12"/>
      <c r="ABT65" s="12"/>
      <c r="ABU65" s="12"/>
      <c r="ABV65" s="12"/>
      <c r="ABW65" s="12"/>
      <c r="ABX65" s="12"/>
      <c r="ABY65" s="12"/>
      <c r="ABZ65" s="12"/>
      <c r="ACA65" s="12"/>
      <c r="ACB65" s="12"/>
      <c r="ACC65" s="12"/>
      <c r="ACD65" s="12"/>
      <c r="ACE65" s="12"/>
      <c r="ACF65" s="12"/>
      <c r="ACG65" s="12"/>
      <c r="ACH65" s="12"/>
      <c r="ACI65" s="12"/>
      <c r="ACJ65" s="12"/>
      <c r="ACK65" s="12"/>
      <c r="ACL65" s="12"/>
      <c r="ACM65" s="12"/>
      <c r="ACN65" s="12"/>
      <c r="ACO65" s="12"/>
      <c r="ACP65" s="12"/>
      <c r="ACQ65" s="12"/>
      <c r="ACR65" s="12"/>
      <c r="ACS65" s="12"/>
      <c r="ACT65" s="12"/>
      <c r="ACU65" s="12"/>
      <c r="ACV65" s="12"/>
      <c r="ACW65" s="12"/>
      <c r="ACX65" s="12"/>
      <c r="ACY65" s="12"/>
      <c r="ACZ65" s="12"/>
      <c r="ADA65" s="12"/>
      <c r="ADB65" s="12"/>
      <c r="ADC65" s="12"/>
      <c r="ADD65" s="12"/>
      <c r="ADE65" s="12"/>
      <c r="ADF65" s="12"/>
      <c r="ADG65" s="12"/>
      <c r="ADH65" s="12"/>
      <c r="ADI65" s="12"/>
      <c r="ADJ65" s="12"/>
      <c r="ADK65" s="12"/>
      <c r="ADL65" s="12"/>
      <c r="ADM65" s="12"/>
      <c r="ADN65" s="12"/>
      <c r="ADO65" s="12"/>
      <c r="ADP65" s="12"/>
      <c r="ADQ65" s="12"/>
      <c r="ADR65" s="12"/>
      <c r="ADS65" s="12"/>
      <c r="ADT65" s="12"/>
      <c r="ADU65" s="12"/>
      <c r="ADV65" s="12"/>
      <c r="ADW65" s="12"/>
      <c r="ADX65" s="12"/>
      <c r="ADY65" s="12"/>
      <c r="ADZ65" s="12"/>
      <c r="AEA65" s="12"/>
      <c r="AEB65" s="12"/>
      <c r="AEC65" s="12"/>
      <c r="AED65" s="12"/>
      <c r="AEE65" s="12"/>
      <c r="AEF65" s="12"/>
      <c r="AEG65" s="12"/>
      <c r="AEH65" s="12"/>
      <c r="AEI65" s="12"/>
      <c r="AEJ65" s="12"/>
      <c r="AEK65" s="12"/>
      <c r="AEL65" s="12"/>
      <c r="AEM65" s="12"/>
      <c r="AEN65" s="12"/>
      <c r="AEO65" s="12"/>
      <c r="AEP65" s="12"/>
      <c r="AEQ65" s="12"/>
      <c r="AER65" s="12"/>
      <c r="AES65" s="12"/>
      <c r="AET65" s="12"/>
      <c r="AEU65" s="12"/>
      <c r="AEV65" s="12"/>
    </row>
    <row r="66" spans="1:828" s="27" customFormat="1" ht="19" x14ac:dyDescent="0.2">
      <c r="A66" s="28" t="s">
        <v>60</v>
      </c>
      <c r="B66" s="26">
        <f t="shared" si="0"/>
        <v>8.9875564038655754E-3</v>
      </c>
      <c r="C66" s="23" t="s">
        <v>61</v>
      </c>
      <c r="D66" s="29">
        <f>961+9</f>
        <v>970</v>
      </c>
      <c r="E66" s="37">
        <f>G66/D74</f>
        <v>5.1886923568708479E-4</v>
      </c>
      <c r="F66" s="23" t="s">
        <v>62</v>
      </c>
      <c r="G66" s="29">
        <v>56</v>
      </c>
      <c r="H66" s="50">
        <f>SUM(J66:J67)/J74</f>
        <v>1.8060149804189954E-3</v>
      </c>
      <c r="I66" s="23" t="s">
        <v>63</v>
      </c>
      <c r="J66" s="29">
        <v>140</v>
      </c>
      <c r="K66" s="50">
        <f>M66/J74</f>
        <v>7.0339530816318767E-4</v>
      </c>
      <c r="L66" s="23" t="s">
        <v>64</v>
      </c>
      <c r="M66" s="29">
        <v>74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  <c r="FX66" s="12"/>
      <c r="FY66" s="12"/>
      <c r="FZ66" s="12"/>
      <c r="GA66" s="12"/>
      <c r="GB66" s="12"/>
      <c r="GC66" s="12"/>
      <c r="GD66" s="12"/>
      <c r="GE66" s="12"/>
      <c r="GF66" s="12"/>
      <c r="GG66" s="12"/>
      <c r="GH66" s="12"/>
      <c r="GI66" s="12"/>
      <c r="GJ66" s="12"/>
      <c r="GK66" s="12"/>
      <c r="GL66" s="12"/>
      <c r="GM66" s="12"/>
      <c r="GN66" s="12"/>
      <c r="GO66" s="12"/>
      <c r="GP66" s="12"/>
      <c r="GQ66" s="12"/>
      <c r="GR66" s="12"/>
      <c r="GS66" s="12"/>
      <c r="GT66" s="12"/>
      <c r="GU66" s="12"/>
      <c r="GV66" s="12"/>
      <c r="GW66" s="12"/>
      <c r="GX66" s="12"/>
      <c r="GY66" s="12"/>
      <c r="GZ66" s="12"/>
      <c r="HA66" s="12"/>
      <c r="HB66" s="12"/>
      <c r="HC66" s="12"/>
      <c r="HD66" s="12"/>
      <c r="HE66" s="12"/>
      <c r="HF66" s="12"/>
      <c r="HG66" s="12"/>
      <c r="HH66" s="12"/>
      <c r="HI66" s="12"/>
      <c r="HJ66" s="12"/>
      <c r="HK66" s="12"/>
      <c r="HL66" s="12"/>
      <c r="HM66" s="12"/>
      <c r="HN66" s="12"/>
      <c r="HO66" s="12"/>
      <c r="HP66" s="12"/>
      <c r="HQ66" s="12"/>
      <c r="HR66" s="12"/>
      <c r="HS66" s="12"/>
      <c r="HT66" s="12"/>
      <c r="HU66" s="12"/>
      <c r="HV66" s="12"/>
      <c r="HW66" s="12"/>
      <c r="HX66" s="12"/>
      <c r="HY66" s="12"/>
      <c r="HZ66" s="12"/>
      <c r="IA66" s="12"/>
      <c r="IB66" s="12"/>
      <c r="IC66" s="12"/>
      <c r="ID66" s="12"/>
      <c r="IE66" s="12"/>
      <c r="IF66" s="12"/>
      <c r="IG66" s="12"/>
      <c r="IH66" s="12"/>
      <c r="II66" s="12"/>
      <c r="IJ66" s="12"/>
      <c r="IK66" s="12"/>
      <c r="IL66" s="12"/>
      <c r="IM66" s="12"/>
      <c r="IN66" s="12"/>
      <c r="IO66" s="12"/>
      <c r="IP66" s="12"/>
      <c r="IQ66" s="12"/>
      <c r="IR66" s="12"/>
      <c r="IS66" s="12"/>
      <c r="IT66" s="12"/>
      <c r="IU66" s="12"/>
      <c r="IV66" s="12"/>
      <c r="IW66" s="12"/>
      <c r="IX66" s="12"/>
      <c r="IY66" s="12"/>
      <c r="IZ66" s="12"/>
      <c r="JA66" s="12"/>
      <c r="JB66" s="12"/>
      <c r="JC66" s="12"/>
      <c r="JD66" s="12"/>
      <c r="JE66" s="12"/>
      <c r="JF66" s="12"/>
      <c r="JG66" s="12"/>
      <c r="JH66" s="12"/>
      <c r="JI66" s="12"/>
      <c r="JJ66" s="12"/>
      <c r="JK66" s="12"/>
      <c r="JL66" s="12"/>
      <c r="JM66" s="12"/>
      <c r="JN66" s="12"/>
      <c r="JO66" s="12"/>
      <c r="JP66" s="12"/>
      <c r="JQ66" s="12"/>
      <c r="JR66" s="12"/>
      <c r="JS66" s="12"/>
      <c r="JT66" s="12"/>
      <c r="JU66" s="12"/>
      <c r="JV66" s="12"/>
      <c r="JW66" s="12"/>
      <c r="JX66" s="12"/>
      <c r="JY66" s="12"/>
      <c r="JZ66" s="12"/>
      <c r="KA66" s="12"/>
      <c r="KB66" s="12"/>
      <c r="KC66" s="12"/>
      <c r="KD66" s="12"/>
      <c r="KE66" s="12"/>
      <c r="KF66" s="12"/>
      <c r="KG66" s="12"/>
      <c r="KH66" s="12"/>
      <c r="KI66" s="12"/>
      <c r="KJ66" s="12"/>
      <c r="KK66" s="12"/>
      <c r="KL66" s="12"/>
      <c r="KM66" s="12"/>
      <c r="KN66" s="12"/>
      <c r="KO66" s="12"/>
      <c r="KP66" s="12"/>
      <c r="KQ66" s="12"/>
      <c r="KR66" s="12"/>
      <c r="KS66" s="12"/>
      <c r="KT66" s="12"/>
      <c r="KU66" s="12"/>
      <c r="KV66" s="12"/>
      <c r="KW66" s="12"/>
      <c r="KX66" s="12"/>
      <c r="KY66" s="12"/>
      <c r="KZ66" s="12"/>
      <c r="LA66" s="12"/>
      <c r="LB66" s="12"/>
      <c r="LC66" s="12"/>
      <c r="LD66" s="12"/>
      <c r="LE66" s="12"/>
      <c r="LF66" s="12"/>
      <c r="LG66" s="12"/>
      <c r="LH66" s="12"/>
      <c r="LI66" s="12"/>
      <c r="LJ66" s="12"/>
      <c r="LK66" s="12"/>
      <c r="LL66" s="12"/>
      <c r="LM66" s="12"/>
      <c r="LN66" s="12"/>
      <c r="LO66" s="12"/>
      <c r="LP66" s="12"/>
      <c r="LQ66" s="12"/>
      <c r="LR66" s="12"/>
      <c r="LS66" s="12"/>
      <c r="LT66" s="12"/>
      <c r="LU66" s="12"/>
      <c r="LV66" s="12"/>
      <c r="LW66" s="12"/>
      <c r="LX66" s="12"/>
      <c r="LY66" s="12"/>
      <c r="LZ66" s="12"/>
      <c r="MA66" s="12"/>
      <c r="MB66" s="12"/>
      <c r="MC66" s="12"/>
      <c r="MD66" s="12"/>
      <c r="ME66" s="12"/>
      <c r="MF66" s="12"/>
      <c r="MG66" s="12"/>
      <c r="MH66" s="12"/>
      <c r="MI66" s="12"/>
      <c r="MJ66" s="12"/>
      <c r="MK66" s="12"/>
      <c r="ML66" s="12"/>
      <c r="MM66" s="12"/>
      <c r="MN66" s="12"/>
      <c r="MO66" s="12"/>
      <c r="MP66" s="12"/>
      <c r="MQ66" s="12"/>
      <c r="MR66" s="12"/>
      <c r="MS66" s="12"/>
      <c r="MT66" s="12"/>
      <c r="MU66" s="12"/>
      <c r="MV66" s="12"/>
      <c r="MW66" s="12"/>
      <c r="MX66" s="12"/>
      <c r="MY66" s="12"/>
      <c r="MZ66" s="12"/>
      <c r="NA66" s="12"/>
      <c r="NB66" s="12"/>
      <c r="NC66" s="12"/>
      <c r="ND66" s="12"/>
      <c r="NE66" s="12"/>
      <c r="NF66" s="12"/>
      <c r="NG66" s="12"/>
      <c r="NH66" s="12"/>
      <c r="NI66" s="12"/>
      <c r="NJ66" s="12"/>
      <c r="NK66" s="12"/>
      <c r="NL66" s="12"/>
      <c r="NM66" s="12"/>
      <c r="NN66" s="12"/>
      <c r="NO66" s="12"/>
      <c r="NP66" s="12"/>
      <c r="NQ66" s="12"/>
      <c r="NR66" s="12"/>
      <c r="NS66" s="12"/>
      <c r="NT66" s="12"/>
      <c r="NU66" s="12"/>
      <c r="NV66" s="12"/>
      <c r="NW66" s="12"/>
      <c r="NX66" s="12"/>
      <c r="NY66" s="12"/>
      <c r="NZ66" s="12"/>
      <c r="OA66" s="12"/>
      <c r="OB66" s="12"/>
      <c r="OC66" s="12"/>
      <c r="OD66" s="12"/>
      <c r="OE66" s="12"/>
      <c r="OF66" s="12"/>
      <c r="OG66" s="12"/>
      <c r="OH66" s="12"/>
      <c r="OI66" s="12"/>
      <c r="OJ66" s="12"/>
      <c r="OK66" s="12"/>
      <c r="OL66" s="12"/>
      <c r="OM66" s="12"/>
      <c r="ON66" s="12"/>
      <c r="OO66" s="12"/>
      <c r="OP66" s="12"/>
      <c r="OQ66" s="12"/>
      <c r="OR66" s="12"/>
      <c r="OS66" s="12"/>
      <c r="OT66" s="12"/>
      <c r="OU66" s="12"/>
      <c r="OV66" s="12"/>
      <c r="OW66" s="12"/>
      <c r="OX66" s="12"/>
      <c r="OY66" s="12"/>
      <c r="OZ66" s="12"/>
      <c r="PA66" s="12"/>
      <c r="PB66" s="12"/>
      <c r="PC66" s="12"/>
      <c r="PD66" s="12"/>
      <c r="PE66" s="12"/>
      <c r="PF66" s="12"/>
      <c r="PG66" s="12"/>
      <c r="PH66" s="12"/>
      <c r="PI66" s="12"/>
      <c r="PJ66" s="12"/>
      <c r="PK66" s="12"/>
      <c r="PL66" s="12"/>
      <c r="PM66" s="12"/>
      <c r="PN66" s="12"/>
      <c r="PO66" s="12"/>
      <c r="PP66" s="12"/>
      <c r="PQ66" s="12"/>
      <c r="PR66" s="12"/>
      <c r="PS66" s="12"/>
      <c r="PT66" s="12"/>
      <c r="PU66" s="12"/>
      <c r="PV66" s="12"/>
      <c r="PW66" s="12"/>
      <c r="PX66" s="12"/>
      <c r="PY66" s="12"/>
      <c r="PZ66" s="12"/>
      <c r="QA66" s="12"/>
      <c r="QB66" s="12"/>
      <c r="QC66" s="12"/>
      <c r="QD66" s="12"/>
      <c r="QE66" s="12"/>
      <c r="QF66" s="12"/>
      <c r="QG66" s="12"/>
      <c r="QH66" s="12"/>
      <c r="QI66" s="12"/>
      <c r="QJ66" s="12"/>
      <c r="QK66" s="12"/>
      <c r="QL66" s="12"/>
      <c r="QM66" s="12"/>
      <c r="QN66" s="12"/>
      <c r="QO66" s="12"/>
      <c r="QP66" s="12"/>
      <c r="QQ66" s="12"/>
      <c r="QR66" s="12"/>
      <c r="QS66" s="12"/>
      <c r="QT66" s="12"/>
      <c r="QU66" s="12"/>
      <c r="QV66" s="12"/>
      <c r="QW66" s="12"/>
      <c r="QX66" s="12"/>
      <c r="QY66" s="12"/>
      <c r="QZ66" s="12"/>
      <c r="RA66" s="12"/>
      <c r="RB66" s="12"/>
      <c r="RC66" s="12"/>
      <c r="RD66" s="12"/>
      <c r="RE66" s="12"/>
      <c r="RF66" s="12"/>
      <c r="RG66" s="12"/>
      <c r="RH66" s="12"/>
      <c r="RI66" s="12"/>
      <c r="RJ66" s="12"/>
      <c r="RK66" s="12"/>
      <c r="RL66" s="12"/>
      <c r="RM66" s="12"/>
      <c r="RN66" s="12"/>
      <c r="RO66" s="12"/>
      <c r="RP66" s="12"/>
      <c r="RQ66" s="12"/>
      <c r="RR66" s="12"/>
      <c r="RS66" s="12"/>
      <c r="RT66" s="12"/>
      <c r="RU66" s="12"/>
      <c r="RV66" s="12"/>
      <c r="RW66" s="12"/>
      <c r="RX66" s="12"/>
      <c r="RY66" s="12"/>
      <c r="RZ66" s="12"/>
      <c r="SA66" s="12"/>
      <c r="SB66" s="12"/>
      <c r="SC66" s="12"/>
      <c r="SD66" s="12"/>
      <c r="SE66" s="12"/>
      <c r="SF66" s="12"/>
      <c r="SG66" s="12"/>
      <c r="SH66" s="12"/>
      <c r="SI66" s="12"/>
      <c r="SJ66" s="12"/>
      <c r="SK66" s="12"/>
      <c r="SL66" s="12"/>
      <c r="SM66" s="12"/>
      <c r="SN66" s="12"/>
      <c r="SO66" s="12"/>
      <c r="SP66" s="12"/>
      <c r="SQ66" s="12"/>
      <c r="SR66" s="12"/>
      <c r="SS66" s="12"/>
      <c r="ST66" s="12"/>
      <c r="SU66" s="12"/>
      <c r="SV66" s="12"/>
      <c r="SW66" s="12"/>
      <c r="SX66" s="12"/>
      <c r="SY66" s="12"/>
      <c r="SZ66" s="12"/>
      <c r="TA66" s="12"/>
      <c r="TB66" s="12"/>
      <c r="TC66" s="12"/>
      <c r="TD66" s="12"/>
      <c r="TE66" s="12"/>
      <c r="TF66" s="12"/>
      <c r="TG66" s="12"/>
      <c r="TH66" s="12"/>
      <c r="TI66" s="12"/>
      <c r="TJ66" s="12"/>
      <c r="TK66" s="12"/>
      <c r="TL66" s="12"/>
      <c r="TM66" s="12"/>
      <c r="TN66" s="12"/>
      <c r="TO66" s="12"/>
      <c r="TP66" s="12"/>
      <c r="TQ66" s="12"/>
      <c r="TR66" s="12"/>
      <c r="TS66" s="12"/>
      <c r="TT66" s="12"/>
      <c r="TU66" s="12"/>
      <c r="TV66" s="12"/>
      <c r="TW66" s="12"/>
      <c r="TX66" s="12"/>
      <c r="TY66" s="12"/>
      <c r="TZ66" s="12"/>
      <c r="UA66" s="12"/>
      <c r="UB66" s="12"/>
      <c r="UC66" s="12"/>
      <c r="UD66" s="12"/>
      <c r="UE66" s="12"/>
      <c r="UF66" s="12"/>
      <c r="UG66" s="12"/>
      <c r="UH66" s="12"/>
      <c r="UI66" s="12"/>
      <c r="UJ66" s="12"/>
      <c r="UK66" s="12"/>
      <c r="UL66" s="12"/>
      <c r="UM66" s="12"/>
      <c r="UN66" s="12"/>
      <c r="UO66" s="12"/>
      <c r="UP66" s="12"/>
      <c r="UQ66" s="12"/>
      <c r="UR66" s="12"/>
      <c r="US66" s="12"/>
      <c r="UT66" s="12"/>
      <c r="UU66" s="12"/>
      <c r="UV66" s="12"/>
      <c r="UW66" s="12"/>
      <c r="UX66" s="12"/>
      <c r="UY66" s="12"/>
      <c r="UZ66" s="12"/>
      <c r="VA66" s="12"/>
      <c r="VB66" s="12"/>
      <c r="VC66" s="12"/>
      <c r="VD66" s="12"/>
      <c r="VE66" s="12"/>
      <c r="VF66" s="12"/>
      <c r="VG66" s="12"/>
      <c r="VH66" s="12"/>
      <c r="VI66" s="12"/>
      <c r="VJ66" s="12"/>
      <c r="VK66" s="12"/>
      <c r="VL66" s="12"/>
      <c r="VM66" s="12"/>
      <c r="VN66" s="12"/>
      <c r="VO66" s="12"/>
      <c r="VP66" s="12"/>
      <c r="VQ66" s="12"/>
      <c r="VR66" s="12"/>
      <c r="VS66" s="12"/>
      <c r="VT66" s="12"/>
      <c r="VU66" s="12"/>
      <c r="VV66" s="12"/>
      <c r="VW66" s="12"/>
      <c r="VX66" s="12"/>
      <c r="VY66" s="12"/>
      <c r="VZ66" s="12"/>
      <c r="WA66" s="12"/>
      <c r="WB66" s="12"/>
      <c r="WC66" s="12"/>
      <c r="WD66" s="12"/>
      <c r="WE66" s="12"/>
      <c r="WF66" s="12"/>
      <c r="WG66" s="12"/>
      <c r="WH66" s="12"/>
      <c r="WI66" s="12"/>
      <c r="WJ66" s="12"/>
      <c r="WK66" s="12"/>
      <c r="WL66" s="12"/>
      <c r="WM66" s="12"/>
      <c r="WN66" s="12"/>
      <c r="WO66" s="12"/>
      <c r="WP66" s="12"/>
      <c r="WQ66" s="12"/>
      <c r="WR66" s="12"/>
      <c r="WS66" s="12"/>
      <c r="WT66" s="12"/>
      <c r="WU66" s="12"/>
      <c r="WV66" s="12"/>
      <c r="WW66" s="12"/>
      <c r="WX66" s="12"/>
      <c r="WY66" s="12"/>
      <c r="WZ66" s="12"/>
      <c r="XA66" s="12"/>
      <c r="XB66" s="12"/>
      <c r="XC66" s="12"/>
      <c r="XD66" s="12"/>
      <c r="XE66" s="12"/>
      <c r="XF66" s="12"/>
      <c r="XG66" s="12"/>
      <c r="XH66" s="12"/>
      <c r="XI66" s="12"/>
      <c r="XJ66" s="12"/>
      <c r="XK66" s="12"/>
      <c r="XL66" s="12"/>
      <c r="XM66" s="12"/>
      <c r="XN66" s="12"/>
      <c r="XO66" s="12"/>
      <c r="XP66" s="12"/>
      <c r="XQ66" s="12"/>
      <c r="XR66" s="12"/>
      <c r="XS66" s="12"/>
      <c r="XT66" s="12"/>
      <c r="XU66" s="12"/>
      <c r="XV66" s="12"/>
      <c r="XW66" s="12"/>
      <c r="XX66" s="12"/>
      <c r="XY66" s="12"/>
      <c r="XZ66" s="12"/>
      <c r="YA66" s="12"/>
      <c r="YB66" s="12"/>
      <c r="YC66" s="12"/>
      <c r="YD66" s="12"/>
      <c r="YE66" s="12"/>
      <c r="YF66" s="12"/>
      <c r="YG66" s="12"/>
      <c r="YH66" s="12"/>
      <c r="YI66" s="12"/>
      <c r="YJ66" s="12"/>
      <c r="YK66" s="12"/>
      <c r="YL66" s="12"/>
      <c r="YM66" s="12"/>
      <c r="YN66" s="12"/>
      <c r="YO66" s="12"/>
      <c r="YP66" s="12"/>
      <c r="YQ66" s="12"/>
      <c r="YR66" s="12"/>
      <c r="YS66" s="12"/>
      <c r="YT66" s="12"/>
      <c r="YU66" s="12"/>
      <c r="YV66" s="12"/>
      <c r="YW66" s="12"/>
      <c r="YX66" s="12"/>
      <c r="YY66" s="12"/>
      <c r="YZ66" s="12"/>
      <c r="ZA66" s="12"/>
      <c r="ZB66" s="12"/>
      <c r="ZC66" s="12"/>
      <c r="ZD66" s="12"/>
      <c r="ZE66" s="12"/>
      <c r="ZF66" s="12"/>
      <c r="ZG66" s="12"/>
      <c r="ZH66" s="12"/>
      <c r="ZI66" s="12"/>
      <c r="ZJ66" s="12"/>
      <c r="ZK66" s="12"/>
      <c r="ZL66" s="12"/>
      <c r="ZM66" s="12"/>
      <c r="ZN66" s="12"/>
      <c r="ZO66" s="12"/>
      <c r="ZP66" s="12"/>
      <c r="ZQ66" s="12"/>
      <c r="ZR66" s="12"/>
      <c r="ZS66" s="12"/>
      <c r="ZT66" s="12"/>
      <c r="ZU66" s="12"/>
      <c r="ZV66" s="12"/>
      <c r="ZW66" s="12"/>
      <c r="ZX66" s="12"/>
      <c r="ZY66" s="12"/>
      <c r="ZZ66" s="12"/>
      <c r="AAA66" s="12"/>
      <c r="AAB66" s="12"/>
      <c r="AAC66" s="12"/>
      <c r="AAD66" s="12"/>
      <c r="AAE66" s="12"/>
      <c r="AAF66" s="12"/>
      <c r="AAG66" s="12"/>
      <c r="AAH66" s="12"/>
      <c r="AAI66" s="12"/>
      <c r="AAJ66" s="12"/>
      <c r="AAK66" s="12"/>
      <c r="AAL66" s="12"/>
      <c r="AAM66" s="12"/>
      <c r="AAN66" s="12"/>
      <c r="AAO66" s="12"/>
      <c r="AAP66" s="12"/>
      <c r="AAQ66" s="12"/>
      <c r="AAR66" s="12"/>
      <c r="AAS66" s="12"/>
      <c r="AAT66" s="12"/>
      <c r="AAU66" s="12"/>
      <c r="AAV66" s="12"/>
      <c r="AAW66" s="12"/>
      <c r="AAX66" s="12"/>
      <c r="AAY66" s="12"/>
      <c r="AAZ66" s="12"/>
      <c r="ABA66" s="12"/>
      <c r="ABB66" s="12"/>
      <c r="ABC66" s="12"/>
      <c r="ABD66" s="12"/>
      <c r="ABE66" s="12"/>
      <c r="ABF66" s="12"/>
      <c r="ABG66" s="12"/>
      <c r="ABH66" s="12"/>
      <c r="ABI66" s="12"/>
      <c r="ABJ66" s="12"/>
      <c r="ABK66" s="12"/>
      <c r="ABL66" s="12"/>
      <c r="ABM66" s="12"/>
      <c r="ABN66" s="12"/>
      <c r="ABO66" s="12"/>
      <c r="ABP66" s="12"/>
      <c r="ABQ66" s="12"/>
      <c r="ABR66" s="12"/>
      <c r="ABS66" s="12"/>
      <c r="ABT66" s="12"/>
      <c r="ABU66" s="12"/>
      <c r="ABV66" s="12"/>
      <c r="ABW66" s="12"/>
      <c r="ABX66" s="12"/>
      <c r="ABY66" s="12"/>
      <c r="ABZ66" s="12"/>
      <c r="ACA66" s="12"/>
      <c r="ACB66" s="12"/>
      <c r="ACC66" s="12"/>
      <c r="ACD66" s="12"/>
      <c r="ACE66" s="12"/>
      <c r="ACF66" s="12"/>
      <c r="ACG66" s="12"/>
      <c r="ACH66" s="12"/>
      <c r="ACI66" s="12"/>
      <c r="ACJ66" s="12"/>
      <c r="ACK66" s="12"/>
      <c r="ACL66" s="12"/>
      <c r="ACM66" s="12"/>
      <c r="ACN66" s="12"/>
      <c r="ACO66" s="12"/>
      <c r="ACP66" s="12"/>
      <c r="ACQ66" s="12"/>
      <c r="ACR66" s="12"/>
      <c r="ACS66" s="12"/>
      <c r="ACT66" s="12"/>
      <c r="ACU66" s="12"/>
      <c r="ACV66" s="12"/>
      <c r="ACW66" s="12"/>
      <c r="ACX66" s="12"/>
      <c r="ACY66" s="12"/>
      <c r="ACZ66" s="12"/>
      <c r="ADA66" s="12"/>
      <c r="ADB66" s="12"/>
      <c r="ADC66" s="12"/>
      <c r="ADD66" s="12"/>
      <c r="ADE66" s="12"/>
      <c r="ADF66" s="12"/>
      <c r="ADG66" s="12"/>
      <c r="ADH66" s="12"/>
      <c r="ADI66" s="12"/>
      <c r="ADJ66" s="12"/>
      <c r="ADK66" s="12"/>
      <c r="ADL66" s="12"/>
      <c r="ADM66" s="12"/>
      <c r="ADN66" s="12"/>
      <c r="ADO66" s="12"/>
      <c r="ADP66" s="12"/>
      <c r="ADQ66" s="12"/>
      <c r="ADR66" s="12"/>
      <c r="ADS66" s="12"/>
      <c r="ADT66" s="12"/>
      <c r="ADU66" s="12"/>
      <c r="ADV66" s="12"/>
      <c r="ADW66" s="12"/>
      <c r="ADX66" s="12"/>
      <c r="ADY66" s="12"/>
      <c r="ADZ66" s="12"/>
      <c r="AEA66" s="12"/>
      <c r="AEB66" s="12"/>
      <c r="AEC66" s="12"/>
      <c r="AED66" s="12"/>
      <c r="AEE66" s="12"/>
      <c r="AEF66" s="12"/>
      <c r="AEG66" s="12"/>
      <c r="AEH66" s="12"/>
      <c r="AEI66" s="12"/>
      <c r="AEJ66" s="12"/>
      <c r="AEK66" s="12"/>
      <c r="AEL66" s="12"/>
      <c r="AEM66" s="12"/>
      <c r="AEN66" s="12"/>
      <c r="AEO66" s="12"/>
      <c r="AEP66" s="12"/>
      <c r="AEQ66" s="12"/>
      <c r="AER66" s="12"/>
      <c r="AES66" s="12"/>
      <c r="AET66" s="12"/>
      <c r="AEU66" s="12"/>
      <c r="AEV66" s="12"/>
    </row>
    <row r="67" spans="1:828" s="27" customFormat="1" ht="18" x14ac:dyDescent="0.2">
      <c r="A67" s="67"/>
      <c r="B67" s="30"/>
      <c r="D67" s="29"/>
      <c r="E67" s="23"/>
      <c r="F67" s="23"/>
      <c r="G67" s="23"/>
      <c r="H67" s="30"/>
      <c r="I67" s="23" t="s">
        <v>65</v>
      </c>
      <c r="J67" s="29">
        <v>50</v>
      </c>
      <c r="K67" s="30"/>
      <c r="L67" s="23"/>
      <c r="M67" s="29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  <c r="FX67" s="12"/>
      <c r="FY67" s="12"/>
      <c r="FZ67" s="12"/>
      <c r="GA67" s="12"/>
      <c r="GB67" s="12"/>
      <c r="GC67" s="12"/>
      <c r="GD67" s="12"/>
      <c r="GE67" s="12"/>
      <c r="GF67" s="12"/>
      <c r="GG67" s="12"/>
      <c r="GH67" s="12"/>
      <c r="GI67" s="12"/>
      <c r="GJ67" s="12"/>
      <c r="GK67" s="12"/>
      <c r="GL67" s="12"/>
      <c r="GM67" s="12"/>
      <c r="GN67" s="12"/>
      <c r="GO67" s="12"/>
      <c r="GP67" s="12"/>
      <c r="GQ67" s="12"/>
      <c r="GR67" s="12"/>
      <c r="GS67" s="12"/>
      <c r="GT67" s="12"/>
      <c r="GU67" s="12"/>
      <c r="GV67" s="12"/>
      <c r="GW67" s="12"/>
      <c r="GX67" s="12"/>
      <c r="GY67" s="12"/>
      <c r="GZ67" s="12"/>
      <c r="HA67" s="12"/>
      <c r="HB67" s="12"/>
      <c r="HC67" s="12"/>
      <c r="HD67" s="12"/>
      <c r="HE67" s="12"/>
      <c r="HF67" s="12"/>
      <c r="HG67" s="12"/>
      <c r="HH67" s="12"/>
      <c r="HI67" s="12"/>
      <c r="HJ67" s="12"/>
      <c r="HK67" s="12"/>
      <c r="HL67" s="12"/>
      <c r="HM67" s="12"/>
      <c r="HN67" s="12"/>
      <c r="HO67" s="12"/>
      <c r="HP67" s="12"/>
      <c r="HQ67" s="12"/>
      <c r="HR67" s="12"/>
      <c r="HS67" s="12"/>
      <c r="HT67" s="12"/>
      <c r="HU67" s="12"/>
      <c r="HV67" s="12"/>
      <c r="HW67" s="12"/>
      <c r="HX67" s="12"/>
      <c r="HY67" s="12"/>
      <c r="HZ67" s="12"/>
      <c r="IA67" s="12"/>
      <c r="IB67" s="12"/>
      <c r="IC67" s="12"/>
      <c r="ID67" s="12"/>
      <c r="IE67" s="12"/>
      <c r="IF67" s="12"/>
      <c r="IG67" s="12"/>
      <c r="IH67" s="12"/>
      <c r="II67" s="12"/>
      <c r="IJ67" s="12"/>
      <c r="IK67" s="12"/>
      <c r="IL67" s="12"/>
      <c r="IM67" s="12"/>
      <c r="IN67" s="12"/>
      <c r="IO67" s="12"/>
      <c r="IP67" s="12"/>
      <c r="IQ67" s="12"/>
      <c r="IR67" s="12"/>
      <c r="IS67" s="12"/>
      <c r="IT67" s="12"/>
      <c r="IU67" s="12"/>
      <c r="IV67" s="12"/>
      <c r="IW67" s="12"/>
      <c r="IX67" s="12"/>
      <c r="IY67" s="12"/>
      <c r="IZ67" s="12"/>
      <c r="JA67" s="12"/>
      <c r="JB67" s="12"/>
      <c r="JC67" s="12"/>
      <c r="JD67" s="12"/>
      <c r="JE67" s="12"/>
      <c r="JF67" s="12"/>
      <c r="JG67" s="12"/>
      <c r="JH67" s="12"/>
      <c r="JI67" s="12"/>
      <c r="JJ67" s="12"/>
      <c r="JK67" s="12"/>
      <c r="JL67" s="12"/>
      <c r="JM67" s="12"/>
      <c r="JN67" s="12"/>
      <c r="JO67" s="12"/>
      <c r="JP67" s="12"/>
      <c r="JQ67" s="12"/>
      <c r="JR67" s="12"/>
      <c r="JS67" s="12"/>
      <c r="JT67" s="12"/>
      <c r="JU67" s="12"/>
      <c r="JV67" s="12"/>
      <c r="JW67" s="12"/>
      <c r="JX67" s="12"/>
      <c r="JY67" s="12"/>
      <c r="JZ67" s="12"/>
      <c r="KA67" s="12"/>
      <c r="KB67" s="12"/>
      <c r="KC67" s="12"/>
      <c r="KD67" s="12"/>
      <c r="KE67" s="12"/>
      <c r="KF67" s="12"/>
      <c r="KG67" s="12"/>
      <c r="KH67" s="12"/>
      <c r="KI67" s="12"/>
      <c r="KJ67" s="12"/>
      <c r="KK67" s="12"/>
      <c r="KL67" s="12"/>
      <c r="KM67" s="12"/>
      <c r="KN67" s="12"/>
      <c r="KO67" s="12"/>
      <c r="KP67" s="12"/>
      <c r="KQ67" s="12"/>
      <c r="KR67" s="12"/>
      <c r="KS67" s="12"/>
      <c r="KT67" s="12"/>
      <c r="KU67" s="12"/>
      <c r="KV67" s="12"/>
      <c r="KW67" s="12"/>
      <c r="KX67" s="12"/>
      <c r="KY67" s="12"/>
      <c r="KZ67" s="12"/>
      <c r="LA67" s="12"/>
      <c r="LB67" s="12"/>
      <c r="LC67" s="12"/>
      <c r="LD67" s="12"/>
      <c r="LE67" s="12"/>
      <c r="LF67" s="12"/>
      <c r="LG67" s="12"/>
      <c r="LH67" s="12"/>
      <c r="LI67" s="12"/>
      <c r="LJ67" s="12"/>
      <c r="LK67" s="12"/>
      <c r="LL67" s="12"/>
      <c r="LM67" s="12"/>
      <c r="LN67" s="12"/>
      <c r="LO67" s="12"/>
      <c r="LP67" s="12"/>
      <c r="LQ67" s="12"/>
      <c r="LR67" s="12"/>
      <c r="LS67" s="12"/>
      <c r="LT67" s="12"/>
      <c r="LU67" s="12"/>
      <c r="LV67" s="12"/>
      <c r="LW67" s="12"/>
      <c r="LX67" s="12"/>
      <c r="LY67" s="12"/>
      <c r="LZ67" s="12"/>
      <c r="MA67" s="12"/>
      <c r="MB67" s="12"/>
      <c r="MC67" s="12"/>
      <c r="MD67" s="12"/>
      <c r="ME67" s="12"/>
      <c r="MF67" s="12"/>
      <c r="MG67" s="12"/>
      <c r="MH67" s="12"/>
      <c r="MI67" s="12"/>
      <c r="MJ67" s="12"/>
      <c r="MK67" s="12"/>
      <c r="ML67" s="12"/>
      <c r="MM67" s="12"/>
      <c r="MN67" s="12"/>
      <c r="MO67" s="12"/>
      <c r="MP67" s="12"/>
      <c r="MQ67" s="12"/>
      <c r="MR67" s="12"/>
      <c r="MS67" s="12"/>
      <c r="MT67" s="12"/>
      <c r="MU67" s="12"/>
      <c r="MV67" s="12"/>
      <c r="MW67" s="12"/>
      <c r="MX67" s="12"/>
      <c r="MY67" s="12"/>
      <c r="MZ67" s="12"/>
      <c r="NA67" s="12"/>
      <c r="NB67" s="12"/>
      <c r="NC67" s="12"/>
      <c r="ND67" s="12"/>
      <c r="NE67" s="12"/>
      <c r="NF67" s="12"/>
      <c r="NG67" s="12"/>
      <c r="NH67" s="12"/>
      <c r="NI67" s="12"/>
      <c r="NJ67" s="12"/>
      <c r="NK67" s="12"/>
      <c r="NL67" s="12"/>
      <c r="NM67" s="12"/>
      <c r="NN67" s="12"/>
      <c r="NO67" s="12"/>
      <c r="NP67" s="12"/>
      <c r="NQ67" s="12"/>
      <c r="NR67" s="12"/>
      <c r="NS67" s="12"/>
      <c r="NT67" s="12"/>
      <c r="NU67" s="12"/>
      <c r="NV67" s="12"/>
      <c r="NW67" s="12"/>
      <c r="NX67" s="12"/>
      <c r="NY67" s="12"/>
      <c r="NZ67" s="12"/>
      <c r="OA67" s="12"/>
      <c r="OB67" s="12"/>
      <c r="OC67" s="12"/>
      <c r="OD67" s="12"/>
      <c r="OE67" s="12"/>
      <c r="OF67" s="12"/>
      <c r="OG67" s="12"/>
      <c r="OH67" s="12"/>
      <c r="OI67" s="12"/>
      <c r="OJ67" s="12"/>
      <c r="OK67" s="12"/>
      <c r="OL67" s="12"/>
      <c r="OM67" s="12"/>
      <c r="ON67" s="12"/>
      <c r="OO67" s="12"/>
      <c r="OP67" s="12"/>
      <c r="OQ67" s="12"/>
      <c r="OR67" s="12"/>
      <c r="OS67" s="12"/>
      <c r="OT67" s="12"/>
      <c r="OU67" s="12"/>
      <c r="OV67" s="12"/>
      <c r="OW67" s="12"/>
      <c r="OX67" s="12"/>
      <c r="OY67" s="12"/>
      <c r="OZ67" s="12"/>
      <c r="PA67" s="12"/>
      <c r="PB67" s="12"/>
      <c r="PC67" s="12"/>
      <c r="PD67" s="12"/>
      <c r="PE67" s="12"/>
      <c r="PF67" s="12"/>
      <c r="PG67" s="12"/>
      <c r="PH67" s="12"/>
      <c r="PI67" s="12"/>
      <c r="PJ67" s="12"/>
      <c r="PK67" s="12"/>
      <c r="PL67" s="12"/>
      <c r="PM67" s="12"/>
      <c r="PN67" s="12"/>
      <c r="PO67" s="12"/>
      <c r="PP67" s="12"/>
      <c r="PQ67" s="12"/>
      <c r="PR67" s="12"/>
      <c r="PS67" s="12"/>
      <c r="PT67" s="12"/>
      <c r="PU67" s="12"/>
      <c r="PV67" s="12"/>
      <c r="PW67" s="12"/>
      <c r="PX67" s="12"/>
      <c r="PY67" s="12"/>
      <c r="PZ67" s="12"/>
      <c r="QA67" s="12"/>
      <c r="QB67" s="12"/>
      <c r="QC67" s="12"/>
      <c r="QD67" s="12"/>
      <c r="QE67" s="12"/>
      <c r="QF67" s="12"/>
      <c r="QG67" s="12"/>
      <c r="QH67" s="12"/>
      <c r="QI67" s="12"/>
      <c r="QJ67" s="12"/>
      <c r="QK67" s="12"/>
      <c r="QL67" s="12"/>
      <c r="QM67" s="12"/>
      <c r="QN67" s="12"/>
      <c r="QO67" s="12"/>
      <c r="QP67" s="12"/>
      <c r="QQ67" s="12"/>
      <c r="QR67" s="12"/>
      <c r="QS67" s="12"/>
      <c r="QT67" s="12"/>
      <c r="QU67" s="12"/>
      <c r="QV67" s="12"/>
      <c r="QW67" s="12"/>
      <c r="QX67" s="12"/>
      <c r="QY67" s="12"/>
      <c r="QZ67" s="12"/>
      <c r="RA67" s="12"/>
      <c r="RB67" s="12"/>
      <c r="RC67" s="12"/>
      <c r="RD67" s="12"/>
      <c r="RE67" s="12"/>
      <c r="RF67" s="12"/>
      <c r="RG67" s="12"/>
      <c r="RH67" s="12"/>
      <c r="RI67" s="12"/>
      <c r="RJ67" s="12"/>
      <c r="RK67" s="12"/>
      <c r="RL67" s="12"/>
      <c r="RM67" s="12"/>
      <c r="RN67" s="12"/>
      <c r="RO67" s="12"/>
      <c r="RP67" s="12"/>
      <c r="RQ67" s="12"/>
      <c r="RR67" s="12"/>
      <c r="RS67" s="12"/>
      <c r="RT67" s="12"/>
      <c r="RU67" s="12"/>
      <c r="RV67" s="12"/>
      <c r="RW67" s="12"/>
      <c r="RX67" s="12"/>
      <c r="RY67" s="12"/>
      <c r="RZ67" s="12"/>
      <c r="SA67" s="12"/>
      <c r="SB67" s="12"/>
      <c r="SC67" s="12"/>
      <c r="SD67" s="12"/>
      <c r="SE67" s="12"/>
      <c r="SF67" s="12"/>
      <c r="SG67" s="12"/>
      <c r="SH67" s="12"/>
      <c r="SI67" s="12"/>
      <c r="SJ67" s="12"/>
      <c r="SK67" s="12"/>
      <c r="SL67" s="12"/>
      <c r="SM67" s="12"/>
      <c r="SN67" s="12"/>
      <c r="SO67" s="12"/>
      <c r="SP67" s="12"/>
      <c r="SQ67" s="12"/>
      <c r="SR67" s="12"/>
      <c r="SS67" s="12"/>
      <c r="ST67" s="12"/>
      <c r="SU67" s="12"/>
      <c r="SV67" s="12"/>
      <c r="SW67" s="12"/>
      <c r="SX67" s="12"/>
      <c r="SY67" s="12"/>
      <c r="SZ67" s="12"/>
      <c r="TA67" s="12"/>
      <c r="TB67" s="12"/>
      <c r="TC67" s="12"/>
      <c r="TD67" s="12"/>
      <c r="TE67" s="12"/>
      <c r="TF67" s="12"/>
      <c r="TG67" s="12"/>
      <c r="TH67" s="12"/>
      <c r="TI67" s="12"/>
      <c r="TJ67" s="12"/>
      <c r="TK67" s="12"/>
      <c r="TL67" s="12"/>
      <c r="TM67" s="12"/>
      <c r="TN67" s="12"/>
      <c r="TO67" s="12"/>
      <c r="TP67" s="12"/>
      <c r="TQ67" s="12"/>
      <c r="TR67" s="12"/>
      <c r="TS67" s="12"/>
      <c r="TT67" s="12"/>
      <c r="TU67" s="12"/>
      <c r="TV67" s="12"/>
      <c r="TW67" s="12"/>
      <c r="TX67" s="12"/>
      <c r="TY67" s="12"/>
      <c r="TZ67" s="12"/>
      <c r="UA67" s="12"/>
      <c r="UB67" s="12"/>
      <c r="UC67" s="12"/>
      <c r="UD67" s="12"/>
      <c r="UE67" s="12"/>
      <c r="UF67" s="12"/>
      <c r="UG67" s="12"/>
      <c r="UH67" s="12"/>
      <c r="UI67" s="12"/>
      <c r="UJ67" s="12"/>
      <c r="UK67" s="12"/>
      <c r="UL67" s="12"/>
      <c r="UM67" s="12"/>
      <c r="UN67" s="12"/>
      <c r="UO67" s="12"/>
      <c r="UP67" s="12"/>
      <c r="UQ67" s="12"/>
      <c r="UR67" s="12"/>
      <c r="US67" s="12"/>
      <c r="UT67" s="12"/>
      <c r="UU67" s="12"/>
      <c r="UV67" s="12"/>
      <c r="UW67" s="12"/>
      <c r="UX67" s="12"/>
      <c r="UY67" s="12"/>
      <c r="UZ67" s="12"/>
      <c r="VA67" s="12"/>
      <c r="VB67" s="12"/>
      <c r="VC67" s="12"/>
      <c r="VD67" s="12"/>
      <c r="VE67" s="12"/>
      <c r="VF67" s="12"/>
      <c r="VG67" s="12"/>
      <c r="VH67" s="12"/>
      <c r="VI67" s="12"/>
      <c r="VJ67" s="12"/>
      <c r="VK67" s="12"/>
      <c r="VL67" s="12"/>
      <c r="VM67" s="12"/>
      <c r="VN67" s="12"/>
      <c r="VO67" s="12"/>
      <c r="VP67" s="12"/>
      <c r="VQ67" s="12"/>
      <c r="VR67" s="12"/>
      <c r="VS67" s="12"/>
      <c r="VT67" s="12"/>
      <c r="VU67" s="12"/>
      <c r="VV67" s="12"/>
      <c r="VW67" s="12"/>
      <c r="VX67" s="12"/>
      <c r="VY67" s="12"/>
      <c r="VZ67" s="12"/>
      <c r="WA67" s="12"/>
      <c r="WB67" s="12"/>
      <c r="WC67" s="12"/>
      <c r="WD67" s="12"/>
      <c r="WE67" s="12"/>
      <c r="WF67" s="12"/>
      <c r="WG67" s="12"/>
      <c r="WH67" s="12"/>
      <c r="WI67" s="12"/>
      <c r="WJ67" s="12"/>
      <c r="WK67" s="12"/>
      <c r="WL67" s="12"/>
      <c r="WM67" s="12"/>
      <c r="WN67" s="12"/>
      <c r="WO67" s="12"/>
      <c r="WP67" s="12"/>
      <c r="WQ67" s="12"/>
      <c r="WR67" s="12"/>
      <c r="WS67" s="12"/>
      <c r="WT67" s="12"/>
      <c r="WU67" s="12"/>
      <c r="WV67" s="12"/>
      <c r="WW67" s="12"/>
      <c r="WX67" s="12"/>
      <c r="WY67" s="12"/>
      <c r="WZ67" s="12"/>
      <c r="XA67" s="12"/>
      <c r="XB67" s="12"/>
      <c r="XC67" s="12"/>
      <c r="XD67" s="12"/>
      <c r="XE67" s="12"/>
      <c r="XF67" s="12"/>
      <c r="XG67" s="12"/>
      <c r="XH67" s="12"/>
      <c r="XI67" s="12"/>
      <c r="XJ67" s="12"/>
      <c r="XK67" s="12"/>
      <c r="XL67" s="12"/>
      <c r="XM67" s="12"/>
      <c r="XN67" s="12"/>
      <c r="XO67" s="12"/>
      <c r="XP67" s="12"/>
      <c r="XQ67" s="12"/>
      <c r="XR67" s="12"/>
      <c r="XS67" s="12"/>
      <c r="XT67" s="12"/>
      <c r="XU67" s="12"/>
      <c r="XV67" s="12"/>
      <c r="XW67" s="12"/>
      <c r="XX67" s="12"/>
      <c r="XY67" s="12"/>
      <c r="XZ67" s="12"/>
      <c r="YA67" s="12"/>
      <c r="YB67" s="12"/>
      <c r="YC67" s="12"/>
      <c r="YD67" s="12"/>
      <c r="YE67" s="12"/>
      <c r="YF67" s="12"/>
      <c r="YG67" s="12"/>
      <c r="YH67" s="12"/>
      <c r="YI67" s="12"/>
      <c r="YJ67" s="12"/>
      <c r="YK67" s="12"/>
      <c r="YL67" s="12"/>
      <c r="YM67" s="12"/>
      <c r="YN67" s="12"/>
      <c r="YO67" s="12"/>
      <c r="YP67" s="12"/>
      <c r="YQ67" s="12"/>
      <c r="YR67" s="12"/>
      <c r="YS67" s="12"/>
      <c r="YT67" s="12"/>
      <c r="YU67" s="12"/>
      <c r="YV67" s="12"/>
      <c r="YW67" s="12"/>
      <c r="YX67" s="12"/>
      <c r="YY67" s="12"/>
      <c r="YZ67" s="12"/>
      <c r="ZA67" s="12"/>
      <c r="ZB67" s="12"/>
      <c r="ZC67" s="12"/>
      <c r="ZD67" s="12"/>
      <c r="ZE67" s="12"/>
      <c r="ZF67" s="12"/>
      <c r="ZG67" s="12"/>
      <c r="ZH67" s="12"/>
      <c r="ZI67" s="12"/>
      <c r="ZJ67" s="12"/>
      <c r="ZK67" s="12"/>
      <c r="ZL67" s="12"/>
      <c r="ZM67" s="12"/>
      <c r="ZN67" s="12"/>
      <c r="ZO67" s="12"/>
      <c r="ZP67" s="12"/>
      <c r="ZQ67" s="12"/>
      <c r="ZR67" s="12"/>
      <c r="ZS67" s="12"/>
      <c r="ZT67" s="12"/>
      <c r="ZU67" s="12"/>
      <c r="ZV67" s="12"/>
      <c r="ZW67" s="12"/>
      <c r="ZX67" s="12"/>
      <c r="ZY67" s="12"/>
      <c r="ZZ67" s="12"/>
      <c r="AAA67" s="12"/>
      <c r="AAB67" s="12"/>
      <c r="AAC67" s="12"/>
      <c r="AAD67" s="12"/>
      <c r="AAE67" s="12"/>
      <c r="AAF67" s="12"/>
      <c r="AAG67" s="12"/>
      <c r="AAH67" s="12"/>
      <c r="AAI67" s="12"/>
      <c r="AAJ67" s="12"/>
      <c r="AAK67" s="12"/>
      <c r="AAL67" s="12"/>
      <c r="AAM67" s="12"/>
      <c r="AAN67" s="12"/>
      <c r="AAO67" s="12"/>
      <c r="AAP67" s="12"/>
      <c r="AAQ67" s="12"/>
      <c r="AAR67" s="12"/>
      <c r="AAS67" s="12"/>
      <c r="AAT67" s="12"/>
      <c r="AAU67" s="12"/>
      <c r="AAV67" s="12"/>
      <c r="AAW67" s="12"/>
      <c r="AAX67" s="12"/>
      <c r="AAY67" s="12"/>
      <c r="AAZ67" s="12"/>
      <c r="ABA67" s="12"/>
      <c r="ABB67" s="12"/>
      <c r="ABC67" s="12"/>
      <c r="ABD67" s="12"/>
      <c r="ABE67" s="12"/>
      <c r="ABF67" s="12"/>
      <c r="ABG67" s="12"/>
      <c r="ABH67" s="12"/>
      <c r="ABI67" s="12"/>
      <c r="ABJ67" s="12"/>
      <c r="ABK67" s="12"/>
      <c r="ABL67" s="12"/>
      <c r="ABM67" s="12"/>
      <c r="ABN67" s="12"/>
      <c r="ABO67" s="12"/>
      <c r="ABP67" s="12"/>
      <c r="ABQ67" s="12"/>
      <c r="ABR67" s="12"/>
      <c r="ABS67" s="12"/>
      <c r="ABT67" s="12"/>
      <c r="ABU67" s="12"/>
      <c r="ABV67" s="12"/>
      <c r="ABW67" s="12"/>
      <c r="ABX67" s="12"/>
      <c r="ABY67" s="12"/>
      <c r="ABZ67" s="12"/>
      <c r="ACA67" s="12"/>
      <c r="ACB67" s="12"/>
      <c r="ACC67" s="12"/>
      <c r="ACD67" s="12"/>
      <c r="ACE67" s="12"/>
      <c r="ACF67" s="12"/>
      <c r="ACG67" s="12"/>
      <c r="ACH67" s="12"/>
      <c r="ACI67" s="12"/>
      <c r="ACJ67" s="12"/>
      <c r="ACK67" s="12"/>
      <c r="ACL67" s="12"/>
      <c r="ACM67" s="12"/>
      <c r="ACN67" s="12"/>
      <c r="ACO67" s="12"/>
      <c r="ACP67" s="12"/>
      <c r="ACQ67" s="12"/>
      <c r="ACR67" s="12"/>
      <c r="ACS67" s="12"/>
      <c r="ACT67" s="12"/>
      <c r="ACU67" s="12"/>
      <c r="ACV67" s="12"/>
      <c r="ACW67" s="12"/>
      <c r="ACX67" s="12"/>
      <c r="ACY67" s="12"/>
      <c r="ACZ67" s="12"/>
      <c r="ADA67" s="12"/>
      <c r="ADB67" s="12"/>
      <c r="ADC67" s="12"/>
      <c r="ADD67" s="12"/>
      <c r="ADE67" s="12"/>
      <c r="ADF67" s="12"/>
      <c r="ADG67" s="12"/>
      <c r="ADH67" s="12"/>
      <c r="ADI67" s="12"/>
      <c r="ADJ67" s="12"/>
      <c r="ADK67" s="12"/>
      <c r="ADL67" s="12"/>
      <c r="ADM67" s="12"/>
      <c r="ADN67" s="12"/>
      <c r="ADO67" s="12"/>
      <c r="ADP67" s="12"/>
      <c r="ADQ67" s="12"/>
      <c r="ADR67" s="12"/>
      <c r="ADS67" s="12"/>
      <c r="ADT67" s="12"/>
      <c r="ADU67" s="12"/>
      <c r="ADV67" s="12"/>
      <c r="ADW67" s="12"/>
      <c r="ADX67" s="12"/>
      <c r="ADY67" s="12"/>
      <c r="ADZ67" s="12"/>
      <c r="AEA67" s="12"/>
      <c r="AEB67" s="12"/>
      <c r="AEC67" s="12"/>
      <c r="AED67" s="12"/>
      <c r="AEE67" s="12"/>
      <c r="AEF67" s="12"/>
      <c r="AEG67" s="12"/>
      <c r="AEH67" s="12"/>
      <c r="AEI67" s="12"/>
      <c r="AEJ67" s="12"/>
      <c r="AEK67" s="12"/>
      <c r="AEL67" s="12"/>
      <c r="AEM67" s="12"/>
      <c r="AEN67" s="12"/>
      <c r="AEO67" s="12"/>
      <c r="AEP67" s="12"/>
      <c r="AEQ67" s="12"/>
      <c r="AER67" s="12"/>
      <c r="AES67" s="12"/>
      <c r="AET67" s="12"/>
      <c r="AEU67" s="12"/>
      <c r="AEV67" s="12"/>
    </row>
    <row r="68" spans="1:828" s="27" customFormat="1" ht="18" x14ac:dyDescent="0.2">
      <c r="A68" s="67"/>
      <c r="B68" s="30"/>
      <c r="C68" s="23"/>
      <c r="D68" s="29"/>
      <c r="E68" s="23"/>
      <c r="F68" s="23"/>
      <c r="G68" s="23"/>
      <c r="H68" s="30"/>
      <c r="I68" s="23"/>
      <c r="J68" s="29"/>
      <c r="K68" s="30"/>
      <c r="L68" s="23"/>
      <c r="M68" s="29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2"/>
      <c r="FJ68" s="12"/>
      <c r="FK68" s="12"/>
      <c r="FL68" s="12"/>
      <c r="FM68" s="12"/>
      <c r="FN68" s="12"/>
      <c r="FO68" s="12"/>
      <c r="FP68" s="12"/>
      <c r="FQ68" s="12"/>
      <c r="FR68" s="12"/>
      <c r="FS68" s="12"/>
      <c r="FT68" s="12"/>
      <c r="FU68" s="12"/>
      <c r="FV68" s="12"/>
      <c r="FW68" s="12"/>
      <c r="FX68" s="12"/>
      <c r="FY68" s="12"/>
      <c r="FZ68" s="12"/>
      <c r="GA68" s="12"/>
      <c r="GB68" s="12"/>
      <c r="GC68" s="12"/>
      <c r="GD68" s="12"/>
      <c r="GE68" s="12"/>
      <c r="GF68" s="12"/>
      <c r="GG68" s="12"/>
      <c r="GH68" s="12"/>
      <c r="GI68" s="12"/>
      <c r="GJ68" s="12"/>
      <c r="GK68" s="12"/>
      <c r="GL68" s="12"/>
      <c r="GM68" s="12"/>
      <c r="GN68" s="12"/>
      <c r="GO68" s="12"/>
      <c r="GP68" s="12"/>
      <c r="GQ68" s="12"/>
      <c r="GR68" s="12"/>
      <c r="GS68" s="12"/>
      <c r="GT68" s="12"/>
      <c r="GU68" s="12"/>
      <c r="GV68" s="12"/>
      <c r="GW68" s="12"/>
      <c r="GX68" s="12"/>
      <c r="GY68" s="12"/>
      <c r="GZ68" s="12"/>
      <c r="HA68" s="12"/>
      <c r="HB68" s="12"/>
      <c r="HC68" s="12"/>
      <c r="HD68" s="12"/>
      <c r="HE68" s="12"/>
      <c r="HF68" s="12"/>
      <c r="HG68" s="12"/>
      <c r="HH68" s="12"/>
      <c r="HI68" s="12"/>
      <c r="HJ68" s="12"/>
      <c r="HK68" s="12"/>
      <c r="HL68" s="12"/>
      <c r="HM68" s="12"/>
      <c r="HN68" s="12"/>
      <c r="HO68" s="12"/>
      <c r="HP68" s="12"/>
      <c r="HQ68" s="12"/>
      <c r="HR68" s="12"/>
      <c r="HS68" s="12"/>
      <c r="HT68" s="12"/>
      <c r="HU68" s="12"/>
      <c r="HV68" s="12"/>
      <c r="HW68" s="12"/>
      <c r="HX68" s="12"/>
      <c r="HY68" s="12"/>
      <c r="HZ68" s="12"/>
      <c r="IA68" s="12"/>
      <c r="IB68" s="12"/>
      <c r="IC68" s="12"/>
      <c r="ID68" s="12"/>
      <c r="IE68" s="12"/>
      <c r="IF68" s="12"/>
      <c r="IG68" s="12"/>
      <c r="IH68" s="12"/>
      <c r="II68" s="12"/>
      <c r="IJ68" s="12"/>
      <c r="IK68" s="12"/>
      <c r="IL68" s="12"/>
      <c r="IM68" s="12"/>
      <c r="IN68" s="12"/>
      <c r="IO68" s="12"/>
      <c r="IP68" s="12"/>
      <c r="IQ68" s="12"/>
      <c r="IR68" s="12"/>
      <c r="IS68" s="12"/>
      <c r="IT68" s="12"/>
      <c r="IU68" s="12"/>
      <c r="IV68" s="12"/>
      <c r="IW68" s="12"/>
      <c r="IX68" s="12"/>
      <c r="IY68" s="12"/>
      <c r="IZ68" s="12"/>
      <c r="JA68" s="12"/>
      <c r="JB68" s="12"/>
      <c r="JC68" s="12"/>
      <c r="JD68" s="12"/>
      <c r="JE68" s="12"/>
      <c r="JF68" s="12"/>
      <c r="JG68" s="12"/>
      <c r="JH68" s="12"/>
      <c r="JI68" s="12"/>
      <c r="JJ68" s="12"/>
      <c r="JK68" s="12"/>
      <c r="JL68" s="12"/>
      <c r="JM68" s="12"/>
      <c r="JN68" s="12"/>
      <c r="JO68" s="12"/>
      <c r="JP68" s="12"/>
      <c r="JQ68" s="12"/>
      <c r="JR68" s="12"/>
      <c r="JS68" s="12"/>
      <c r="JT68" s="12"/>
      <c r="JU68" s="12"/>
      <c r="JV68" s="12"/>
      <c r="JW68" s="12"/>
      <c r="JX68" s="12"/>
      <c r="JY68" s="12"/>
      <c r="JZ68" s="12"/>
      <c r="KA68" s="12"/>
      <c r="KB68" s="12"/>
      <c r="KC68" s="12"/>
      <c r="KD68" s="12"/>
      <c r="KE68" s="12"/>
      <c r="KF68" s="12"/>
      <c r="KG68" s="12"/>
      <c r="KH68" s="12"/>
      <c r="KI68" s="12"/>
      <c r="KJ68" s="12"/>
      <c r="KK68" s="12"/>
      <c r="KL68" s="12"/>
      <c r="KM68" s="12"/>
      <c r="KN68" s="12"/>
      <c r="KO68" s="12"/>
      <c r="KP68" s="12"/>
      <c r="KQ68" s="12"/>
      <c r="KR68" s="12"/>
      <c r="KS68" s="12"/>
      <c r="KT68" s="12"/>
      <c r="KU68" s="12"/>
      <c r="KV68" s="12"/>
      <c r="KW68" s="12"/>
      <c r="KX68" s="12"/>
      <c r="KY68" s="12"/>
      <c r="KZ68" s="12"/>
      <c r="LA68" s="12"/>
      <c r="LB68" s="12"/>
      <c r="LC68" s="12"/>
      <c r="LD68" s="12"/>
      <c r="LE68" s="12"/>
      <c r="LF68" s="12"/>
      <c r="LG68" s="12"/>
      <c r="LH68" s="12"/>
      <c r="LI68" s="12"/>
      <c r="LJ68" s="12"/>
      <c r="LK68" s="12"/>
      <c r="LL68" s="12"/>
      <c r="LM68" s="12"/>
      <c r="LN68" s="12"/>
      <c r="LO68" s="12"/>
      <c r="LP68" s="12"/>
      <c r="LQ68" s="12"/>
      <c r="LR68" s="12"/>
      <c r="LS68" s="12"/>
      <c r="LT68" s="12"/>
      <c r="LU68" s="12"/>
      <c r="LV68" s="12"/>
      <c r="LW68" s="12"/>
      <c r="LX68" s="12"/>
      <c r="LY68" s="12"/>
      <c r="LZ68" s="12"/>
      <c r="MA68" s="12"/>
      <c r="MB68" s="12"/>
      <c r="MC68" s="12"/>
      <c r="MD68" s="12"/>
      <c r="ME68" s="12"/>
      <c r="MF68" s="12"/>
      <c r="MG68" s="12"/>
      <c r="MH68" s="12"/>
      <c r="MI68" s="12"/>
      <c r="MJ68" s="12"/>
      <c r="MK68" s="12"/>
      <c r="ML68" s="12"/>
      <c r="MM68" s="12"/>
      <c r="MN68" s="12"/>
      <c r="MO68" s="12"/>
      <c r="MP68" s="12"/>
      <c r="MQ68" s="12"/>
      <c r="MR68" s="12"/>
      <c r="MS68" s="12"/>
      <c r="MT68" s="12"/>
      <c r="MU68" s="12"/>
      <c r="MV68" s="12"/>
      <c r="MW68" s="12"/>
      <c r="MX68" s="12"/>
      <c r="MY68" s="12"/>
      <c r="MZ68" s="12"/>
      <c r="NA68" s="12"/>
      <c r="NB68" s="12"/>
      <c r="NC68" s="12"/>
      <c r="ND68" s="12"/>
      <c r="NE68" s="12"/>
      <c r="NF68" s="12"/>
      <c r="NG68" s="12"/>
      <c r="NH68" s="12"/>
      <c r="NI68" s="12"/>
      <c r="NJ68" s="12"/>
      <c r="NK68" s="12"/>
      <c r="NL68" s="12"/>
      <c r="NM68" s="12"/>
      <c r="NN68" s="12"/>
      <c r="NO68" s="12"/>
      <c r="NP68" s="12"/>
      <c r="NQ68" s="12"/>
      <c r="NR68" s="12"/>
      <c r="NS68" s="12"/>
      <c r="NT68" s="12"/>
      <c r="NU68" s="12"/>
      <c r="NV68" s="12"/>
      <c r="NW68" s="12"/>
      <c r="NX68" s="12"/>
      <c r="NY68" s="12"/>
      <c r="NZ68" s="12"/>
      <c r="OA68" s="12"/>
      <c r="OB68" s="12"/>
      <c r="OC68" s="12"/>
      <c r="OD68" s="12"/>
      <c r="OE68" s="12"/>
      <c r="OF68" s="12"/>
      <c r="OG68" s="12"/>
      <c r="OH68" s="12"/>
      <c r="OI68" s="12"/>
      <c r="OJ68" s="12"/>
      <c r="OK68" s="12"/>
      <c r="OL68" s="12"/>
      <c r="OM68" s="12"/>
      <c r="ON68" s="12"/>
      <c r="OO68" s="12"/>
      <c r="OP68" s="12"/>
      <c r="OQ68" s="12"/>
      <c r="OR68" s="12"/>
      <c r="OS68" s="12"/>
      <c r="OT68" s="12"/>
      <c r="OU68" s="12"/>
      <c r="OV68" s="12"/>
      <c r="OW68" s="12"/>
      <c r="OX68" s="12"/>
      <c r="OY68" s="12"/>
      <c r="OZ68" s="12"/>
      <c r="PA68" s="12"/>
      <c r="PB68" s="12"/>
      <c r="PC68" s="12"/>
      <c r="PD68" s="12"/>
      <c r="PE68" s="12"/>
      <c r="PF68" s="12"/>
      <c r="PG68" s="12"/>
      <c r="PH68" s="12"/>
      <c r="PI68" s="12"/>
      <c r="PJ68" s="12"/>
      <c r="PK68" s="12"/>
      <c r="PL68" s="12"/>
      <c r="PM68" s="12"/>
      <c r="PN68" s="12"/>
      <c r="PO68" s="12"/>
      <c r="PP68" s="12"/>
      <c r="PQ68" s="12"/>
      <c r="PR68" s="12"/>
      <c r="PS68" s="12"/>
      <c r="PT68" s="12"/>
      <c r="PU68" s="12"/>
      <c r="PV68" s="12"/>
      <c r="PW68" s="12"/>
      <c r="PX68" s="12"/>
      <c r="PY68" s="12"/>
      <c r="PZ68" s="12"/>
      <c r="QA68" s="12"/>
      <c r="QB68" s="12"/>
      <c r="QC68" s="12"/>
      <c r="QD68" s="12"/>
      <c r="QE68" s="12"/>
      <c r="QF68" s="12"/>
      <c r="QG68" s="12"/>
      <c r="QH68" s="12"/>
      <c r="QI68" s="12"/>
      <c r="QJ68" s="12"/>
      <c r="QK68" s="12"/>
      <c r="QL68" s="12"/>
      <c r="QM68" s="12"/>
      <c r="QN68" s="12"/>
      <c r="QO68" s="12"/>
      <c r="QP68" s="12"/>
      <c r="QQ68" s="12"/>
      <c r="QR68" s="12"/>
      <c r="QS68" s="12"/>
      <c r="QT68" s="12"/>
      <c r="QU68" s="12"/>
      <c r="QV68" s="12"/>
      <c r="QW68" s="12"/>
      <c r="QX68" s="12"/>
      <c r="QY68" s="12"/>
      <c r="QZ68" s="12"/>
      <c r="RA68" s="12"/>
      <c r="RB68" s="12"/>
      <c r="RC68" s="12"/>
      <c r="RD68" s="12"/>
      <c r="RE68" s="12"/>
      <c r="RF68" s="12"/>
      <c r="RG68" s="12"/>
      <c r="RH68" s="12"/>
      <c r="RI68" s="12"/>
      <c r="RJ68" s="12"/>
      <c r="RK68" s="12"/>
      <c r="RL68" s="12"/>
      <c r="RM68" s="12"/>
      <c r="RN68" s="12"/>
      <c r="RO68" s="12"/>
      <c r="RP68" s="12"/>
      <c r="RQ68" s="12"/>
      <c r="RR68" s="12"/>
      <c r="RS68" s="12"/>
      <c r="RT68" s="12"/>
      <c r="RU68" s="12"/>
      <c r="RV68" s="12"/>
      <c r="RW68" s="12"/>
      <c r="RX68" s="12"/>
      <c r="RY68" s="12"/>
      <c r="RZ68" s="12"/>
      <c r="SA68" s="12"/>
      <c r="SB68" s="12"/>
      <c r="SC68" s="12"/>
      <c r="SD68" s="12"/>
      <c r="SE68" s="12"/>
      <c r="SF68" s="12"/>
      <c r="SG68" s="12"/>
      <c r="SH68" s="12"/>
      <c r="SI68" s="12"/>
      <c r="SJ68" s="12"/>
      <c r="SK68" s="12"/>
      <c r="SL68" s="12"/>
      <c r="SM68" s="12"/>
      <c r="SN68" s="12"/>
      <c r="SO68" s="12"/>
      <c r="SP68" s="12"/>
      <c r="SQ68" s="12"/>
      <c r="SR68" s="12"/>
      <c r="SS68" s="12"/>
      <c r="ST68" s="12"/>
      <c r="SU68" s="12"/>
      <c r="SV68" s="12"/>
      <c r="SW68" s="12"/>
      <c r="SX68" s="12"/>
      <c r="SY68" s="12"/>
      <c r="SZ68" s="12"/>
      <c r="TA68" s="12"/>
      <c r="TB68" s="12"/>
      <c r="TC68" s="12"/>
      <c r="TD68" s="12"/>
      <c r="TE68" s="12"/>
      <c r="TF68" s="12"/>
      <c r="TG68" s="12"/>
      <c r="TH68" s="12"/>
      <c r="TI68" s="12"/>
      <c r="TJ68" s="12"/>
      <c r="TK68" s="12"/>
      <c r="TL68" s="12"/>
      <c r="TM68" s="12"/>
      <c r="TN68" s="12"/>
      <c r="TO68" s="12"/>
      <c r="TP68" s="12"/>
      <c r="TQ68" s="12"/>
      <c r="TR68" s="12"/>
      <c r="TS68" s="12"/>
      <c r="TT68" s="12"/>
      <c r="TU68" s="12"/>
      <c r="TV68" s="12"/>
      <c r="TW68" s="12"/>
      <c r="TX68" s="12"/>
      <c r="TY68" s="12"/>
      <c r="TZ68" s="12"/>
      <c r="UA68" s="12"/>
      <c r="UB68" s="12"/>
      <c r="UC68" s="12"/>
      <c r="UD68" s="12"/>
      <c r="UE68" s="12"/>
      <c r="UF68" s="12"/>
      <c r="UG68" s="12"/>
      <c r="UH68" s="12"/>
      <c r="UI68" s="12"/>
      <c r="UJ68" s="12"/>
      <c r="UK68" s="12"/>
      <c r="UL68" s="12"/>
      <c r="UM68" s="12"/>
      <c r="UN68" s="12"/>
      <c r="UO68" s="12"/>
      <c r="UP68" s="12"/>
      <c r="UQ68" s="12"/>
      <c r="UR68" s="12"/>
      <c r="US68" s="12"/>
      <c r="UT68" s="12"/>
      <c r="UU68" s="12"/>
      <c r="UV68" s="12"/>
      <c r="UW68" s="12"/>
      <c r="UX68" s="12"/>
      <c r="UY68" s="12"/>
      <c r="UZ68" s="12"/>
      <c r="VA68" s="12"/>
      <c r="VB68" s="12"/>
      <c r="VC68" s="12"/>
      <c r="VD68" s="12"/>
      <c r="VE68" s="12"/>
      <c r="VF68" s="12"/>
      <c r="VG68" s="12"/>
      <c r="VH68" s="12"/>
      <c r="VI68" s="12"/>
      <c r="VJ68" s="12"/>
      <c r="VK68" s="12"/>
      <c r="VL68" s="12"/>
      <c r="VM68" s="12"/>
      <c r="VN68" s="12"/>
      <c r="VO68" s="12"/>
      <c r="VP68" s="12"/>
      <c r="VQ68" s="12"/>
      <c r="VR68" s="12"/>
      <c r="VS68" s="12"/>
      <c r="VT68" s="12"/>
      <c r="VU68" s="12"/>
      <c r="VV68" s="12"/>
      <c r="VW68" s="12"/>
      <c r="VX68" s="12"/>
      <c r="VY68" s="12"/>
      <c r="VZ68" s="12"/>
      <c r="WA68" s="12"/>
      <c r="WB68" s="12"/>
      <c r="WC68" s="12"/>
      <c r="WD68" s="12"/>
      <c r="WE68" s="12"/>
      <c r="WF68" s="12"/>
      <c r="WG68" s="12"/>
      <c r="WH68" s="12"/>
      <c r="WI68" s="12"/>
      <c r="WJ68" s="12"/>
      <c r="WK68" s="12"/>
      <c r="WL68" s="12"/>
      <c r="WM68" s="12"/>
      <c r="WN68" s="12"/>
      <c r="WO68" s="12"/>
      <c r="WP68" s="12"/>
      <c r="WQ68" s="12"/>
      <c r="WR68" s="12"/>
      <c r="WS68" s="12"/>
      <c r="WT68" s="12"/>
      <c r="WU68" s="12"/>
      <c r="WV68" s="12"/>
      <c r="WW68" s="12"/>
      <c r="WX68" s="12"/>
      <c r="WY68" s="12"/>
      <c r="WZ68" s="12"/>
      <c r="XA68" s="12"/>
      <c r="XB68" s="12"/>
      <c r="XC68" s="12"/>
      <c r="XD68" s="12"/>
      <c r="XE68" s="12"/>
      <c r="XF68" s="12"/>
      <c r="XG68" s="12"/>
      <c r="XH68" s="12"/>
      <c r="XI68" s="12"/>
      <c r="XJ68" s="12"/>
      <c r="XK68" s="12"/>
      <c r="XL68" s="12"/>
      <c r="XM68" s="12"/>
      <c r="XN68" s="12"/>
      <c r="XO68" s="12"/>
      <c r="XP68" s="12"/>
      <c r="XQ68" s="12"/>
      <c r="XR68" s="12"/>
      <c r="XS68" s="12"/>
      <c r="XT68" s="12"/>
      <c r="XU68" s="12"/>
      <c r="XV68" s="12"/>
      <c r="XW68" s="12"/>
      <c r="XX68" s="12"/>
      <c r="XY68" s="12"/>
      <c r="XZ68" s="12"/>
      <c r="YA68" s="12"/>
      <c r="YB68" s="12"/>
      <c r="YC68" s="12"/>
      <c r="YD68" s="12"/>
      <c r="YE68" s="12"/>
      <c r="YF68" s="12"/>
      <c r="YG68" s="12"/>
      <c r="YH68" s="12"/>
      <c r="YI68" s="12"/>
      <c r="YJ68" s="12"/>
      <c r="YK68" s="12"/>
      <c r="YL68" s="12"/>
      <c r="YM68" s="12"/>
      <c r="YN68" s="12"/>
      <c r="YO68" s="12"/>
      <c r="YP68" s="12"/>
      <c r="YQ68" s="12"/>
      <c r="YR68" s="12"/>
      <c r="YS68" s="12"/>
      <c r="YT68" s="12"/>
      <c r="YU68" s="12"/>
      <c r="YV68" s="12"/>
      <c r="YW68" s="12"/>
      <c r="YX68" s="12"/>
      <c r="YY68" s="12"/>
      <c r="YZ68" s="12"/>
      <c r="ZA68" s="12"/>
      <c r="ZB68" s="12"/>
      <c r="ZC68" s="12"/>
      <c r="ZD68" s="12"/>
      <c r="ZE68" s="12"/>
      <c r="ZF68" s="12"/>
      <c r="ZG68" s="12"/>
      <c r="ZH68" s="12"/>
      <c r="ZI68" s="12"/>
      <c r="ZJ68" s="12"/>
      <c r="ZK68" s="12"/>
      <c r="ZL68" s="12"/>
      <c r="ZM68" s="12"/>
      <c r="ZN68" s="12"/>
      <c r="ZO68" s="12"/>
      <c r="ZP68" s="12"/>
      <c r="ZQ68" s="12"/>
      <c r="ZR68" s="12"/>
      <c r="ZS68" s="12"/>
      <c r="ZT68" s="12"/>
      <c r="ZU68" s="12"/>
      <c r="ZV68" s="12"/>
      <c r="ZW68" s="12"/>
      <c r="ZX68" s="12"/>
      <c r="ZY68" s="12"/>
      <c r="ZZ68" s="12"/>
      <c r="AAA68" s="12"/>
      <c r="AAB68" s="12"/>
      <c r="AAC68" s="12"/>
      <c r="AAD68" s="12"/>
      <c r="AAE68" s="12"/>
      <c r="AAF68" s="12"/>
      <c r="AAG68" s="12"/>
      <c r="AAH68" s="12"/>
      <c r="AAI68" s="12"/>
      <c r="AAJ68" s="12"/>
      <c r="AAK68" s="12"/>
      <c r="AAL68" s="12"/>
      <c r="AAM68" s="12"/>
      <c r="AAN68" s="12"/>
      <c r="AAO68" s="12"/>
      <c r="AAP68" s="12"/>
      <c r="AAQ68" s="12"/>
      <c r="AAR68" s="12"/>
      <c r="AAS68" s="12"/>
      <c r="AAT68" s="12"/>
      <c r="AAU68" s="12"/>
      <c r="AAV68" s="12"/>
      <c r="AAW68" s="12"/>
      <c r="AAX68" s="12"/>
      <c r="AAY68" s="12"/>
      <c r="AAZ68" s="12"/>
      <c r="ABA68" s="12"/>
      <c r="ABB68" s="12"/>
      <c r="ABC68" s="12"/>
      <c r="ABD68" s="12"/>
      <c r="ABE68" s="12"/>
      <c r="ABF68" s="12"/>
      <c r="ABG68" s="12"/>
      <c r="ABH68" s="12"/>
      <c r="ABI68" s="12"/>
      <c r="ABJ68" s="12"/>
      <c r="ABK68" s="12"/>
      <c r="ABL68" s="12"/>
      <c r="ABM68" s="12"/>
      <c r="ABN68" s="12"/>
      <c r="ABO68" s="12"/>
      <c r="ABP68" s="12"/>
      <c r="ABQ68" s="12"/>
      <c r="ABR68" s="12"/>
      <c r="ABS68" s="12"/>
      <c r="ABT68" s="12"/>
      <c r="ABU68" s="12"/>
      <c r="ABV68" s="12"/>
      <c r="ABW68" s="12"/>
      <c r="ABX68" s="12"/>
      <c r="ABY68" s="12"/>
      <c r="ABZ68" s="12"/>
      <c r="ACA68" s="12"/>
      <c r="ACB68" s="12"/>
      <c r="ACC68" s="12"/>
      <c r="ACD68" s="12"/>
      <c r="ACE68" s="12"/>
      <c r="ACF68" s="12"/>
      <c r="ACG68" s="12"/>
      <c r="ACH68" s="12"/>
      <c r="ACI68" s="12"/>
      <c r="ACJ68" s="12"/>
      <c r="ACK68" s="12"/>
      <c r="ACL68" s="12"/>
      <c r="ACM68" s="12"/>
      <c r="ACN68" s="12"/>
      <c r="ACO68" s="12"/>
      <c r="ACP68" s="12"/>
      <c r="ACQ68" s="12"/>
      <c r="ACR68" s="12"/>
      <c r="ACS68" s="12"/>
      <c r="ACT68" s="12"/>
      <c r="ACU68" s="12"/>
      <c r="ACV68" s="12"/>
      <c r="ACW68" s="12"/>
      <c r="ACX68" s="12"/>
      <c r="ACY68" s="12"/>
      <c r="ACZ68" s="12"/>
      <c r="ADA68" s="12"/>
      <c r="ADB68" s="12"/>
      <c r="ADC68" s="12"/>
      <c r="ADD68" s="12"/>
      <c r="ADE68" s="12"/>
      <c r="ADF68" s="12"/>
      <c r="ADG68" s="12"/>
      <c r="ADH68" s="12"/>
      <c r="ADI68" s="12"/>
      <c r="ADJ68" s="12"/>
      <c r="ADK68" s="12"/>
      <c r="ADL68" s="12"/>
      <c r="ADM68" s="12"/>
      <c r="ADN68" s="12"/>
      <c r="ADO68" s="12"/>
      <c r="ADP68" s="12"/>
      <c r="ADQ68" s="12"/>
      <c r="ADR68" s="12"/>
      <c r="ADS68" s="12"/>
      <c r="ADT68" s="12"/>
      <c r="ADU68" s="12"/>
      <c r="ADV68" s="12"/>
      <c r="ADW68" s="12"/>
      <c r="ADX68" s="12"/>
      <c r="ADY68" s="12"/>
      <c r="ADZ68" s="12"/>
      <c r="AEA68" s="12"/>
      <c r="AEB68" s="12"/>
      <c r="AEC68" s="12"/>
      <c r="AED68" s="12"/>
      <c r="AEE68" s="12"/>
      <c r="AEF68" s="12"/>
      <c r="AEG68" s="12"/>
      <c r="AEH68" s="12"/>
      <c r="AEI68" s="12"/>
      <c r="AEJ68" s="12"/>
      <c r="AEK68" s="12"/>
      <c r="AEL68" s="12"/>
      <c r="AEM68" s="12"/>
      <c r="AEN68" s="12"/>
      <c r="AEO68" s="12"/>
      <c r="AEP68" s="12"/>
      <c r="AEQ68" s="12"/>
      <c r="AER68" s="12"/>
      <c r="AES68" s="12"/>
      <c r="AET68" s="12"/>
      <c r="AEU68" s="12"/>
      <c r="AEV68" s="12"/>
    </row>
    <row r="69" spans="1:828" s="27" customFormat="1" ht="18" x14ac:dyDescent="0.2">
      <c r="A69" s="67"/>
      <c r="B69" s="30"/>
      <c r="C69" s="23"/>
      <c r="D69" s="29"/>
      <c r="E69" s="23"/>
      <c r="F69" s="23"/>
      <c r="G69" s="23"/>
      <c r="H69" s="30"/>
      <c r="I69" s="23"/>
      <c r="J69" s="29"/>
      <c r="K69" s="30"/>
      <c r="L69" s="23"/>
      <c r="M69" s="29"/>
      <c r="N69" s="12"/>
      <c r="O69" s="12"/>
      <c r="P69" s="68"/>
      <c r="Q69" s="68"/>
      <c r="R69" s="68"/>
      <c r="S69" s="68"/>
      <c r="T69" s="68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2"/>
      <c r="FJ69" s="12"/>
      <c r="FK69" s="12"/>
      <c r="FL69" s="12"/>
      <c r="FM69" s="12"/>
      <c r="FN69" s="12"/>
      <c r="FO69" s="12"/>
      <c r="FP69" s="12"/>
      <c r="FQ69" s="12"/>
      <c r="FR69" s="12"/>
      <c r="FS69" s="12"/>
      <c r="FT69" s="12"/>
      <c r="FU69" s="12"/>
      <c r="FV69" s="12"/>
      <c r="FW69" s="12"/>
      <c r="FX69" s="12"/>
      <c r="FY69" s="12"/>
      <c r="FZ69" s="12"/>
      <c r="GA69" s="12"/>
      <c r="GB69" s="12"/>
      <c r="GC69" s="12"/>
      <c r="GD69" s="12"/>
      <c r="GE69" s="12"/>
      <c r="GF69" s="12"/>
      <c r="GG69" s="12"/>
      <c r="GH69" s="12"/>
      <c r="GI69" s="12"/>
      <c r="GJ69" s="12"/>
      <c r="GK69" s="12"/>
      <c r="GL69" s="12"/>
      <c r="GM69" s="12"/>
      <c r="GN69" s="12"/>
      <c r="GO69" s="12"/>
      <c r="GP69" s="12"/>
      <c r="GQ69" s="12"/>
      <c r="GR69" s="12"/>
      <c r="GS69" s="12"/>
      <c r="GT69" s="12"/>
      <c r="GU69" s="12"/>
      <c r="GV69" s="12"/>
      <c r="GW69" s="12"/>
      <c r="GX69" s="12"/>
      <c r="GY69" s="12"/>
      <c r="GZ69" s="12"/>
      <c r="HA69" s="12"/>
      <c r="HB69" s="12"/>
      <c r="HC69" s="12"/>
      <c r="HD69" s="12"/>
      <c r="HE69" s="12"/>
      <c r="HF69" s="12"/>
      <c r="HG69" s="12"/>
      <c r="HH69" s="12"/>
      <c r="HI69" s="12"/>
      <c r="HJ69" s="12"/>
      <c r="HK69" s="12"/>
      <c r="HL69" s="12"/>
      <c r="HM69" s="12"/>
      <c r="HN69" s="12"/>
      <c r="HO69" s="12"/>
      <c r="HP69" s="12"/>
      <c r="HQ69" s="12"/>
      <c r="HR69" s="12"/>
      <c r="HS69" s="12"/>
      <c r="HT69" s="12"/>
      <c r="HU69" s="12"/>
      <c r="HV69" s="12"/>
      <c r="HW69" s="12"/>
      <c r="HX69" s="12"/>
      <c r="HY69" s="12"/>
      <c r="HZ69" s="12"/>
      <c r="IA69" s="12"/>
      <c r="IB69" s="12"/>
      <c r="IC69" s="12"/>
      <c r="ID69" s="12"/>
      <c r="IE69" s="12"/>
      <c r="IF69" s="12"/>
      <c r="IG69" s="12"/>
      <c r="IH69" s="12"/>
      <c r="II69" s="12"/>
      <c r="IJ69" s="12"/>
      <c r="IK69" s="12"/>
      <c r="IL69" s="12"/>
      <c r="IM69" s="12"/>
      <c r="IN69" s="12"/>
      <c r="IO69" s="12"/>
      <c r="IP69" s="12"/>
      <c r="IQ69" s="12"/>
      <c r="IR69" s="12"/>
      <c r="IS69" s="12"/>
      <c r="IT69" s="12"/>
      <c r="IU69" s="12"/>
      <c r="IV69" s="12"/>
      <c r="IW69" s="12"/>
      <c r="IX69" s="12"/>
      <c r="IY69" s="12"/>
      <c r="IZ69" s="12"/>
      <c r="JA69" s="12"/>
      <c r="JB69" s="12"/>
      <c r="JC69" s="12"/>
      <c r="JD69" s="12"/>
      <c r="JE69" s="12"/>
      <c r="JF69" s="12"/>
      <c r="JG69" s="12"/>
      <c r="JH69" s="12"/>
      <c r="JI69" s="12"/>
      <c r="JJ69" s="12"/>
      <c r="JK69" s="12"/>
      <c r="JL69" s="12"/>
      <c r="JM69" s="12"/>
      <c r="JN69" s="12"/>
      <c r="JO69" s="12"/>
      <c r="JP69" s="12"/>
      <c r="JQ69" s="12"/>
      <c r="JR69" s="12"/>
      <c r="JS69" s="12"/>
      <c r="JT69" s="12"/>
      <c r="JU69" s="12"/>
      <c r="JV69" s="12"/>
      <c r="JW69" s="12"/>
      <c r="JX69" s="12"/>
      <c r="JY69" s="12"/>
      <c r="JZ69" s="12"/>
      <c r="KA69" s="12"/>
      <c r="KB69" s="12"/>
      <c r="KC69" s="12"/>
      <c r="KD69" s="12"/>
      <c r="KE69" s="12"/>
      <c r="KF69" s="12"/>
      <c r="KG69" s="12"/>
      <c r="KH69" s="12"/>
      <c r="KI69" s="12"/>
      <c r="KJ69" s="12"/>
      <c r="KK69" s="12"/>
      <c r="KL69" s="12"/>
      <c r="KM69" s="12"/>
      <c r="KN69" s="12"/>
      <c r="KO69" s="12"/>
      <c r="KP69" s="12"/>
      <c r="KQ69" s="12"/>
      <c r="KR69" s="12"/>
      <c r="KS69" s="12"/>
      <c r="KT69" s="12"/>
      <c r="KU69" s="12"/>
      <c r="KV69" s="12"/>
      <c r="KW69" s="12"/>
      <c r="KX69" s="12"/>
      <c r="KY69" s="12"/>
      <c r="KZ69" s="12"/>
      <c r="LA69" s="12"/>
      <c r="LB69" s="12"/>
      <c r="LC69" s="12"/>
      <c r="LD69" s="12"/>
      <c r="LE69" s="12"/>
      <c r="LF69" s="12"/>
      <c r="LG69" s="12"/>
      <c r="LH69" s="12"/>
      <c r="LI69" s="12"/>
      <c r="LJ69" s="12"/>
      <c r="LK69" s="12"/>
      <c r="LL69" s="12"/>
      <c r="LM69" s="12"/>
      <c r="LN69" s="12"/>
      <c r="LO69" s="12"/>
      <c r="LP69" s="12"/>
      <c r="LQ69" s="12"/>
      <c r="LR69" s="12"/>
      <c r="LS69" s="12"/>
      <c r="LT69" s="12"/>
      <c r="LU69" s="12"/>
      <c r="LV69" s="12"/>
      <c r="LW69" s="12"/>
      <c r="LX69" s="12"/>
      <c r="LY69" s="12"/>
      <c r="LZ69" s="12"/>
      <c r="MA69" s="12"/>
      <c r="MB69" s="12"/>
      <c r="MC69" s="12"/>
      <c r="MD69" s="12"/>
      <c r="ME69" s="12"/>
      <c r="MF69" s="12"/>
      <c r="MG69" s="12"/>
      <c r="MH69" s="12"/>
      <c r="MI69" s="12"/>
      <c r="MJ69" s="12"/>
      <c r="MK69" s="12"/>
      <c r="ML69" s="12"/>
      <c r="MM69" s="12"/>
      <c r="MN69" s="12"/>
      <c r="MO69" s="12"/>
      <c r="MP69" s="12"/>
      <c r="MQ69" s="12"/>
      <c r="MR69" s="12"/>
      <c r="MS69" s="12"/>
      <c r="MT69" s="12"/>
      <c r="MU69" s="12"/>
      <c r="MV69" s="12"/>
      <c r="MW69" s="12"/>
      <c r="MX69" s="12"/>
      <c r="MY69" s="12"/>
      <c r="MZ69" s="12"/>
      <c r="NA69" s="12"/>
      <c r="NB69" s="12"/>
      <c r="NC69" s="12"/>
      <c r="ND69" s="12"/>
      <c r="NE69" s="12"/>
      <c r="NF69" s="12"/>
      <c r="NG69" s="12"/>
      <c r="NH69" s="12"/>
      <c r="NI69" s="12"/>
      <c r="NJ69" s="12"/>
      <c r="NK69" s="12"/>
      <c r="NL69" s="12"/>
      <c r="NM69" s="12"/>
      <c r="NN69" s="12"/>
      <c r="NO69" s="12"/>
      <c r="NP69" s="12"/>
      <c r="NQ69" s="12"/>
      <c r="NR69" s="12"/>
      <c r="NS69" s="12"/>
      <c r="NT69" s="12"/>
      <c r="NU69" s="12"/>
      <c r="NV69" s="12"/>
      <c r="NW69" s="12"/>
      <c r="NX69" s="12"/>
      <c r="NY69" s="12"/>
      <c r="NZ69" s="12"/>
      <c r="OA69" s="12"/>
      <c r="OB69" s="12"/>
      <c r="OC69" s="12"/>
      <c r="OD69" s="12"/>
      <c r="OE69" s="12"/>
      <c r="OF69" s="12"/>
      <c r="OG69" s="12"/>
      <c r="OH69" s="12"/>
      <c r="OI69" s="12"/>
      <c r="OJ69" s="12"/>
      <c r="OK69" s="12"/>
      <c r="OL69" s="12"/>
      <c r="OM69" s="12"/>
      <c r="ON69" s="12"/>
      <c r="OO69" s="12"/>
      <c r="OP69" s="12"/>
      <c r="OQ69" s="12"/>
      <c r="OR69" s="12"/>
      <c r="OS69" s="12"/>
      <c r="OT69" s="12"/>
      <c r="OU69" s="12"/>
      <c r="OV69" s="12"/>
      <c r="OW69" s="12"/>
      <c r="OX69" s="12"/>
      <c r="OY69" s="12"/>
      <c r="OZ69" s="12"/>
      <c r="PA69" s="12"/>
      <c r="PB69" s="12"/>
      <c r="PC69" s="12"/>
      <c r="PD69" s="12"/>
      <c r="PE69" s="12"/>
      <c r="PF69" s="12"/>
      <c r="PG69" s="12"/>
      <c r="PH69" s="12"/>
      <c r="PI69" s="12"/>
      <c r="PJ69" s="12"/>
      <c r="PK69" s="12"/>
      <c r="PL69" s="12"/>
      <c r="PM69" s="12"/>
      <c r="PN69" s="12"/>
      <c r="PO69" s="12"/>
      <c r="PP69" s="12"/>
      <c r="PQ69" s="12"/>
      <c r="PR69" s="12"/>
      <c r="PS69" s="12"/>
      <c r="PT69" s="12"/>
      <c r="PU69" s="12"/>
      <c r="PV69" s="12"/>
      <c r="PW69" s="12"/>
      <c r="PX69" s="12"/>
      <c r="PY69" s="12"/>
      <c r="PZ69" s="12"/>
      <c r="QA69" s="12"/>
      <c r="QB69" s="12"/>
      <c r="QC69" s="12"/>
      <c r="QD69" s="12"/>
      <c r="QE69" s="12"/>
      <c r="QF69" s="12"/>
      <c r="QG69" s="12"/>
      <c r="QH69" s="12"/>
      <c r="QI69" s="12"/>
      <c r="QJ69" s="12"/>
      <c r="QK69" s="12"/>
      <c r="QL69" s="12"/>
      <c r="QM69" s="12"/>
      <c r="QN69" s="12"/>
      <c r="QO69" s="12"/>
      <c r="QP69" s="12"/>
      <c r="QQ69" s="12"/>
      <c r="QR69" s="12"/>
      <c r="QS69" s="12"/>
      <c r="QT69" s="12"/>
      <c r="QU69" s="12"/>
      <c r="QV69" s="12"/>
      <c r="QW69" s="12"/>
      <c r="QX69" s="12"/>
      <c r="QY69" s="12"/>
      <c r="QZ69" s="12"/>
      <c r="RA69" s="12"/>
      <c r="RB69" s="12"/>
      <c r="RC69" s="12"/>
      <c r="RD69" s="12"/>
      <c r="RE69" s="12"/>
      <c r="RF69" s="12"/>
      <c r="RG69" s="12"/>
      <c r="RH69" s="12"/>
      <c r="RI69" s="12"/>
      <c r="RJ69" s="12"/>
      <c r="RK69" s="12"/>
      <c r="RL69" s="12"/>
      <c r="RM69" s="12"/>
      <c r="RN69" s="12"/>
      <c r="RO69" s="12"/>
      <c r="RP69" s="12"/>
      <c r="RQ69" s="12"/>
      <c r="RR69" s="12"/>
      <c r="RS69" s="12"/>
      <c r="RT69" s="12"/>
      <c r="RU69" s="12"/>
      <c r="RV69" s="12"/>
      <c r="RW69" s="12"/>
      <c r="RX69" s="12"/>
      <c r="RY69" s="12"/>
      <c r="RZ69" s="12"/>
      <c r="SA69" s="12"/>
      <c r="SB69" s="12"/>
      <c r="SC69" s="12"/>
      <c r="SD69" s="12"/>
      <c r="SE69" s="12"/>
      <c r="SF69" s="12"/>
      <c r="SG69" s="12"/>
      <c r="SH69" s="12"/>
      <c r="SI69" s="12"/>
      <c r="SJ69" s="12"/>
      <c r="SK69" s="12"/>
      <c r="SL69" s="12"/>
      <c r="SM69" s="12"/>
      <c r="SN69" s="12"/>
      <c r="SO69" s="12"/>
      <c r="SP69" s="12"/>
      <c r="SQ69" s="12"/>
      <c r="SR69" s="12"/>
      <c r="SS69" s="12"/>
      <c r="ST69" s="12"/>
      <c r="SU69" s="12"/>
      <c r="SV69" s="12"/>
      <c r="SW69" s="12"/>
      <c r="SX69" s="12"/>
      <c r="SY69" s="12"/>
      <c r="SZ69" s="12"/>
      <c r="TA69" s="12"/>
      <c r="TB69" s="12"/>
      <c r="TC69" s="12"/>
      <c r="TD69" s="12"/>
      <c r="TE69" s="12"/>
      <c r="TF69" s="12"/>
      <c r="TG69" s="12"/>
      <c r="TH69" s="12"/>
      <c r="TI69" s="12"/>
      <c r="TJ69" s="12"/>
      <c r="TK69" s="12"/>
      <c r="TL69" s="12"/>
      <c r="TM69" s="12"/>
      <c r="TN69" s="12"/>
      <c r="TO69" s="12"/>
      <c r="TP69" s="12"/>
      <c r="TQ69" s="12"/>
      <c r="TR69" s="12"/>
      <c r="TS69" s="12"/>
      <c r="TT69" s="12"/>
      <c r="TU69" s="12"/>
      <c r="TV69" s="12"/>
      <c r="TW69" s="12"/>
      <c r="TX69" s="12"/>
      <c r="TY69" s="12"/>
      <c r="TZ69" s="12"/>
      <c r="UA69" s="12"/>
      <c r="UB69" s="12"/>
      <c r="UC69" s="12"/>
      <c r="UD69" s="12"/>
      <c r="UE69" s="12"/>
      <c r="UF69" s="12"/>
      <c r="UG69" s="12"/>
      <c r="UH69" s="12"/>
      <c r="UI69" s="12"/>
      <c r="UJ69" s="12"/>
      <c r="UK69" s="12"/>
      <c r="UL69" s="12"/>
      <c r="UM69" s="12"/>
      <c r="UN69" s="12"/>
      <c r="UO69" s="12"/>
      <c r="UP69" s="12"/>
      <c r="UQ69" s="12"/>
      <c r="UR69" s="12"/>
      <c r="US69" s="12"/>
      <c r="UT69" s="12"/>
      <c r="UU69" s="12"/>
      <c r="UV69" s="12"/>
      <c r="UW69" s="12"/>
      <c r="UX69" s="12"/>
      <c r="UY69" s="12"/>
      <c r="UZ69" s="12"/>
      <c r="VA69" s="12"/>
      <c r="VB69" s="12"/>
      <c r="VC69" s="12"/>
      <c r="VD69" s="12"/>
      <c r="VE69" s="12"/>
      <c r="VF69" s="12"/>
      <c r="VG69" s="12"/>
      <c r="VH69" s="12"/>
      <c r="VI69" s="12"/>
      <c r="VJ69" s="12"/>
      <c r="VK69" s="12"/>
      <c r="VL69" s="12"/>
      <c r="VM69" s="12"/>
      <c r="VN69" s="12"/>
      <c r="VO69" s="12"/>
      <c r="VP69" s="12"/>
      <c r="VQ69" s="12"/>
      <c r="VR69" s="12"/>
      <c r="VS69" s="12"/>
      <c r="VT69" s="12"/>
      <c r="VU69" s="12"/>
      <c r="VV69" s="12"/>
      <c r="VW69" s="12"/>
      <c r="VX69" s="12"/>
      <c r="VY69" s="12"/>
      <c r="VZ69" s="12"/>
      <c r="WA69" s="12"/>
      <c r="WB69" s="12"/>
      <c r="WC69" s="12"/>
      <c r="WD69" s="12"/>
      <c r="WE69" s="12"/>
      <c r="WF69" s="12"/>
      <c r="WG69" s="12"/>
      <c r="WH69" s="12"/>
      <c r="WI69" s="12"/>
      <c r="WJ69" s="12"/>
      <c r="WK69" s="12"/>
      <c r="WL69" s="12"/>
      <c r="WM69" s="12"/>
      <c r="WN69" s="12"/>
      <c r="WO69" s="12"/>
      <c r="WP69" s="12"/>
      <c r="WQ69" s="12"/>
      <c r="WR69" s="12"/>
      <c r="WS69" s="12"/>
      <c r="WT69" s="12"/>
      <c r="WU69" s="12"/>
      <c r="WV69" s="12"/>
      <c r="WW69" s="12"/>
      <c r="WX69" s="12"/>
      <c r="WY69" s="12"/>
      <c r="WZ69" s="12"/>
      <c r="XA69" s="12"/>
      <c r="XB69" s="12"/>
      <c r="XC69" s="12"/>
      <c r="XD69" s="12"/>
      <c r="XE69" s="12"/>
      <c r="XF69" s="12"/>
      <c r="XG69" s="12"/>
      <c r="XH69" s="12"/>
      <c r="XI69" s="12"/>
      <c r="XJ69" s="12"/>
      <c r="XK69" s="12"/>
      <c r="XL69" s="12"/>
      <c r="XM69" s="12"/>
      <c r="XN69" s="12"/>
      <c r="XO69" s="12"/>
      <c r="XP69" s="12"/>
      <c r="XQ69" s="12"/>
      <c r="XR69" s="12"/>
      <c r="XS69" s="12"/>
      <c r="XT69" s="12"/>
      <c r="XU69" s="12"/>
      <c r="XV69" s="12"/>
      <c r="XW69" s="12"/>
      <c r="XX69" s="12"/>
      <c r="XY69" s="12"/>
      <c r="XZ69" s="12"/>
      <c r="YA69" s="12"/>
      <c r="YB69" s="12"/>
      <c r="YC69" s="12"/>
      <c r="YD69" s="12"/>
      <c r="YE69" s="12"/>
      <c r="YF69" s="12"/>
      <c r="YG69" s="12"/>
      <c r="YH69" s="12"/>
      <c r="YI69" s="12"/>
      <c r="YJ69" s="12"/>
      <c r="YK69" s="12"/>
      <c r="YL69" s="12"/>
      <c r="YM69" s="12"/>
      <c r="YN69" s="12"/>
      <c r="YO69" s="12"/>
      <c r="YP69" s="12"/>
      <c r="YQ69" s="12"/>
      <c r="YR69" s="12"/>
      <c r="YS69" s="12"/>
      <c r="YT69" s="12"/>
      <c r="YU69" s="12"/>
      <c r="YV69" s="12"/>
      <c r="YW69" s="12"/>
      <c r="YX69" s="12"/>
      <c r="YY69" s="12"/>
      <c r="YZ69" s="12"/>
      <c r="ZA69" s="12"/>
      <c r="ZB69" s="12"/>
      <c r="ZC69" s="12"/>
      <c r="ZD69" s="12"/>
      <c r="ZE69" s="12"/>
      <c r="ZF69" s="12"/>
      <c r="ZG69" s="12"/>
      <c r="ZH69" s="12"/>
      <c r="ZI69" s="12"/>
      <c r="ZJ69" s="12"/>
      <c r="ZK69" s="12"/>
      <c r="ZL69" s="12"/>
      <c r="ZM69" s="12"/>
      <c r="ZN69" s="12"/>
      <c r="ZO69" s="12"/>
      <c r="ZP69" s="12"/>
      <c r="ZQ69" s="12"/>
      <c r="ZR69" s="12"/>
      <c r="ZS69" s="12"/>
      <c r="ZT69" s="12"/>
      <c r="ZU69" s="12"/>
      <c r="ZV69" s="12"/>
      <c r="ZW69" s="12"/>
      <c r="ZX69" s="12"/>
      <c r="ZY69" s="12"/>
      <c r="ZZ69" s="12"/>
      <c r="AAA69" s="12"/>
      <c r="AAB69" s="12"/>
      <c r="AAC69" s="12"/>
      <c r="AAD69" s="12"/>
      <c r="AAE69" s="12"/>
      <c r="AAF69" s="12"/>
      <c r="AAG69" s="12"/>
      <c r="AAH69" s="12"/>
      <c r="AAI69" s="12"/>
      <c r="AAJ69" s="12"/>
      <c r="AAK69" s="12"/>
      <c r="AAL69" s="12"/>
      <c r="AAM69" s="12"/>
      <c r="AAN69" s="12"/>
      <c r="AAO69" s="12"/>
      <c r="AAP69" s="12"/>
      <c r="AAQ69" s="12"/>
      <c r="AAR69" s="12"/>
      <c r="AAS69" s="12"/>
      <c r="AAT69" s="12"/>
      <c r="AAU69" s="12"/>
      <c r="AAV69" s="12"/>
      <c r="AAW69" s="12"/>
      <c r="AAX69" s="12"/>
      <c r="AAY69" s="12"/>
      <c r="AAZ69" s="12"/>
      <c r="ABA69" s="12"/>
      <c r="ABB69" s="12"/>
      <c r="ABC69" s="12"/>
      <c r="ABD69" s="12"/>
      <c r="ABE69" s="12"/>
      <c r="ABF69" s="12"/>
      <c r="ABG69" s="12"/>
      <c r="ABH69" s="12"/>
      <c r="ABI69" s="12"/>
      <c r="ABJ69" s="12"/>
      <c r="ABK69" s="12"/>
      <c r="ABL69" s="12"/>
      <c r="ABM69" s="12"/>
      <c r="ABN69" s="12"/>
      <c r="ABO69" s="12"/>
      <c r="ABP69" s="12"/>
      <c r="ABQ69" s="12"/>
      <c r="ABR69" s="12"/>
      <c r="ABS69" s="12"/>
      <c r="ABT69" s="12"/>
      <c r="ABU69" s="12"/>
      <c r="ABV69" s="12"/>
      <c r="ABW69" s="12"/>
      <c r="ABX69" s="12"/>
      <c r="ABY69" s="12"/>
      <c r="ABZ69" s="12"/>
      <c r="ACA69" s="12"/>
      <c r="ACB69" s="12"/>
      <c r="ACC69" s="12"/>
      <c r="ACD69" s="12"/>
      <c r="ACE69" s="12"/>
      <c r="ACF69" s="12"/>
      <c r="ACG69" s="12"/>
      <c r="ACH69" s="12"/>
      <c r="ACI69" s="12"/>
      <c r="ACJ69" s="12"/>
      <c r="ACK69" s="12"/>
      <c r="ACL69" s="12"/>
      <c r="ACM69" s="12"/>
      <c r="ACN69" s="12"/>
      <c r="ACO69" s="12"/>
      <c r="ACP69" s="12"/>
      <c r="ACQ69" s="12"/>
      <c r="ACR69" s="12"/>
      <c r="ACS69" s="12"/>
      <c r="ACT69" s="12"/>
      <c r="ACU69" s="12"/>
      <c r="ACV69" s="12"/>
      <c r="ACW69" s="12"/>
      <c r="ACX69" s="12"/>
      <c r="ACY69" s="12"/>
      <c r="ACZ69" s="12"/>
      <c r="ADA69" s="12"/>
      <c r="ADB69" s="12"/>
      <c r="ADC69" s="12"/>
      <c r="ADD69" s="12"/>
      <c r="ADE69" s="12"/>
      <c r="ADF69" s="12"/>
      <c r="ADG69" s="12"/>
      <c r="ADH69" s="12"/>
      <c r="ADI69" s="12"/>
      <c r="ADJ69" s="12"/>
      <c r="ADK69" s="12"/>
      <c r="ADL69" s="12"/>
      <c r="ADM69" s="12"/>
      <c r="ADN69" s="12"/>
      <c r="ADO69" s="12"/>
      <c r="ADP69" s="12"/>
      <c r="ADQ69" s="12"/>
      <c r="ADR69" s="12"/>
      <c r="ADS69" s="12"/>
      <c r="ADT69" s="12"/>
      <c r="ADU69" s="12"/>
      <c r="ADV69" s="12"/>
      <c r="ADW69" s="12"/>
      <c r="ADX69" s="12"/>
      <c r="ADY69" s="12"/>
      <c r="ADZ69" s="12"/>
      <c r="AEA69" s="12"/>
      <c r="AEB69" s="12"/>
      <c r="AEC69" s="12"/>
      <c r="AED69" s="12"/>
      <c r="AEE69" s="12"/>
      <c r="AEF69" s="12"/>
      <c r="AEG69" s="12"/>
      <c r="AEH69" s="12"/>
      <c r="AEI69" s="12"/>
      <c r="AEJ69" s="12"/>
      <c r="AEK69" s="12"/>
      <c r="AEL69" s="12"/>
      <c r="AEM69" s="12"/>
      <c r="AEN69" s="12"/>
      <c r="AEO69" s="12"/>
      <c r="AEP69" s="12"/>
      <c r="AEQ69" s="12"/>
      <c r="AER69" s="12"/>
      <c r="AES69" s="12"/>
      <c r="AET69" s="12"/>
      <c r="AEU69" s="12"/>
      <c r="AEV69" s="12"/>
    </row>
    <row r="70" spans="1:828" s="27" customFormat="1" ht="19" thickBot="1" x14ac:dyDescent="0.25">
      <c r="A70" s="69"/>
      <c r="B70" s="42"/>
      <c r="C70" s="40"/>
      <c r="D70" s="41"/>
      <c r="E70" s="40"/>
      <c r="F70" s="40"/>
      <c r="G70" s="40"/>
      <c r="H70" s="42"/>
      <c r="I70" s="40"/>
      <c r="J70" s="41"/>
      <c r="K70" s="42"/>
      <c r="L70" s="40"/>
      <c r="M70" s="41"/>
      <c r="N70" s="12"/>
      <c r="O70" s="12"/>
      <c r="P70" s="68"/>
      <c r="Q70" s="68"/>
      <c r="R70" s="68"/>
      <c r="S70" s="68"/>
      <c r="T70" s="68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2"/>
      <c r="FJ70" s="12"/>
      <c r="FK70" s="12"/>
      <c r="FL70" s="12"/>
      <c r="FM70" s="12"/>
      <c r="FN70" s="12"/>
      <c r="FO70" s="12"/>
      <c r="FP70" s="12"/>
      <c r="FQ70" s="12"/>
      <c r="FR70" s="12"/>
      <c r="FS70" s="12"/>
      <c r="FT70" s="12"/>
      <c r="FU70" s="12"/>
      <c r="FV70" s="12"/>
      <c r="FW70" s="12"/>
      <c r="FX70" s="12"/>
      <c r="FY70" s="12"/>
      <c r="FZ70" s="12"/>
      <c r="GA70" s="12"/>
      <c r="GB70" s="12"/>
      <c r="GC70" s="12"/>
      <c r="GD70" s="12"/>
      <c r="GE70" s="12"/>
      <c r="GF70" s="12"/>
      <c r="GG70" s="12"/>
      <c r="GH70" s="12"/>
      <c r="GI70" s="12"/>
      <c r="GJ70" s="12"/>
      <c r="GK70" s="12"/>
      <c r="GL70" s="12"/>
      <c r="GM70" s="12"/>
      <c r="GN70" s="12"/>
      <c r="GO70" s="12"/>
      <c r="GP70" s="12"/>
      <c r="GQ70" s="12"/>
      <c r="GR70" s="12"/>
      <c r="GS70" s="12"/>
      <c r="GT70" s="12"/>
      <c r="GU70" s="12"/>
      <c r="GV70" s="12"/>
      <c r="GW70" s="12"/>
      <c r="GX70" s="12"/>
      <c r="GY70" s="12"/>
      <c r="GZ70" s="12"/>
      <c r="HA70" s="12"/>
      <c r="HB70" s="12"/>
      <c r="HC70" s="12"/>
      <c r="HD70" s="12"/>
      <c r="HE70" s="12"/>
      <c r="HF70" s="12"/>
      <c r="HG70" s="12"/>
      <c r="HH70" s="12"/>
      <c r="HI70" s="12"/>
      <c r="HJ70" s="12"/>
      <c r="HK70" s="12"/>
      <c r="HL70" s="12"/>
      <c r="HM70" s="12"/>
      <c r="HN70" s="12"/>
      <c r="HO70" s="12"/>
      <c r="HP70" s="12"/>
      <c r="HQ70" s="12"/>
      <c r="HR70" s="12"/>
      <c r="HS70" s="12"/>
      <c r="HT70" s="12"/>
      <c r="HU70" s="12"/>
      <c r="HV70" s="12"/>
      <c r="HW70" s="12"/>
      <c r="HX70" s="12"/>
      <c r="HY70" s="12"/>
      <c r="HZ70" s="12"/>
      <c r="IA70" s="12"/>
      <c r="IB70" s="12"/>
      <c r="IC70" s="12"/>
      <c r="ID70" s="12"/>
      <c r="IE70" s="12"/>
      <c r="IF70" s="12"/>
      <c r="IG70" s="12"/>
      <c r="IH70" s="12"/>
      <c r="II70" s="12"/>
      <c r="IJ70" s="12"/>
      <c r="IK70" s="12"/>
      <c r="IL70" s="12"/>
      <c r="IM70" s="12"/>
      <c r="IN70" s="12"/>
      <c r="IO70" s="12"/>
      <c r="IP70" s="12"/>
      <c r="IQ70" s="12"/>
      <c r="IR70" s="12"/>
      <c r="IS70" s="12"/>
      <c r="IT70" s="12"/>
      <c r="IU70" s="12"/>
      <c r="IV70" s="12"/>
      <c r="IW70" s="12"/>
      <c r="IX70" s="12"/>
      <c r="IY70" s="12"/>
      <c r="IZ70" s="12"/>
      <c r="JA70" s="12"/>
      <c r="JB70" s="12"/>
      <c r="JC70" s="12"/>
      <c r="JD70" s="12"/>
      <c r="JE70" s="12"/>
      <c r="JF70" s="12"/>
      <c r="JG70" s="12"/>
      <c r="JH70" s="12"/>
      <c r="JI70" s="12"/>
      <c r="JJ70" s="12"/>
      <c r="JK70" s="12"/>
      <c r="JL70" s="12"/>
      <c r="JM70" s="12"/>
      <c r="JN70" s="12"/>
      <c r="JO70" s="12"/>
      <c r="JP70" s="12"/>
      <c r="JQ70" s="12"/>
      <c r="JR70" s="12"/>
      <c r="JS70" s="12"/>
      <c r="JT70" s="12"/>
      <c r="JU70" s="12"/>
      <c r="JV70" s="12"/>
      <c r="JW70" s="12"/>
      <c r="JX70" s="12"/>
      <c r="JY70" s="12"/>
      <c r="JZ70" s="12"/>
      <c r="KA70" s="12"/>
      <c r="KB70" s="12"/>
      <c r="KC70" s="12"/>
      <c r="KD70" s="12"/>
      <c r="KE70" s="12"/>
      <c r="KF70" s="12"/>
      <c r="KG70" s="12"/>
      <c r="KH70" s="12"/>
      <c r="KI70" s="12"/>
      <c r="KJ70" s="12"/>
      <c r="KK70" s="12"/>
      <c r="KL70" s="12"/>
      <c r="KM70" s="12"/>
      <c r="KN70" s="12"/>
      <c r="KO70" s="12"/>
      <c r="KP70" s="12"/>
      <c r="KQ70" s="12"/>
      <c r="KR70" s="12"/>
      <c r="KS70" s="12"/>
      <c r="KT70" s="12"/>
      <c r="KU70" s="12"/>
      <c r="KV70" s="12"/>
      <c r="KW70" s="12"/>
      <c r="KX70" s="12"/>
      <c r="KY70" s="12"/>
      <c r="KZ70" s="12"/>
      <c r="LA70" s="12"/>
      <c r="LB70" s="12"/>
      <c r="LC70" s="12"/>
      <c r="LD70" s="12"/>
      <c r="LE70" s="12"/>
      <c r="LF70" s="12"/>
      <c r="LG70" s="12"/>
      <c r="LH70" s="12"/>
      <c r="LI70" s="12"/>
      <c r="LJ70" s="12"/>
      <c r="LK70" s="12"/>
      <c r="LL70" s="12"/>
      <c r="LM70" s="12"/>
      <c r="LN70" s="12"/>
      <c r="LO70" s="12"/>
      <c r="LP70" s="12"/>
      <c r="LQ70" s="12"/>
      <c r="LR70" s="12"/>
      <c r="LS70" s="12"/>
      <c r="LT70" s="12"/>
      <c r="LU70" s="12"/>
      <c r="LV70" s="12"/>
      <c r="LW70" s="12"/>
      <c r="LX70" s="12"/>
      <c r="LY70" s="12"/>
      <c r="LZ70" s="12"/>
      <c r="MA70" s="12"/>
      <c r="MB70" s="12"/>
      <c r="MC70" s="12"/>
      <c r="MD70" s="12"/>
      <c r="ME70" s="12"/>
      <c r="MF70" s="12"/>
      <c r="MG70" s="12"/>
      <c r="MH70" s="12"/>
      <c r="MI70" s="12"/>
      <c r="MJ70" s="12"/>
      <c r="MK70" s="12"/>
      <c r="ML70" s="12"/>
      <c r="MM70" s="12"/>
      <c r="MN70" s="12"/>
      <c r="MO70" s="12"/>
      <c r="MP70" s="12"/>
      <c r="MQ70" s="12"/>
      <c r="MR70" s="12"/>
      <c r="MS70" s="12"/>
      <c r="MT70" s="12"/>
      <c r="MU70" s="12"/>
      <c r="MV70" s="12"/>
      <c r="MW70" s="12"/>
      <c r="MX70" s="12"/>
      <c r="MY70" s="12"/>
      <c r="MZ70" s="12"/>
      <c r="NA70" s="12"/>
      <c r="NB70" s="12"/>
      <c r="NC70" s="12"/>
      <c r="ND70" s="12"/>
      <c r="NE70" s="12"/>
      <c r="NF70" s="12"/>
      <c r="NG70" s="12"/>
      <c r="NH70" s="12"/>
      <c r="NI70" s="12"/>
      <c r="NJ70" s="12"/>
      <c r="NK70" s="12"/>
      <c r="NL70" s="12"/>
      <c r="NM70" s="12"/>
      <c r="NN70" s="12"/>
      <c r="NO70" s="12"/>
      <c r="NP70" s="12"/>
      <c r="NQ70" s="12"/>
      <c r="NR70" s="12"/>
      <c r="NS70" s="12"/>
      <c r="NT70" s="12"/>
      <c r="NU70" s="12"/>
      <c r="NV70" s="12"/>
      <c r="NW70" s="12"/>
      <c r="NX70" s="12"/>
      <c r="NY70" s="12"/>
      <c r="NZ70" s="12"/>
      <c r="OA70" s="12"/>
      <c r="OB70" s="12"/>
      <c r="OC70" s="12"/>
      <c r="OD70" s="12"/>
      <c r="OE70" s="12"/>
      <c r="OF70" s="12"/>
      <c r="OG70" s="12"/>
      <c r="OH70" s="12"/>
      <c r="OI70" s="12"/>
      <c r="OJ70" s="12"/>
      <c r="OK70" s="12"/>
      <c r="OL70" s="12"/>
      <c r="OM70" s="12"/>
      <c r="ON70" s="12"/>
      <c r="OO70" s="12"/>
      <c r="OP70" s="12"/>
      <c r="OQ70" s="12"/>
      <c r="OR70" s="12"/>
      <c r="OS70" s="12"/>
      <c r="OT70" s="12"/>
      <c r="OU70" s="12"/>
      <c r="OV70" s="12"/>
      <c r="OW70" s="12"/>
      <c r="OX70" s="12"/>
      <c r="OY70" s="12"/>
      <c r="OZ70" s="12"/>
      <c r="PA70" s="12"/>
      <c r="PB70" s="12"/>
      <c r="PC70" s="12"/>
      <c r="PD70" s="12"/>
      <c r="PE70" s="12"/>
      <c r="PF70" s="12"/>
      <c r="PG70" s="12"/>
      <c r="PH70" s="12"/>
      <c r="PI70" s="12"/>
      <c r="PJ70" s="12"/>
      <c r="PK70" s="12"/>
      <c r="PL70" s="12"/>
      <c r="PM70" s="12"/>
      <c r="PN70" s="12"/>
      <c r="PO70" s="12"/>
      <c r="PP70" s="12"/>
      <c r="PQ70" s="12"/>
      <c r="PR70" s="12"/>
      <c r="PS70" s="12"/>
      <c r="PT70" s="12"/>
      <c r="PU70" s="12"/>
      <c r="PV70" s="12"/>
      <c r="PW70" s="12"/>
      <c r="PX70" s="12"/>
      <c r="PY70" s="12"/>
      <c r="PZ70" s="12"/>
      <c r="QA70" s="12"/>
      <c r="QB70" s="12"/>
      <c r="QC70" s="12"/>
      <c r="QD70" s="12"/>
      <c r="QE70" s="12"/>
      <c r="QF70" s="12"/>
      <c r="QG70" s="12"/>
      <c r="QH70" s="12"/>
      <c r="QI70" s="12"/>
      <c r="QJ70" s="12"/>
      <c r="QK70" s="12"/>
      <c r="QL70" s="12"/>
      <c r="QM70" s="12"/>
      <c r="QN70" s="12"/>
      <c r="QO70" s="12"/>
      <c r="QP70" s="12"/>
      <c r="QQ70" s="12"/>
      <c r="QR70" s="12"/>
      <c r="QS70" s="12"/>
      <c r="QT70" s="12"/>
      <c r="QU70" s="12"/>
      <c r="QV70" s="12"/>
      <c r="QW70" s="12"/>
      <c r="QX70" s="12"/>
      <c r="QY70" s="12"/>
      <c r="QZ70" s="12"/>
      <c r="RA70" s="12"/>
      <c r="RB70" s="12"/>
      <c r="RC70" s="12"/>
      <c r="RD70" s="12"/>
      <c r="RE70" s="12"/>
      <c r="RF70" s="12"/>
      <c r="RG70" s="12"/>
      <c r="RH70" s="12"/>
      <c r="RI70" s="12"/>
      <c r="RJ70" s="12"/>
      <c r="RK70" s="12"/>
      <c r="RL70" s="12"/>
      <c r="RM70" s="12"/>
      <c r="RN70" s="12"/>
      <c r="RO70" s="12"/>
      <c r="RP70" s="12"/>
      <c r="RQ70" s="12"/>
      <c r="RR70" s="12"/>
      <c r="RS70" s="12"/>
      <c r="RT70" s="12"/>
      <c r="RU70" s="12"/>
      <c r="RV70" s="12"/>
      <c r="RW70" s="12"/>
      <c r="RX70" s="12"/>
      <c r="RY70" s="12"/>
      <c r="RZ70" s="12"/>
      <c r="SA70" s="12"/>
      <c r="SB70" s="12"/>
      <c r="SC70" s="12"/>
      <c r="SD70" s="12"/>
      <c r="SE70" s="12"/>
      <c r="SF70" s="12"/>
      <c r="SG70" s="12"/>
      <c r="SH70" s="12"/>
      <c r="SI70" s="12"/>
      <c r="SJ70" s="12"/>
      <c r="SK70" s="12"/>
      <c r="SL70" s="12"/>
      <c r="SM70" s="12"/>
      <c r="SN70" s="12"/>
      <c r="SO70" s="12"/>
      <c r="SP70" s="12"/>
      <c r="SQ70" s="12"/>
      <c r="SR70" s="12"/>
      <c r="SS70" s="12"/>
      <c r="ST70" s="12"/>
      <c r="SU70" s="12"/>
      <c r="SV70" s="12"/>
      <c r="SW70" s="12"/>
      <c r="SX70" s="12"/>
      <c r="SY70" s="12"/>
      <c r="SZ70" s="12"/>
      <c r="TA70" s="12"/>
      <c r="TB70" s="12"/>
      <c r="TC70" s="12"/>
      <c r="TD70" s="12"/>
      <c r="TE70" s="12"/>
      <c r="TF70" s="12"/>
      <c r="TG70" s="12"/>
      <c r="TH70" s="12"/>
      <c r="TI70" s="12"/>
      <c r="TJ70" s="12"/>
      <c r="TK70" s="12"/>
      <c r="TL70" s="12"/>
      <c r="TM70" s="12"/>
      <c r="TN70" s="12"/>
      <c r="TO70" s="12"/>
      <c r="TP70" s="12"/>
      <c r="TQ70" s="12"/>
      <c r="TR70" s="12"/>
      <c r="TS70" s="12"/>
      <c r="TT70" s="12"/>
      <c r="TU70" s="12"/>
      <c r="TV70" s="12"/>
      <c r="TW70" s="12"/>
      <c r="TX70" s="12"/>
      <c r="TY70" s="12"/>
      <c r="TZ70" s="12"/>
      <c r="UA70" s="12"/>
      <c r="UB70" s="12"/>
      <c r="UC70" s="12"/>
      <c r="UD70" s="12"/>
      <c r="UE70" s="12"/>
      <c r="UF70" s="12"/>
      <c r="UG70" s="12"/>
      <c r="UH70" s="12"/>
      <c r="UI70" s="12"/>
      <c r="UJ70" s="12"/>
      <c r="UK70" s="12"/>
      <c r="UL70" s="12"/>
      <c r="UM70" s="12"/>
      <c r="UN70" s="12"/>
      <c r="UO70" s="12"/>
      <c r="UP70" s="12"/>
      <c r="UQ70" s="12"/>
      <c r="UR70" s="12"/>
      <c r="US70" s="12"/>
      <c r="UT70" s="12"/>
      <c r="UU70" s="12"/>
      <c r="UV70" s="12"/>
      <c r="UW70" s="12"/>
      <c r="UX70" s="12"/>
      <c r="UY70" s="12"/>
      <c r="UZ70" s="12"/>
      <c r="VA70" s="12"/>
      <c r="VB70" s="12"/>
      <c r="VC70" s="12"/>
      <c r="VD70" s="12"/>
      <c r="VE70" s="12"/>
      <c r="VF70" s="12"/>
      <c r="VG70" s="12"/>
      <c r="VH70" s="12"/>
      <c r="VI70" s="12"/>
      <c r="VJ70" s="12"/>
      <c r="VK70" s="12"/>
      <c r="VL70" s="12"/>
      <c r="VM70" s="12"/>
      <c r="VN70" s="12"/>
      <c r="VO70" s="12"/>
      <c r="VP70" s="12"/>
      <c r="VQ70" s="12"/>
      <c r="VR70" s="12"/>
      <c r="VS70" s="12"/>
      <c r="VT70" s="12"/>
      <c r="VU70" s="12"/>
      <c r="VV70" s="12"/>
      <c r="VW70" s="12"/>
      <c r="VX70" s="12"/>
      <c r="VY70" s="12"/>
      <c r="VZ70" s="12"/>
      <c r="WA70" s="12"/>
      <c r="WB70" s="12"/>
      <c r="WC70" s="12"/>
      <c r="WD70" s="12"/>
      <c r="WE70" s="12"/>
      <c r="WF70" s="12"/>
      <c r="WG70" s="12"/>
      <c r="WH70" s="12"/>
      <c r="WI70" s="12"/>
      <c r="WJ70" s="12"/>
      <c r="WK70" s="12"/>
      <c r="WL70" s="12"/>
      <c r="WM70" s="12"/>
      <c r="WN70" s="12"/>
      <c r="WO70" s="12"/>
      <c r="WP70" s="12"/>
      <c r="WQ70" s="12"/>
      <c r="WR70" s="12"/>
      <c r="WS70" s="12"/>
      <c r="WT70" s="12"/>
      <c r="WU70" s="12"/>
      <c r="WV70" s="12"/>
      <c r="WW70" s="12"/>
      <c r="WX70" s="12"/>
      <c r="WY70" s="12"/>
      <c r="WZ70" s="12"/>
      <c r="XA70" s="12"/>
      <c r="XB70" s="12"/>
      <c r="XC70" s="12"/>
      <c r="XD70" s="12"/>
      <c r="XE70" s="12"/>
      <c r="XF70" s="12"/>
      <c r="XG70" s="12"/>
      <c r="XH70" s="12"/>
      <c r="XI70" s="12"/>
      <c r="XJ70" s="12"/>
      <c r="XK70" s="12"/>
      <c r="XL70" s="12"/>
      <c r="XM70" s="12"/>
      <c r="XN70" s="12"/>
      <c r="XO70" s="12"/>
      <c r="XP70" s="12"/>
      <c r="XQ70" s="12"/>
      <c r="XR70" s="12"/>
      <c r="XS70" s="12"/>
      <c r="XT70" s="12"/>
      <c r="XU70" s="12"/>
      <c r="XV70" s="12"/>
      <c r="XW70" s="12"/>
      <c r="XX70" s="12"/>
      <c r="XY70" s="12"/>
      <c r="XZ70" s="12"/>
      <c r="YA70" s="12"/>
      <c r="YB70" s="12"/>
      <c r="YC70" s="12"/>
      <c r="YD70" s="12"/>
      <c r="YE70" s="12"/>
      <c r="YF70" s="12"/>
      <c r="YG70" s="12"/>
      <c r="YH70" s="12"/>
      <c r="YI70" s="12"/>
      <c r="YJ70" s="12"/>
      <c r="YK70" s="12"/>
      <c r="YL70" s="12"/>
      <c r="YM70" s="12"/>
      <c r="YN70" s="12"/>
      <c r="YO70" s="12"/>
      <c r="YP70" s="12"/>
      <c r="YQ70" s="12"/>
      <c r="YR70" s="12"/>
      <c r="YS70" s="12"/>
      <c r="YT70" s="12"/>
      <c r="YU70" s="12"/>
      <c r="YV70" s="12"/>
      <c r="YW70" s="12"/>
      <c r="YX70" s="12"/>
      <c r="YY70" s="12"/>
      <c r="YZ70" s="12"/>
      <c r="ZA70" s="12"/>
      <c r="ZB70" s="12"/>
      <c r="ZC70" s="12"/>
      <c r="ZD70" s="12"/>
      <c r="ZE70" s="12"/>
      <c r="ZF70" s="12"/>
      <c r="ZG70" s="12"/>
      <c r="ZH70" s="12"/>
      <c r="ZI70" s="12"/>
      <c r="ZJ70" s="12"/>
      <c r="ZK70" s="12"/>
      <c r="ZL70" s="12"/>
      <c r="ZM70" s="12"/>
      <c r="ZN70" s="12"/>
      <c r="ZO70" s="12"/>
      <c r="ZP70" s="12"/>
      <c r="ZQ70" s="12"/>
      <c r="ZR70" s="12"/>
      <c r="ZS70" s="12"/>
      <c r="ZT70" s="12"/>
      <c r="ZU70" s="12"/>
      <c r="ZV70" s="12"/>
      <c r="ZW70" s="12"/>
      <c r="ZX70" s="12"/>
      <c r="ZY70" s="12"/>
      <c r="ZZ70" s="12"/>
      <c r="AAA70" s="12"/>
      <c r="AAB70" s="12"/>
      <c r="AAC70" s="12"/>
      <c r="AAD70" s="12"/>
      <c r="AAE70" s="12"/>
      <c r="AAF70" s="12"/>
      <c r="AAG70" s="12"/>
      <c r="AAH70" s="12"/>
      <c r="AAI70" s="12"/>
      <c r="AAJ70" s="12"/>
      <c r="AAK70" s="12"/>
      <c r="AAL70" s="12"/>
      <c r="AAM70" s="12"/>
      <c r="AAN70" s="12"/>
      <c r="AAO70" s="12"/>
      <c r="AAP70" s="12"/>
      <c r="AAQ70" s="12"/>
      <c r="AAR70" s="12"/>
      <c r="AAS70" s="12"/>
      <c r="AAT70" s="12"/>
      <c r="AAU70" s="12"/>
      <c r="AAV70" s="12"/>
      <c r="AAW70" s="12"/>
      <c r="AAX70" s="12"/>
      <c r="AAY70" s="12"/>
      <c r="AAZ70" s="12"/>
      <c r="ABA70" s="12"/>
      <c r="ABB70" s="12"/>
      <c r="ABC70" s="12"/>
      <c r="ABD70" s="12"/>
      <c r="ABE70" s="12"/>
      <c r="ABF70" s="12"/>
      <c r="ABG70" s="12"/>
      <c r="ABH70" s="12"/>
      <c r="ABI70" s="12"/>
      <c r="ABJ70" s="12"/>
      <c r="ABK70" s="12"/>
      <c r="ABL70" s="12"/>
      <c r="ABM70" s="12"/>
      <c r="ABN70" s="12"/>
      <c r="ABO70" s="12"/>
      <c r="ABP70" s="12"/>
      <c r="ABQ70" s="12"/>
      <c r="ABR70" s="12"/>
      <c r="ABS70" s="12"/>
      <c r="ABT70" s="12"/>
      <c r="ABU70" s="12"/>
      <c r="ABV70" s="12"/>
      <c r="ABW70" s="12"/>
      <c r="ABX70" s="12"/>
      <c r="ABY70" s="12"/>
      <c r="ABZ70" s="12"/>
      <c r="ACA70" s="12"/>
      <c r="ACB70" s="12"/>
      <c r="ACC70" s="12"/>
      <c r="ACD70" s="12"/>
      <c r="ACE70" s="12"/>
      <c r="ACF70" s="12"/>
      <c r="ACG70" s="12"/>
      <c r="ACH70" s="12"/>
      <c r="ACI70" s="12"/>
      <c r="ACJ70" s="12"/>
      <c r="ACK70" s="12"/>
      <c r="ACL70" s="12"/>
      <c r="ACM70" s="12"/>
      <c r="ACN70" s="12"/>
      <c r="ACO70" s="12"/>
      <c r="ACP70" s="12"/>
      <c r="ACQ70" s="12"/>
      <c r="ACR70" s="12"/>
      <c r="ACS70" s="12"/>
      <c r="ACT70" s="12"/>
      <c r="ACU70" s="12"/>
      <c r="ACV70" s="12"/>
      <c r="ACW70" s="12"/>
      <c r="ACX70" s="12"/>
      <c r="ACY70" s="12"/>
      <c r="ACZ70" s="12"/>
      <c r="ADA70" s="12"/>
      <c r="ADB70" s="12"/>
      <c r="ADC70" s="12"/>
      <c r="ADD70" s="12"/>
      <c r="ADE70" s="12"/>
      <c r="ADF70" s="12"/>
      <c r="ADG70" s="12"/>
      <c r="ADH70" s="12"/>
      <c r="ADI70" s="12"/>
      <c r="ADJ70" s="12"/>
      <c r="ADK70" s="12"/>
      <c r="ADL70" s="12"/>
      <c r="ADM70" s="12"/>
      <c r="ADN70" s="12"/>
      <c r="ADO70" s="12"/>
      <c r="ADP70" s="12"/>
      <c r="ADQ70" s="12"/>
      <c r="ADR70" s="12"/>
      <c r="ADS70" s="12"/>
      <c r="ADT70" s="12"/>
      <c r="ADU70" s="12"/>
      <c r="ADV70" s="12"/>
      <c r="ADW70" s="12"/>
      <c r="ADX70" s="12"/>
      <c r="ADY70" s="12"/>
      <c r="ADZ70" s="12"/>
      <c r="AEA70" s="12"/>
      <c r="AEB70" s="12"/>
      <c r="AEC70" s="12"/>
      <c r="AED70" s="12"/>
      <c r="AEE70" s="12"/>
      <c r="AEF70" s="12"/>
      <c r="AEG70" s="12"/>
      <c r="AEH70" s="12"/>
      <c r="AEI70" s="12"/>
      <c r="AEJ70" s="12"/>
      <c r="AEK70" s="12"/>
      <c r="AEL70" s="12"/>
      <c r="AEM70" s="12"/>
      <c r="AEN70" s="12"/>
      <c r="AEO70" s="12"/>
      <c r="AEP70" s="12"/>
      <c r="AEQ70" s="12"/>
      <c r="AER70" s="12"/>
      <c r="AES70" s="12"/>
      <c r="AET70" s="12"/>
      <c r="AEU70" s="12"/>
      <c r="AEV70" s="12"/>
    </row>
    <row r="71" spans="1:828" s="74" customFormat="1" ht="18" x14ac:dyDescent="0.2">
      <c r="A71" s="70" t="s">
        <v>66</v>
      </c>
      <c r="B71" s="71"/>
      <c r="C71" s="72"/>
      <c r="D71" s="73">
        <f>SUM(D5:D66)</f>
        <v>82281</v>
      </c>
      <c r="E71" s="72"/>
      <c r="F71" s="72"/>
      <c r="G71" s="72">
        <f>SUM(G34:G66)</f>
        <v>25646</v>
      </c>
      <c r="H71" s="71"/>
      <c r="I71" s="72"/>
      <c r="J71" s="73">
        <f>SUM(J2:J67)</f>
        <v>125568</v>
      </c>
      <c r="K71" s="71"/>
      <c r="L71" s="72"/>
      <c r="M71" s="73">
        <f>SUM(M2:M67)</f>
        <v>22114</v>
      </c>
      <c r="N71" s="12"/>
      <c r="O71" s="12"/>
      <c r="P71" s="68"/>
      <c r="Q71" s="68"/>
      <c r="R71" s="68"/>
      <c r="S71" s="68"/>
      <c r="T71" s="68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2"/>
      <c r="FJ71" s="12"/>
      <c r="FK71" s="12"/>
      <c r="FL71" s="12"/>
      <c r="FM71" s="12"/>
      <c r="FN71" s="12"/>
      <c r="FO71" s="12"/>
      <c r="FP71" s="12"/>
      <c r="FQ71" s="12"/>
      <c r="FR71" s="12"/>
      <c r="FS71" s="12"/>
      <c r="FT71" s="12"/>
      <c r="FU71" s="12"/>
      <c r="FV71" s="12"/>
      <c r="FW71" s="12"/>
      <c r="FX71" s="12"/>
      <c r="FY71" s="12"/>
      <c r="FZ71" s="12"/>
      <c r="GA71" s="12"/>
      <c r="GB71" s="12"/>
      <c r="GC71" s="12"/>
      <c r="GD71" s="12"/>
      <c r="GE71" s="12"/>
      <c r="GF71" s="12"/>
      <c r="GG71" s="12"/>
      <c r="GH71" s="12"/>
      <c r="GI71" s="12"/>
      <c r="GJ71" s="12"/>
      <c r="GK71" s="12"/>
      <c r="GL71" s="12"/>
      <c r="GM71" s="12"/>
      <c r="GN71" s="12"/>
      <c r="GO71" s="12"/>
      <c r="GP71" s="12"/>
      <c r="GQ71" s="12"/>
      <c r="GR71" s="12"/>
      <c r="GS71" s="12"/>
      <c r="GT71" s="12"/>
      <c r="GU71" s="12"/>
      <c r="GV71" s="12"/>
      <c r="GW71" s="12"/>
      <c r="GX71" s="12"/>
      <c r="GY71" s="12"/>
      <c r="GZ71" s="12"/>
      <c r="HA71" s="12"/>
      <c r="HB71" s="12"/>
      <c r="HC71" s="12"/>
      <c r="HD71" s="12"/>
      <c r="HE71" s="12"/>
      <c r="HF71" s="12"/>
      <c r="HG71" s="12"/>
      <c r="HH71" s="12"/>
      <c r="HI71" s="12"/>
      <c r="HJ71" s="12"/>
      <c r="HK71" s="12"/>
      <c r="HL71" s="12"/>
      <c r="HM71" s="12"/>
      <c r="HN71" s="12"/>
      <c r="HO71" s="12"/>
      <c r="HP71" s="12"/>
      <c r="HQ71" s="12"/>
      <c r="HR71" s="12"/>
      <c r="HS71" s="12"/>
      <c r="HT71" s="12"/>
      <c r="HU71" s="12"/>
      <c r="HV71" s="12"/>
      <c r="HW71" s="12"/>
      <c r="HX71" s="12"/>
      <c r="HY71" s="12"/>
      <c r="HZ71" s="12"/>
      <c r="IA71" s="12"/>
      <c r="IB71" s="12"/>
      <c r="IC71" s="12"/>
      <c r="ID71" s="12"/>
      <c r="IE71" s="12"/>
      <c r="IF71" s="12"/>
      <c r="IG71" s="12"/>
      <c r="IH71" s="12"/>
      <c r="II71" s="12"/>
      <c r="IJ71" s="12"/>
      <c r="IK71" s="12"/>
      <c r="IL71" s="12"/>
      <c r="IM71" s="12"/>
      <c r="IN71" s="12"/>
      <c r="IO71" s="12"/>
      <c r="IP71" s="12"/>
      <c r="IQ71" s="12"/>
      <c r="IR71" s="12"/>
      <c r="IS71" s="12"/>
      <c r="IT71" s="12"/>
      <c r="IU71" s="12"/>
      <c r="IV71" s="12"/>
      <c r="IW71" s="12"/>
      <c r="IX71" s="12"/>
      <c r="IY71" s="12"/>
      <c r="IZ71" s="12"/>
      <c r="JA71" s="12"/>
      <c r="JB71" s="12"/>
      <c r="JC71" s="12"/>
      <c r="JD71" s="12"/>
      <c r="JE71" s="12"/>
      <c r="JF71" s="12"/>
      <c r="JG71" s="12"/>
      <c r="JH71" s="12"/>
      <c r="JI71" s="12"/>
      <c r="JJ71" s="12"/>
      <c r="JK71" s="12"/>
      <c r="JL71" s="12"/>
      <c r="JM71" s="12"/>
      <c r="JN71" s="12"/>
      <c r="JO71" s="12"/>
      <c r="JP71" s="12"/>
      <c r="JQ71" s="12"/>
      <c r="JR71" s="12"/>
      <c r="JS71" s="12"/>
      <c r="JT71" s="12"/>
      <c r="JU71" s="12"/>
      <c r="JV71" s="12"/>
      <c r="JW71" s="12"/>
      <c r="JX71" s="12"/>
      <c r="JY71" s="12"/>
      <c r="JZ71" s="12"/>
      <c r="KA71" s="12"/>
      <c r="KB71" s="12"/>
      <c r="KC71" s="12"/>
      <c r="KD71" s="12"/>
      <c r="KE71" s="12"/>
      <c r="KF71" s="12"/>
      <c r="KG71" s="12"/>
      <c r="KH71" s="12"/>
      <c r="KI71" s="12"/>
      <c r="KJ71" s="12"/>
      <c r="KK71" s="12"/>
      <c r="KL71" s="12"/>
      <c r="KM71" s="12"/>
      <c r="KN71" s="12"/>
      <c r="KO71" s="12"/>
      <c r="KP71" s="12"/>
      <c r="KQ71" s="12"/>
      <c r="KR71" s="12"/>
      <c r="KS71" s="12"/>
      <c r="KT71" s="12"/>
      <c r="KU71" s="12"/>
      <c r="KV71" s="12"/>
      <c r="KW71" s="12"/>
      <c r="KX71" s="12"/>
      <c r="KY71" s="12"/>
      <c r="KZ71" s="12"/>
      <c r="LA71" s="12"/>
      <c r="LB71" s="12"/>
      <c r="LC71" s="12"/>
      <c r="LD71" s="12"/>
      <c r="LE71" s="12"/>
      <c r="LF71" s="12"/>
      <c r="LG71" s="12"/>
      <c r="LH71" s="12"/>
      <c r="LI71" s="12"/>
      <c r="LJ71" s="12"/>
      <c r="LK71" s="12"/>
      <c r="LL71" s="12"/>
      <c r="LM71" s="12"/>
      <c r="LN71" s="12"/>
      <c r="LO71" s="12"/>
      <c r="LP71" s="12"/>
      <c r="LQ71" s="12"/>
      <c r="LR71" s="12"/>
      <c r="LS71" s="12"/>
      <c r="LT71" s="12"/>
      <c r="LU71" s="12"/>
      <c r="LV71" s="12"/>
      <c r="LW71" s="12"/>
      <c r="LX71" s="12"/>
      <c r="LY71" s="12"/>
      <c r="LZ71" s="12"/>
      <c r="MA71" s="12"/>
      <c r="MB71" s="12"/>
      <c r="MC71" s="12"/>
      <c r="MD71" s="12"/>
      <c r="ME71" s="12"/>
      <c r="MF71" s="12"/>
      <c r="MG71" s="12"/>
      <c r="MH71" s="12"/>
      <c r="MI71" s="12"/>
      <c r="MJ71" s="12"/>
      <c r="MK71" s="12"/>
      <c r="ML71" s="12"/>
      <c r="MM71" s="12"/>
      <c r="MN71" s="12"/>
      <c r="MO71" s="12"/>
      <c r="MP71" s="12"/>
      <c r="MQ71" s="12"/>
      <c r="MR71" s="12"/>
      <c r="MS71" s="12"/>
      <c r="MT71" s="12"/>
      <c r="MU71" s="12"/>
      <c r="MV71" s="12"/>
      <c r="MW71" s="12"/>
      <c r="MX71" s="12"/>
      <c r="MY71" s="12"/>
      <c r="MZ71" s="12"/>
      <c r="NA71" s="12"/>
      <c r="NB71" s="12"/>
      <c r="NC71" s="12"/>
      <c r="ND71" s="12"/>
      <c r="NE71" s="12"/>
      <c r="NF71" s="12"/>
      <c r="NG71" s="12"/>
      <c r="NH71" s="12"/>
      <c r="NI71" s="12"/>
      <c r="NJ71" s="12"/>
      <c r="NK71" s="12"/>
      <c r="NL71" s="12"/>
      <c r="NM71" s="12"/>
      <c r="NN71" s="12"/>
      <c r="NO71" s="12"/>
      <c r="NP71" s="12"/>
      <c r="NQ71" s="12"/>
      <c r="NR71" s="12"/>
      <c r="NS71" s="12"/>
      <c r="NT71" s="12"/>
      <c r="NU71" s="12"/>
      <c r="NV71" s="12"/>
      <c r="NW71" s="12"/>
      <c r="NX71" s="12"/>
      <c r="NY71" s="12"/>
      <c r="NZ71" s="12"/>
      <c r="OA71" s="12"/>
      <c r="OB71" s="12"/>
      <c r="OC71" s="12"/>
      <c r="OD71" s="12"/>
      <c r="OE71" s="12"/>
      <c r="OF71" s="12"/>
      <c r="OG71" s="12"/>
      <c r="OH71" s="12"/>
      <c r="OI71" s="12"/>
      <c r="OJ71" s="12"/>
      <c r="OK71" s="12"/>
      <c r="OL71" s="12"/>
      <c r="OM71" s="12"/>
      <c r="ON71" s="12"/>
      <c r="OO71" s="12"/>
      <c r="OP71" s="12"/>
      <c r="OQ71" s="12"/>
      <c r="OR71" s="12"/>
      <c r="OS71" s="12"/>
      <c r="OT71" s="12"/>
      <c r="OU71" s="12"/>
      <c r="OV71" s="12"/>
      <c r="OW71" s="12"/>
      <c r="OX71" s="12"/>
      <c r="OY71" s="12"/>
      <c r="OZ71" s="12"/>
      <c r="PA71" s="12"/>
      <c r="PB71" s="12"/>
      <c r="PC71" s="12"/>
      <c r="PD71" s="12"/>
      <c r="PE71" s="12"/>
      <c r="PF71" s="12"/>
      <c r="PG71" s="12"/>
      <c r="PH71" s="12"/>
      <c r="PI71" s="12"/>
      <c r="PJ71" s="12"/>
      <c r="PK71" s="12"/>
      <c r="PL71" s="12"/>
      <c r="PM71" s="12"/>
      <c r="PN71" s="12"/>
      <c r="PO71" s="12"/>
      <c r="PP71" s="12"/>
      <c r="PQ71" s="12"/>
      <c r="PR71" s="12"/>
      <c r="PS71" s="12"/>
      <c r="PT71" s="12"/>
      <c r="PU71" s="12"/>
      <c r="PV71" s="12"/>
      <c r="PW71" s="12"/>
      <c r="PX71" s="12"/>
      <c r="PY71" s="12"/>
      <c r="PZ71" s="12"/>
      <c r="QA71" s="12"/>
      <c r="QB71" s="12"/>
      <c r="QC71" s="12"/>
      <c r="QD71" s="12"/>
      <c r="QE71" s="12"/>
      <c r="QF71" s="12"/>
      <c r="QG71" s="12"/>
      <c r="QH71" s="12"/>
      <c r="QI71" s="12"/>
      <c r="QJ71" s="12"/>
      <c r="QK71" s="12"/>
      <c r="QL71" s="12"/>
      <c r="QM71" s="12"/>
      <c r="QN71" s="12"/>
      <c r="QO71" s="12"/>
      <c r="QP71" s="12"/>
      <c r="QQ71" s="12"/>
      <c r="QR71" s="12"/>
      <c r="QS71" s="12"/>
      <c r="QT71" s="12"/>
      <c r="QU71" s="12"/>
      <c r="QV71" s="12"/>
      <c r="QW71" s="12"/>
      <c r="QX71" s="12"/>
      <c r="QY71" s="12"/>
      <c r="QZ71" s="12"/>
      <c r="RA71" s="12"/>
      <c r="RB71" s="12"/>
      <c r="RC71" s="12"/>
      <c r="RD71" s="12"/>
      <c r="RE71" s="12"/>
      <c r="RF71" s="12"/>
      <c r="RG71" s="12"/>
      <c r="RH71" s="12"/>
      <c r="RI71" s="12"/>
      <c r="RJ71" s="12"/>
      <c r="RK71" s="12"/>
      <c r="RL71" s="12"/>
      <c r="RM71" s="12"/>
      <c r="RN71" s="12"/>
      <c r="RO71" s="12"/>
      <c r="RP71" s="12"/>
      <c r="RQ71" s="12"/>
      <c r="RR71" s="12"/>
      <c r="RS71" s="12"/>
      <c r="RT71" s="12"/>
      <c r="RU71" s="12"/>
      <c r="RV71" s="12"/>
      <c r="RW71" s="12"/>
      <c r="RX71" s="12"/>
      <c r="RY71" s="12"/>
      <c r="RZ71" s="12"/>
      <c r="SA71" s="12"/>
      <c r="SB71" s="12"/>
      <c r="SC71" s="12"/>
      <c r="SD71" s="12"/>
      <c r="SE71" s="12"/>
      <c r="SF71" s="12"/>
      <c r="SG71" s="12"/>
      <c r="SH71" s="12"/>
      <c r="SI71" s="12"/>
      <c r="SJ71" s="12"/>
      <c r="SK71" s="12"/>
      <c r="SL71" s="12"/>
      <c r="SM71" s="12"/>
      <c r="SN71" s="12"/>
      <c r="SO71" s="12"/>
      <c r="SP71" s="12"/>
      <c r="SQ71" s="12"/>
      <c r="SR71" s="12"/>
      <c r="SS71" s="12"/>
      <c r="ST71" s="12"/>
      <c r="SU71" s="12"/>
      <c r="SV71" s="12"/>
      <c r="SW71" s="12"/>
      <c r="SX71" s="12"/>
      <c r="SY71" s="12"/>
      <c r="SZ71" s="12"/>
      <c r="TA71" s="12"/>
      <c r="TB71" s="12"/>
      <c r="TC71" s="12"/>
      <c r="TD71" s="12"/>
      <c r="TE71" s="12"/>
      <c r="TF71" s="12"/>
      <c r="TG71" s="12"/>
      <c r="TH71" s="12"/>
      <c r="TI71" s="12"/>
      <c r="TJ71" s="12"/>
      <c r="TK71" s="12"/>
      <c r="TL71" s="12"/>
      <c r="TM71" s="12"/>
      <c r="TN71" s="12"/>
      <c r="TO71" s="12"/>
      <c r="TP71" s="12"/>
      <c r="TQ71" s="12"/>
      <c r="TR71" s="12"/>
      <c r="TS71" s="12"/>
      <c r="TT71" s="12"/>
      <c r="TU71" s="12"/>
      <c r="TV71" s="12"/>
      <c r="TW71" s="12"/>
      <c r="TX71" s="12"/>
      <c r="TY71" s="12"/>
      <c r="TZ71" s="12"/>
      <c r="UA71" s="12"/>
      <c r="UB71" s="12"/>
      <c r="UC71" s="12"/>
      <c r="UD71" s="12"/>
      <c r="UE71" s="12"/>
      <c r="UF71" s="12"/>
      <c r="UG71" s="12"/>
      <c r="UH71" s="12"/>
      <c r="UI71" s="12"/>
      <c r="UJ71" s="12"/>
      <c r="UK71" s="12"/>
      <c r="UL71" s="12"/>
      <c r="UM71" s="12"/>
      <c r="UN71" s="12"/>
      <c r="UO71" s="12"/>
      <c r="UP71" s="12"/>
      <c r="UQ71" s="12"/>
      <c r="UR71" s="12"/>
      <c r="US71" s="12"/>
      <c r="UT71" s="12"/>
      <c r="UU71" s="12"/>
      <c r="UV71" s="12"/>
      <c r="UW71" s="12"/>
      <c r="UX71" s="12"/>
      <c r="UY71" s="12"/>
      <c r="UZ71" s="12"/>
      <c r="VA71" s="12"/>
      <c r="VB71" s="12"/>
      <c r="VC71" s="12"/>
      <c r="VD71" s="12"/>
      <c r="VE71" s="12"/>
      <c r="VF71" s="12"/>
      <c r="VG71" s="12"/>
      <c r="VH71" s="12"/>
      <c r="VI71" s="12"/>
      <c r="VJ71" s="12"/>
      <c r="VK71" s="12"/>
      <c r="VL71" s="12"/>
      <c r="VM71" s="12"/>
      <c r="VN71" s="12"/>
      <c r="VO71" s="12"/>
      <c r="VP71" s="12"/>
      <c r="VQ71" s="12"/>
      <c r="VR71" s="12"/>
      <c r="VS71" s="12"/>
      <c r="VT71" s="12"/>
      <c r="VU71" s="12"/>
      <c r="VV71" s="12"/>
      <c r="VW71" s="12"/>
      <c r="VX71" s="12"/>
      <c r="VY71" s="12"/>
      <c r="VZ71" s="12"/>
      <c r="WA71" s="12"/>
      <c r="WB71" s="12"/>
      <c r="WC71" s="12"/>
      <c r="WD71" s="12"/>
      <c r="WE71" s="12"/>
      <c r="WF71" s="12"/>
      <c r="WG71" s="12"/>
      <c r="WH71" s="12"/>
      <c r="WI71" s="12"/>
      <c r="WJ71" s="12"/>
      <c r="WK71" s="12"/>
      <c r="WL71" s="12"/>
      <c r="WM71" s="12"/>
      <c r="WN71" s="12"/>
      <c r="WO71" s="12"/>
      <c r="WP71" s="12"/>
      <c r="WQ71" s="12"/>
      <c r="WR71" s="12"/>
      <c r="WS71" s="12"/>
      <c r="WT71" s="12"/>
      <c r="WU71" s="12"/>
      <c r="WV71" s="12"/>
      <c r="WW71" s="12"/>
      <c r="WX71" s="12"/>
      <c r="WY71" s="12"/>
      <c r="WZ71" s="12"/>
      <c r="XA71" s="12"/>
      <c r="XB71" s="12"/>
      <c r="XC71" s="12"/>
      <c r="XD71" s="12"/>
      <c r="XE71" s="12"/>
      <c r="XF71" s="12"/>
      <c r="XG71" s="12"/>
      <c r="XH71" s="12"/>
      <c r="XI71" s="12"/>
      <c r="XJ71" s="12"/>
      <c r="XK71" s="12"/>
      <c r="XL71" s="12"/>
      <c r="XM71" s="12"/>
      <c r="XN71" s="12"/>
      <c r="XO71" s="12"/>
      <c r="XP71" s="12"/>
      <c r="XQ71" s="12"/>
      <c r="XR71" s="12"/>
      <c r="XS71" s="12"/>
      <c r="XT71" s="12"/>
      <c r="XU71" s="12"/>
      <c r="XV71" s="12"/>
      <c r="XW71" s="12"/>
      <c r="XX71" s="12"/>
      <c r="XY71" s="12"/>
      <c r="XZ71" s="12"/>
      <c r="YA71" s="12"/>
      <c r="YB71" s="12"/>
      <c r="YC71" s="12"/>
      <c r="YD71" s="12"/>
      <c r="YE71" s="12"/>
      <c r="YF71" s="12"/>
      <c r="YG71" s="12"/>
      <c r="YH71" s="12"/>
      <c r="YI71" s="12"/>
      <c r="YJ71" s="12"/>
      <c r="YK71" s="12"/>
      <c r="YL71" s="12"/>
      <c r="YM71" s="12"/>
      <c r="YN71" s="12"/>
      <c r="YO71" s="12"/>
      <c r="YP71" s="12"/>
      <c r="YQ71" s="12"/>
      <c r="YR71" s="12"/>
      <c r="YS71" s="12"/>
      <c r="YT71" s="12"/>
      <c r="YU71" s="12"/>
      <c r="YV71" s="12"/>
      <c r="YW71" s="12"/>
      <c r="YX71" s="12"/>
      <c r="YY71" s="12"/>
      <c r="YZ71" s="12"/>
      <c r="ZA71" s="12"/>
      <c r="ZB71" s="12"/>
      <c r="ZC71" s="12"/>
      <c r="ZD71" s="12"/>
      <c r="ZE71" s="12"/>
      <c r="ZF71" s="12"/>
      <c r="ZG71" s="12"/>
      <c r="ZH71" s="12"/>
      <c r="ZI71" s="12"/>
      <c r="ZJ71" s="12"/>
      <c r="ZK71" s="12"/>
      <c r="ZL71" s="12"/>
      <c r="ZM71" s="12"/>
      <c r="ZN71" s="12"/>
      <c r="ZO71" s="12"/>
      <c r="ZP71" s="12"/>
      <c r="ZQ71" s="12"/>
      <c r="ZR71" s="12"/>
      <c r="ZS71" s="12"/>
      <c r="ZT71" s="12"/>
      <c r="ZU71" s="12"/>
      <c r="ZV71" s="12"/>
      <c r="ZW71" s="12"/>
      <c r="ZX71" s="12"/>
      <c r="ZY71" s="12"/>
      <c r="ZZ71" s="12"/>
      <c r="AAA71" s="12"/>
      <c r="AAB71" s="12"/>
      <c r="AAC71" s="12"/>
      <c r="AAD71" s="12"/>
      <c r="AAE71" s="12"/>
      <c r="AAF71" s="12"/>
      <c r="AAG71" s="12"/>
      <c r="AAH71" s="12"/>
      <c r="AAI71" s="12"/>
      <c r="AAJ71" s="12"/>
      <c r="AAK71" s="12"/>
      <c r="AAL71" s="12"/>
      <c r="AAM71" s="12"/>
      <c r="AAN71" s="12"/>
      <c r="AAO71" s="12"/>
      <c r="AAP71" s="12"/>
      <c r="AAQ71" s="12"/>
      <c r="AAR71" s="12"/>
      <c r="AAS71" s="12"/>
      <c r="AAT71" s="12"/>
      <c r="AAU71" s="12"/>
      <c r="AAV71" s="12"/>
      <c r="AAW71" s="12"/>
      <c r="AAX71" s="12"/>
      <c r="AAY71" s="12"/>
      <c r="AAZ71" s="12"/>
      <c r="ABA71" s="12"/>
      <c r="ABB71" s="12"/>
      <c r="ABC71" s="12"/>
      <c r="ABD71" s="12"/>
      <c r="ABE71" s="12"/>
      <c r="ABF71" s="12"/>
      <c r="ABG71" s="12"/>
      <c r="ABH71" s="12"/>
      <c r="ABI71" s="12"/>
      <c r="ABJ71" s="12"/>
      <c r="ABK71" s="12"/>
      <c r="ABL71" s="12"/>
      <c r="ABM71" s="12"/>
      <c r="ABN71" s="12"/>
      <c r="ABO71" s="12"/>
      <c r="ABP71" s="12"/>
      <c r="ABQ71" s="12"/>
      <c r="ABR71" s="12"/>
      <c r="ABS71" s="12"/>
      <c r="ABT71" s="12"/>
      <c r="ABU71" s="12"/>
      <c r="ABV71" s="12"/>
      <c r="ABW71" s="12"/>
      <c r="ABX71" s="12"/>
      <c r="ABY71" s="12"/>
      <c r="ABZ71" s="12"/>
      <c r="ACA71" s="12"/>
      <c r="ACB71" s="12"/>
      <c r="ACC71" s="12"/>
      <c r="ACD71" s="12"/>
      <c r="ACE71" s="12"/>
      <c r="ACF71" s="12"/>
      <c r="ACG71" s="12"/>
      <c r="ACH71" s="12"/>
      <c r="ACI71" s="12"/>
      <c r="ACJ71" s="12"/>
      <c r="ACK71" s="12"/>
      <c r="ACL71" s="12"/>
      <c r="ACM71" s="12"/>
      <c r="ACN71" s="12"/>
      <c r="ACO71" s="12"/>
      <c r="ACP71" s="12"/>
      <c r="ACQ71" s="12"/>
      <c r="ACR71" s="12"/>
      <c r="ACS71" s="12"/>
      <c r="ACT71" s="12"/>
      <c r="ACU71" s="12"/>
      <c r="ACV71" s="12"/>
      <c r="ACW71" s="12"/>
      <c r="ACX71" s="12"/>
      <c r="ACY71" s="12"/>
      <c r="ACZ71" s="12"/>
      <c r="ADA71" s="12"/>
      <c r="ADB71" s="12"/>
      <c r="ADC71" s="12"/>
      <c r="ADD71" s="12"/>
      <c r="ADE71" s="12"/>
      <c r="ADF71" s="12"/>
      <c r="ADG71" s="12"/>
      <c r="ADH71" s="12"/>
      <c r="ADI71" s="12"/>
      <c r="ADJ71" s="12"/>
      <c r="ADK71" s="12"/>
      <c r="ADL71" s="12"/>
      <c r="ADM71" s="12"/>
      <c r="ADN71" s="12"/>
      <c r="ADO71" s="12"/>
      <c r="ADP71" s="12"/>
      <c r="ADQ71" s="12"/>
      <c r="ADR71" s="12"/>
      <c r="ADS71" s="12"/>
      <c r="ADT71" s="12"/>
      <c r="ADU71" s="12"/>
      <c r="ADV71" s="12"/>
      <c r="ADW71" s="12"/>
      <c r="ADX71" s="12"/>
      <c r="ADY71" s="12"/>
      <c r="ADZ71" s="12"/>
      <c r="AEA71" s="12"/>
      <c r="AEB71" s="12"/>
      <c r="AEC71" s="12"/>
      <c r="AED71" s="12"/>
      <c r="AEE71" s="12"/>
      <c r="AEF71" s="12"/>
      <c r="AEG71" s="12"/>
      <c r="AEH71" s="12"/>
      <c r="AEI71" s="12"/>
      <c r="AEJ71" s="12"/>
      <c r="AEK71" s="12"/>
      <c r="AEL71" s="12"/>
      <c r="AEM71" s="12"/>
      <c r="AEN71" s="12"/>
      <c r="AEO71" s="12"/>
      <c r="AEP71" s="12"/>
      <c r="AEQ71" s="12"/>
      <c r="AER71" s="12"/>
      <c r="AES71" s="12"/>
      <c r="AET71" s="12"/>
      <c r="AEU71" s="12"/>
      <c r="AEV71" s="12"/>
    </row>
    <row r="72" spans="1:828" x14ac:dyDescent="0.2">
      <c r="D72" s="77"/>
      <c r="E72" s="78"/>
      <c r="F72" s="78"/>
      <c r="G72" s="78"/>
      <c r="K72" s="27"/>
      <c r="L72" s="27"/>
      <c r="M72" s="29"/>
    </row>
    <row r="73" spans="1:828" x14ac:dyDescent="0.2">
      <c r="K73" s="27"/>
      <c r="L73" s="27"/>
      <c r="M73" s="29"/>
    </row>
    <row r="74" spans="1:828" x14ac:dyDescent="0.2">
      <c r="D74" s="79">
        <f>D71+G71</f>
        <v>107927</v>
      </c>
      <c r="J74" s="79">
        <f>J71+M71-J2</f>
        <v>105204</v>
      </c>
      <c r="K74" s="27"/>
      <c r="L74" s="27"/>
      <c r="M74" s="29"/>
    </row>
    <row r="75" spans="1:828" x14ac:dyDescent="0.2">
      <c r="D75" s="77">
        <f>D71/D74</f>
        <v>0.76237642109944681</v>
      </c>
      <c r="K75" s="27"/>
      <c r="L75" s="27"/>
      <c r="M75" s="29"/>
    </row>
    <row r="76" spans="1:828" x14ac:dyDescent="0.2">
      <c r="J76" s="77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5FBF-568F-164E-ADA9-8E643AF3142C}">
  <dimension ref="A1:AEV76"/>
  <sheetViews>
    <sheetView tabSelected="1" topLeftCell="G19" workbookViewId="0">
      <selection activeCell="L40" sqref="L40"/>
    </sheetView>
  </sheetViews>
  <sheetFormatPr baseColWidth="10" defaultColWidth="9" defaultRowHeight="16" x14ac:dyDescent="0.2"/>
  <cols>
    <col min="1" max="1" width="47.33203125" style="75" customWidth="1"/>
    <col min="2" max="2" width="17.33203125" style="76" customWidth="1"/>
    <col min="3" max="3" width="33.5" style="12" customWidth="1"/>
    <col min="4" max="4" width="27.33203125" style="79" customWidth="1"/>
    <col min="5" max="6" width="27.33203125" style="12" customWidth="1"/>
    <col min="7" max="7" width="27" style="12" customWidth="1"/>
    <col min="8" max="8" width="15" style="76" customWidth="1"/>
    <col min="9" max="9" width="33" style="12" customWidth="1"/>
    <col min="10" max="10" width="15.6640625" style="79" customWidth="1"/>
    <col min="11" max="11" width="19.5" style="76" customWidth="1"/>
    <col min="12" max="12" width="32.5" style="12" customWidth="1"/>
    <col min="13" max="13" width="19.6640625" style="79" customWidth="1"/>
    <col min="14" max="14" width="13" style="12" customWidth="1"/>
    <col min="15" max="15" width="12.1640625" style="12" customWidth="1"/>
    <col min="16" max="20" width="9" style="68"/>
    <col min="21" max="16384" width="9" style="12"/>
  </cols>
  <sheetData>
    <row r="1" spans="1:828" s="6" customFormat="1" ht="26" thickBot="1" x14ac:dyDescent="0.25">
      <c r="A1" s="1" t="s">
        <v>0</v>
      </c>
      <c r="B1" s="2">
        <v>2007</v>
      </c>
      <c r="C1" s="3" t="s">
        <v>1</v>
      </c>
      <c r="D1" s="4" t="s">
        <v>2</v>
      </c>
      <c r="E1" s="2">
        <v>2007</v>
      </c>
      <c r="F1" s="3" t="s">
        <v>3</v>
      </c>
      <c r="G1" s="3" t="s">
        <v>4</v>
      </c>
      <c r="H1" s="2">
        <v>2017</v>
      </c>
      <c r="I1" s="3" t="s">
        <v>5</v>
      </c>
      <c r="J1" s="4" t="s">
        <v>6</v>
      </c>
      <c r="K1" s="2">
        <v>2017</v>
      </c>
      <c r="L1" s="3" t="s">
        <v>7</v>
      </c>
      <c r="M1" s="4" t="s">
        <v>8</v>
      </c>
      <c r="N1" s="5"/>
      <c r="O1" s="5"/>
      <c r="P1"/>
      <c r="Q1"/>
      <c r="R1"/>
      <c r="S1"/>
      <c r="T1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</row>
    <row r="2" spans="1:828" s="13" customFormat="1" ht="19" x14ac:dyDescent="0.2">
      <c r="A2" s="7" t="s">
        <v>9</v>
      </c>
      <c r="B2" s="8"/>
      <c r="C2" s="9" t="s">
        <v>10</v>
      </c>
      <c r="D2" s="10">
        <v>0</v>
      </c>
      <c r="E2" s="9"/>
      <c r="F2" s="9"/>
      <c r="G2" s="9"/>
      <c r="H2" s="8">
        <f>J2/J74</f>
        <v>0.5611418174327989</v>
      </c>
      <c r="I2" s="9" t="s">
        <v>11</v>
      </c>
      <c r="J2" s="11">
        <v>65382</v>
      </c>
      <c r="K2" s="8"/>
      <c r="L2" s="9"/>
      <c r="M2" s="10"/>
      <c r="N2" s="12"/>
      <c r="O2" s="12"/>
      <c r="P2"/>
      <c r="Q2"/>
      <c r="R2"/>
      <c r="S2"/>
      <c r="T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</row>
    <row r="3" spans="1:828" s="13" customFormat="1" ht="18" x14ac:dyDescent="0.2">
      <c r="A3" s="14"/>
      <c r="B3" s="15"/>
      <c r="C3" s="16"/>
      <c r="D3" s="11"/>
      <c r="E3" s="16"/>
      <c r="F3" s="16"/>
      <c r="G3" s="16"/>
      <c r="H3" s="15"/>
      <c r="I3" s="16"/>
      <c r="J3" s="11"/>
      <c r="K3" s="15"/>
      <c r="L3" s="16"/>
      <c r="M3" s="11"/>
      <c r="N3" s="12"/>
      <c r="O3" s="12"/>
      <c r="P3"/>
      <c r="Q3"/>
      <c r="R3"/>
      <c r="S3"/>
      <c r="T3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</row>
    <row r="4" spans="1:828" s="13" customFormat="1" ht="19" thickBot="1" x14ac:dyDescent="0.25">
      <c r="A4" s="17"/>
      <c r="B4" s="18"/>
      <c r="C4" s="19"/>
      <c r="D4" s="20"/>
      <c r="E4" s="19"/>
      <c r="F4" s="19"/>
      <c r="G4" s="19"/>
      <c r="H4" s="18"/>
      <c r="I4" s="19"/>
      <c r="J4" s="20"/>
      <c r="K4" s="18"/>
      <c r="L4" s="19"/>
      <c r="M4" s="20"/>
      <c r="N4" s="12"/>
      <c r="O4" s="12"/>
      <c r="P4"/>
      <c r="Q4"/>
      <c r="R4"/>
      <c r="S4"/>
      <c r="T4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</row>
    <row r="5" spans="1:828" s="27" customFormat="1" ht="19" x14ac:dyDescent="0.2">
      <c r="A5" s="21" t="s">
        <v>12</v>
      </c>
      <c r="B5" s="22">
        <f>D5/$D$74</f>
        <v>2.1595274218018656E-2</v>
      </c>
      <c r="C5" s="23" t="s">
        <v>13</v>
      </c>
      <c r="D5" s="24">
        <f>22+2654</f>
        <v>2676</v>
      </c>
      <c r="E5" s="25"/>
      <c r="F5" s="25"/>
      <c r="G5" s="25"/>
      <c r="H5" s="26">
        <f>J5/J74</f>
        <v>4.194273747811459E-2</v>
      </c>
      <c r="I5" s="25" t="s">
        <v>14</v>
      </c>
      <c r="J5" s="24">
        <v>4887</v>
      </c>
      <c r="K5" s="26"/>
      <c r="L5" s="25"/>
      <c r="M5" s="24"/>
      <c r="N5" s="12"/>
      <c r="O5" s="12"/>
      <c r="P5"/>
      <c r="Q5"/>
      <c r="R5"/>
      <c r="S5"/>
      <c r="T5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</row>
    <row r="6" spans="1:828" s="27" customFormat="1" ht="18" x14ac:dyDescent="0.2">
      <c r="A6" s="28"/>
      <c r="B6" s="29"/>
      <c r="C6" s="23"/>
      <c r="D6" s="29"/>
      <c r="E6" s="23"/>
      <c r="F6" s="23"/>
      <c r="G6" s="23"/>
      <c r="H6" s="30"/>
      <c r="I6" s="31"/>
      <c r="J6" s="32"/>
      <c r="K6" s="30"/>
      <c r="L6" s="31"/>
      <c r="M6" s="32"/>
      <c r="N6" s="12"/>
      <c r="O6" s="12"/>
      <c r="P6"/>
      <c r="Q6"/>
      <c r="R6"/>
      <c r="S6"/>
      <c r="T6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</row>
    <row r="7" spans="1:828" s="27" customFormat="1" ht="18" x14ac:dyDescent="0.2">
      <c r="A7" s="28"/>
      <c r="B7" s="29"/>
      <c r="C7" s="23"/>
      <c r="D7" s="29"/>
      <c r="E7" s="23"/>
      <c r="F7" s="23"/>
      <c r="G7" s="23"/>
      <c r="H7" s="30"/>
      <c r="I7" s="23"/>
      <c r="J7" s="29"/>
      <c r="K7" s="30"/>
      <c r="L7" s="23"/>
      <c r="M7" s="29"/>
      <c r="N7" s="12"/>
      <c r="O7" s="12"/>
      <c r="P7"/>
      <c r="Q7"/>
      <c r="R7"/>
      <c r="S7"/>
      <c r="T7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</row>
    <row r="8" spans="1:828" s="27" customFormat="1" ht="18" x14ac:dyDescent="0.2">
      <c r="A8" s="28"/>
      <c r="B8" s="29"/>
      <c r="C8" s="23"/>
      <c r="D8" s="29"/>
      <c r="E8" s="23"/>
      <c r="F8" s="23"/>
      <c r="G8" s="23"/>
      <c r="H8" s="30"/>
      <c r="I8" s="23"/>
      <c r="J8" s="29"/>
      <c r="K8" s="30"/>
      <c r="L8" s="23"/>
      <c r="M8" s="29"/>
      <c r="N8" s="12"/>
      <c r="O8" s="12"/>
      <c r="P8"/>
      <c r="Q8"/>
      <c r="R8"/>
      <c r="S8"/>
      <c r="T8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</row>
    <row r="9" spans="1:828" s="27" customFormat="1" ht="18" x14ac:dyDescent="0.2">
      <c r="A9" s="28"/>
      <c r="B9" s="29"/>
      <c r="C9" s="23"/>
      <c r="D9" s="29"/>
      <c r="E9" s="23"/>
      <c r="F9" s="23"/>
      <c r="G9" s="23"/>
      <c r="H9" s="30"/>
      <c r="I9" s="23"/>
      <c r="J9" s="29"/>
      <c r="K9" s="30"/>
      <c r="L9" s="23"/>
      <c r="M9" s="29"/>
      <c r="N9" s="12"/>
      <c r="O9" s="12"/>
      <c r="P9"/>
      <c r="Q9"/>
      <c r="R9"/>
      <c r="S9"/>
      <c r="T9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</row>
    <row r="10" spans="1:828" s="27" customFormat="1" ht="19" thickBot="1" x14ac:dyDescent="0.25">
      <c r="A10" s="28"/>
      <c r="B10" s="29"/>
      <c r="C10" s="23"/>
      <c r="D10" s="29"/>
      <c r="E10" s="23"/>
      <c r="F10" s="23"/>
      <c r="G10" s="23"/>
      <c r="H10" s="30"/>
      <c r="I10" s="23"/>
      <c r="J10" s="29"/>
      <c r="K10" s="30"/>
      <c r="L10" s="23"/>
      <c r="M10" s="29"/>
      <c r="N10" s="12"/>
      <c r="O10" s="12"/>
      <c r="P10"/>
      <c r="Q10"/>
      <c r="R10"/>
      <c r="S10"/>
      <c r="T10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</row>
    <row r="11" spans="1:828" s="33" customFormat="1" ht="19" x14ac:dyDescent="0.2">
      <c r="A11" s="7" t="s">
        <v>15</v>
      </c>
      <c r="B11" s="26">
        <f t="shared" ref="B11:B66" si="0">D11/$D$74</f>
        <v>0.28775944994996611</v>
      </c>
      <c r="C11" s="9" t="s">
        <v>16</v>
      </c>
      <c r="D11" s="10">
        <v>35658</v>
      </c>
      <c r="E11" s="9"/>
      <c r="F11" s="9"/>
      <c r="G11" s="9"/>
      <c r="H11" s="8">
        <f>J11/J74</f>
        <v>0.2433142229393388</v>
      </c>
      <c r="I11" s="9" t="s">
        <v>17</v>
      </c>
      <c r="J11" s="10">
        <v>28350</v>
      </c>
      <c r="K11" s="8"/>
      <c r="L11" s="9"/>
      <c r="M11" s="10"/>
      <c r="N11" s="12"/>
      <c r="O11" s="12"/>
      <c r="P11"/>
      <c r="Q11"/>
      <c r="R11"/>
      <c r="S11"/>
      <c r="T11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</row>
    <row r="12" spans="1:828" s="13" customFormat="1" ht="18" x14ac:dyDescent="0.2">
      <c r="A12" s="34"/>
      <c r="B12" s="16"/>
      <c r="C12" s="16"/>
      <c r="D12" s="11"/>
      <c r="E12" s="16"/>
      <c r="F12" s="16"/>
      <c r="G12" s="16"/>
      <c r="H12" s="15"/>
      <c r="I12" s="16"/>
      <c r="J12" s="11"/>
      <c r="K12" s="15"/>
      <c r="L12" s="16"/>
      <c r="M12" s="11"/>
      <c r="N12" s="12"/>
      <c r="O12" s="12"/>
      <c r="P12"/>
      <c r="Q12"/>
      <c r="R12"/>
      <c r="S12"/>
      <c r="T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</row>
    <row r="13" spans="1:828" s="13" customFormat="1" ht="18" x14ac:dyDescent="0.2">
      <c r="A13" s="34"/>
      <c r="B13" s="16"/>
      <c r="C13" s="16"/>
      <c r="D13" s="11"/>
      <c r="E13" s="16"/>
      <c r="F13" s="16"/>
      <c r="G13" s="16"/>
      <c r="H13" s="15"/>
      <c r="I13" s="35"/>
      <c r="J13" s="36"/>
      <c r="K13" s="15"/>
      <c r="L13" s="35"/>
      <c r="M13" s="36"/>
      <c r="N13" s="12"/>
      <c r="O13" s="12"/>
      <c r="P13"/>
      <c r="Q13"/>
      <c r="R13"/>
      <c r="S13"/>
      <c r="T13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</row>
    <row r="14" spans="1:828" s="13" customFormat="1" ht="18" x14ac:dyDescent="0.2">
      <c r="A14" s="34"/>
      <c r="B14" s="16"/>
      <c r="C14" s="16"/>
      <c r="D14" s="11"/>
      <c r="E14" s="16"/>
      <c r="F14" s="16"/>
      <c r="G14" s="16"/>
      <c r="H14" s="15"/>
      <c r="I14" s="35"/>
      <c r="J14" s="36"/>
      <c r="K14" s="15"/>
      <c r="L14" s="35"/>
      <c r="M14" s="36"/>
      <c r="N14" s="12"/>
      <c r="O14" s="12"/>
      <c r="P14"/>
      <c r="Q14"/>
      <c r="R14"/>
      <c r="S14"/>
      <c r="T14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</row>
    <row r="15" spans="1:828" s="13" customFormat="1" ht="18" x14ac:dyDescent="0.2">
      <c r="A15" s="34"/>
      <c r="B15" s="16"/>
      <c r="C15" s="16"/>
      <c r="D15" s="11"/>
      <c r="E15" s="16"/>
      <c r="F15" s="16"/>
      <c r="G15" s="16"/>
      <c r="H15" s="15"/>
      <c r="I15" s="35"/>
      <c r="J15" s="36"/>
      <c r="K15" s="15"/>
      <c r="L15" s="35"/>
      <c r="M15" s="36"/>
      <c r="N15" s="12"/>
      <c r="O15" s="12"/>
      <c r="P15"/>
      <c r="Q15"/>
      <c r="R15"/>
      <c r="S15"/>
      <c r="T15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12"/>
      <c r="GI15" s="12"/>
      <c r="GJ15" s="12"/>
      <c r="GK15" s="12"/>
      <c r="GL15" s="12"/>
      <c r="GM15" s="12"/>
      <c r="GN15" s="12"/>
      <c r="GO15" s="12"/>
      <c r="GP15" s="12"/>
      <c r="GQ15" s="12"/>
      <c r="GR15" s="12"/>
      <c r="GS15" s="12"/>
      <c r="GT15" s="12"/>
      <c r="GU15" s="12"/>
      <c r="GV15" s="12"/>
      <c r="GW15" s="12"/>
      <c r="GX15" s="12"/>
      <c r="GY15" s="12"/>
      <c r="GZ15" s="12"/>
      <c r="HA15" s="12"/>
      <c r="HB15" s="12"/>
      <c r="HC15" s="12"/>
      <c r="HD15" s="12"/>
      <c r="HE15" s="12"/>
      <c r="HF15" s="12"/>
      <c r="HG15" s="12"/>
      <c r="HH15" s="12"/>
      <c r="HI15" s="12"/>
      <c r="HJ15" s="12"/>
      <c r="HK15" s="12"/>
      <c r="HL15" s="12"/>
      <c r="HM15" s="12"/>
      <c r="HN15" s="12"/>
      <c r="HO15" s="12"/>
      <c r="HP15" s="12"/>
      <c r="HQ15" s="12"/>
      <c r="HR15" s="12"/>
      <c r="HS15" s="12"/>
      <c r="HT15" s="12"/>
      <c r="HU15" s="12"/>
      <c r="HV15" s="12"/>
      <c r="HW15" s="12"/>
      <c r="HX15" s="12"/>
      <c r="HY15" s="12"/>
      <c r="HZ15" s="12"/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  <c r="IL15" s="12"/>
      <c r="IM15" s="12"/>
      <c r="IN15" s="12"/>
      <c r="IO15" s="12"/>
      <c r="IP15" s="12"/>
      <c r="IQ15" s="12"/>
      <c r="IR15" s="12"/>
      <c r="IS15" s="12"/>
      <c r="IT15" s="12"/>
      <c r="IU15" s="12"/>
      <c r="IV15" s="12"/>
      <c r="IW15" s="12"/>
      <c r="IX15" s="12"/>
      <c r="IY15" s="12"/>
      <c r="IZ15" s="12"/>
      <c r="JA15" s="12"/>
      <c r="JB15" s="12"/>
      <c r="JC15" s="12"/>
      <c r="JD15" s="12"/>
      <c r="JE15" s="12"/>
      <c r="JF15" s="12"/>
      <c r="JG15" s="12"/>
      <c r="JH15" s="12"/>
      <c r="JI15" s="12"/>
      <c r="JJ15" s="12"/>
      <c r="JK15" s="12"/>
      <c r="JL15" s="12"/>
      <c r="JM15" s="12"/>
      <c r="JN15" s="12"/>
      <c r="JO15" s="12"/>
      <c r="JP15" s="12"/>
      <c r="JQ15" s="12"/>
      <c r="JR15" s="12"/>
      <c r="JS15" s="12"/>
      <c r="JT15" s="12"/>
      <c r="JU15" s="12"/>
      <c r="JV15" s="12"/>
      <c r="JW15" s="12"/>
      <c r="JX15" s="12"/>
      <c r="JY15" s="12"/>
      <c r="JZ15" s="12"/>
      <c r="KA15" s="12"/>
      <c r="KB15" s="12"/>
      <c r="KC15" s="12"/>
      <c r="KD15" s="12"/>
      <c r="KE15" s="12"/>
      <c r="KF15" s="12"/>
      <c r="KG15" s="12"/>
      <c r="KH15" s="12"/>
      <c r="KI15" s="12"/>
      <c r="KJ15" s="12"/>
      <c r="KK15" s="12"/>
      <c r="KL15" s="12"/>
      <c r="KM15" s="12"/>
      <c r="KN15" s="12"/>
      <c r="KO15" s="12"/>
      <c r="KP15" s="12"/>
      <c r="KQ15" s="12"/>
      <c r="KR15" s="12"/>
      <c r="KS15" s="12"/>
      <c r="KT15" s="12"/>
      <c r="KU15" s="12"/>
      <c r="KV15" s="12"/>
      <c r="KW15" s="12"/>
      <c r="KX15" s="12"/>
      <c r="KY15" s="12"/>
      <c r="KZ15" s="12"/>
      <c r="LA15" s="12"/>
      <c r="LB15" s="12"/>
      <c r="LC15" s="12"/>
      <c r="LD15" s="12"/>
      <c r="LE15" s="12"/>
      <c r="LF15" s="12"/>
      <c r="LG15" s="12"/>
      <c r="LH15" s="12"/>
      <c r="LI15" s="12"/>
      <c r="LJ15" s="12"/>
      <c r="LK15" s="12"/>
      <c r="LL15" s="12"/>
      <c r="LM15" s="12"/>
      <c r="LN15" s="12"/>
      <c r="LO15" s="12"/>
      <c r="LP15" s="12"/>
      <c r="LQ15" s="12"/>
      <c r="LR15" s="12"/>
      <c r="LS15" s="12"/>
      <c r="LT15" s="12"/>
      <c r="LU15" s="12"/>
      <c r="LV15" s="12"/>
      <c r="LW15" s="12"/>
      <c r="LX15" s="12"/>
      <c r="LY15" s="12"/>
      <c r="LZ15" s="12"/>
      <c r="MA15" s="12"/>
      <c r="MB15" s="12"/>
      <c r="MC15" s="12"/>
      <c r="MD15" s="12"/>
      <c r="ME15" s="12"/>
      <c r="MF15" s="12"/>
      <c r="MG15" s="12"/>
      <c r="MH15" s="12"/>
      <c r="MI15" s="12"/>
      <c r="MJ15" s="12"/>
      <c r="MK15" s="12"/>
      <c r="ML15" s="12"/>
      <c r="MM15" s="12"/>
      <c r="MN15" s="12"/>
      <c r="MO15" s="12"/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/>
      <c r="NL15" s="12"/>
      <c r="NM15" s="12"/>
      <c r="NN15" s="12"/>
      <c r="NO15" s="12"/>
      <c r="NP15" s="12"/>
      <c r="NQ15" s="12"/>
      <c r="NR15" s="12"/>
      <c r="NS15" s="12"/>
      <c r="NT15" s="12"/>
      <c r="NU15" s="12"/>
      <c r="NV15" s="12"/>
      <c r="NW15" s="12"/>
      <c r="NX15" s="12"/>
      <c r="NY15" s="12"/>
      <c r="NZ15" s="12"/>
      <c r="OA15" s="12"/>
      <c r="OB15" s="12"/>
      <c r="OC15" s="12"/>
      <c r="OD15" s="12"/>
      <c r="OE15" s="12"/>
      <c r="OF15" s="12"/>
      <c r="OG15" s="12"/>
      <c r="OH15" s="12"/>
      <c r="OI15" s="12"/>
      <c r="OJ15" s="12"/>
      <c r="OK15" s="12"/>
      <c r="OL15" s="12"/>
      <c r="OM15" s="12"/>
      <c r="ON15" s="12"/>
      <c r="OO15" s="12"/>
      <c r="OP15" s="12"/>
      <c r="OQ15" s="12"/>
      <c r="OR15" s="12"/>
      <c r="OS15" s="12"/>
      <c r="OT15" s="12"/>
      <c r="OU15" s="12"/>
      <c r="OV15" s="12"/>
      <c r="OW15" s="12"/>
      <c r="OX15" s="12"/>
      <c r="OY15" s="12"/>
      <c r="OZ15" s="12"/>
      <c r="PA15" s="12"/>
      <c r="PB15" s="12"/>
      <c r="PC15" s="12"/>
      <c r="PD15" s="12"/>
      <c r="PE15" s="12"/>
      <c r="PF15" s="12"/>
      <c r="PG15" s="12"/>
      <c r="PH15" s="12"/>
      <c r="PI15" s="12"/>
      <c r="PJ15" s="12"/>
      <c r="PK15" s="12"/>
      <c r="PL15" s="12"/>
      <c r="PM15" s="12"/>
      <c r="PN15" s="12"/>
      <c r="PO15" s="12"/>
      <c r="PP15" s="12"/>
      <c r="PQ15" s="12"/>
      <c r="PR15" s="12"/>
      <c r="PS15" s="12"/>
      <c r="PT15" s="12"/>
      <c r="PU15" s="12"/>
      <c r="PV15" s="12"/>
      <c r="PW15" s="12"/>
      <c r="PX15" s="12"/>
      <c r="PY15" s="12"/>
      <c r="PZ15" s="12"/>
      <c r="QA15" s="12"/>
      <c r="QB15" s="12"/>
      <c r="QC15" s="12"/>
      <c r="QD15" s="12"/>
      <c r="QE15" s="12"/>
      <c r="QF15" s="12"/>
      <c r="QG15" s="12"/>
      <c r="QH15" s="12"/>
      <c r="QI15" s="12"/>
      <c r="QJ15" s="12"/>
      <c r="QK15" s="12"/>
      <c r="QL15" s="12"/>
      <c r="QM15" s="12"/>
      <c r="QN15" s="12"/>
      <c r="QO15" s="12"/>
      <c r="QP15" s="12"/>
      <c r="QQ15" s="12"/>
      <c r="QR15" s="12"/>
      <c r="QS15" s="12"/>
      <c r="QT15" s="12"/>
      <c r="QU15" s="12"/>
      <c r="QV15" s="12"/>
      <c r="QW15" s="12"/>
      <c r="QX15" s="12"/>
      <c r="QY15" s="12"/>
      <c r="QZ15" s="12"/>
      <c r="RA15" s="12"/>
      <c r="RB15" s="12"/>
      <c r="RC15" s="12"/>
      <c r="RD15" s="12"/>
      <c r="RE15" s="12"/>
      <c r="RF15" s="12"/>
      <c r="RG15" s="12"/>
      <c r="RH15" s="12"/>
      <c r="RI15" s="12"/>
      <c r="RJ15" s="12"/>
      <c r="RK15" s="12"/>
      <c r="RL15" s="12"/>
      <c r="RM15" s="12"/>
      <c r="RN15" s="12"/>
      <c r="RO15" s="12"/>
      <c r="RP15" s="12"/>
      <c r="RQ15" s="12"/>
      <c r="RR15" s="12"/>
      <c r="RS15" s="12"/>
      <c r="RT15" s="12"/>
      <c r="RU15" s="12"/>
      <c r="RV15" s="12"/>
      <c r="RW15" s="12"/>
      <c r="RX15" s="12"/>
      <c r="RY15" s="12"/>
      <c r="RZ15" s="12"/>
      <c r="SA15" s="12"/>
      <c r="SB15" s="12"/>
      <c r="SC15" s="12"/>
      <c r="SD15" s="12"/>
      <c r="SE15" s="12"/>
      <c r="SF15" s="12"/>
      <c r="SG15" s="12"/>
      <c r="SH15" s="12"/>
      <c r="SI15" s="12"/>
      <c r="SJ15" s="12"/>
      <c r="SK15" s="12"/>
      <c r="SL15" s="12"/>
      <c r="SM15" s="12"/>
      <c r="SN15" s="12"/>
      <c r="SO15" s="12"/>
      <c r="SP15" s="12"/>
      <c r="SQ15" s="12"/>
      <c r="SR15" s="12"/>
      <c r="SS15" s="12"/>
      <c r="ST15" s="12"/>
      <c r="SU15" s="12"/>
      <c r="SV15" s="12"/>
      <c r="SW15" s="12"/>
      <c r="SX15" s="12"/>
      <c r="SY15" s="12"/>
      <c r="SZ15" s="12"/>
      <c r="TA15" s="12"/>
      <c r="TB15" s="12"/>
      <c r="TC15" s="12"/>
      <c r="TD15" s="12"/>
      <c r="TE15" s="12"/>
      <c r="TF15" s="12"/>
      <c r="TG15" s="12"/>
      <c r="TH15" s="12"/>
      <c r="TI15" s="12"/>
      <c r="TJ15" s="12"/>
      <c r="TK15" s="12"/>
      <c r="TL15" s="12"/>
      <c r="TM15" s="12"/>
      <c r="TN15" s="12"/>
      <c r="TO15" s="12"/>
      <c r="TP15" s="12"/>
      <c r="TQ15" s="12"/>
      <c r="TR15" s="12"/>
      <c r="TS15" s="12"/>
      <c r="TT15" s="12"/>
      <c r="TU15" s="12"/>
      <c r="TV15" s="12"/>
      <c r="TW15" s="12"/>
      <c r="TX15" s="12"/>
      <c r="TY15" s="12"/>
      <c r="TZ15" s="12"/>
      <c r="UA15" s="12"/>
      <c r="UB15" s="12"/>
      <c r="UC15" s="12"/>
      <c r="UD15" s="12"/>
      <c r="UE15" s="12"/>
      <c r="UF15" s="12"/>
      <c r="UG15" s="12"/>
      <c r="UH15" s="12"/>
      <c r="UI15" s="12"/>
      <c r="UJ15" s="12"/>
      <c r="UK15" s="12"/>
      <c r="UL15" s="12"/>
      <c r="UM15" s="12"/>
      <c r="UN15" s="12"/>
      <c r="UO15" s="12"/>
      <c r="UP15" s="12"/>
      <c r="UQ15" s="12"/>
      <c r="UR15" s="12"/>
      <c r="US15" s="12"/>
      <c r="UT15" s="12"/>
      <c r="UU15" s="12"/>
      <c r="UV15" s="12"/>
      <c r="UW15" s="12"/>
      <c r="UX15" s="12"/>
      <c r="UY15" s="12"/>
      <c r="UZ15" s="12"/>
      <c r="VA15" s="12"/>
      <c r="VB15" s="12"/>
      <c r="VC15" s="12"/>
      <c r="VD15" s="12"/>
      <c r="VE15" s="12"/>
      <c r="VF15" s="12"/>
      <c r="VG15" s="12"/>
      <c r="VH15" s="12"/>
      <c r="VI15" s="12"/>
      <c r="VJ15" s="12"/>
      <c r="VK15" s="12"/>
      <c r="VL15" s="12"/>
      <c r="VM15" s="12"/>
      <c r="VN15" s="12"/>
      <c r="VO15" s="12"/>
      <c r="VP15" s="12"/>
      <c r="VQ15" s="12"/>
      <c r="VR15" s="12"/>
      <c r="VS15" s="12"/>
      <c r="VT15" s="12"/>
      <c r="VU15" s="12"/>
      <c r="VV15" s="12"/>
      <c r="VW15" s="12"/>
      <c r="VX15" s="12"/>
      <c r="VY15" s="12"/>
      <c r="VZ15" s="12"/>
      <c r="WA15" s="12"/>
      <c r="WB15" s="12"/>
      <c r="WC15" s="12"/>
      <c r="WD15" s="12"/>
      <c r="WE15" s="12"/>
      <c r="WF15" s="12"/>
      <c r="WG15" s="12"/>
      <c r="WH15" s="12"/>
      <c r="WI15" s="12"/>
      <c r="WJ15" s="12"/>
      <c r="WK15" s="12"/>
      <c r="WL15" s="12"/>
      <c r="WM15" s="12"/>
      <c r="WN15" s="12"/>
      <c r="WO15" s="12"/>
      <c r="WP15" s="12"/>
      <c r="WQ15" s="12"/>
      <c r="WR15" s="12"/>
      <c r="WS15" s="12"/>
      <c r="WT15" s="12"/>
      <c r="WU15" s="12"/>
      <c r="WV15" s="12"/>
      <c r="WW15" s="12"/>
      <c r="WX15" s="12"/>
      <c r="WY15" s="12"/>
      <c r="WZ15" s="12"/>
      <c r="XA15" s="12"/>
      <c r="XB15" s="12"/>
      <c r="XC15" s="12"/>
      <c r="XD15" s="12"/>
      <c r="XE15" s="12"/>
      <c r="XF15" s="12"/>
      <c r="XG15" s="12"/>
      <c r="XH15" s="12"/>
      <c r="XI15" s="12"/>
      <c r="XJ15" s="12"/>
      <c r="XK15" s="12"/>
      <c r="XL15" s="12"/>
      <c r="XM15" s="12"/>
      <c r="XN15" s="12"/>
      <c r="XO15" s="12"/>
      <c r="XP15" s="12"/>
      <c r="XQ15" s="12"/>
      <c r="XR15" s="12"/>
      <c r="XS15" s="12"/>
      <c r="XT15" s="12"/>
      <c r="XU15" s="12"/>
      <c r="XV15" s="12"/>
      <c r="XW15" s="12"/>
      <c r="XX15" s="12"/>
      <c r="XY15" s="12"/>
      <c r="XZ15" s="12"/>
      <c r="YA15" s="12"/>
      <c r="YB15" s="12"/>
      <c r="YC15" s="12"/>
      <c r="YD15" s="12"/>
      <c r="YE15" s="12"/>
      <c r="YF15" s="12"/>
      <c r="YG15" s="12"/>
      <c r="YH15" s="12"/>
      <c r="YI15" s="12"/>
      <c r="YJ15" s="12"/>
      <c r="YK15" s="12"/>
      <c r="YL15" s="12"/>
      <c r="YM15" s="12"/>
      <c r="YN15" s="12"/>
      <c r="YO15" s="12"/>
      <c r="YP15" s="12"/>
      <c r="YQ15" s="12"/>
      <c r="YR15" s="12"/>
      <c r="YS15" s="12"/>
      <c r="YT15" s="12"/>
      <c r="YU15" s="12"/>
      <c r="YV15" s="12"/>
      <c r="YW15" s="12"/>
      <c r="YX15" s="12"/>
      <c r="YY15" s="12"/>
      <c r="YZ15" s="12"/>
      <c r="ZA15" s="12"/>
      <c r="ZB15" s="12"/>
      <c r="ZC15" s="12"/>
      <c r="ZD15" s="12"/>
      <c r="ZE15" s="12"/>
      <c r="ZF15" s="12"/>
      <c r="ZG15" s="12"/>
      <c r="ZH15" s="12"/>
      <c r="ZI15" s="12"/>
      <c r="ZJ15" s="12"/>
      <c r="ZK15" s="12"/>
      <c r="ZL15" s="12"/>
      <c r="ZM15" s="12"/>
      <c r="ZN15" s="12"/>
      <c r="ZO15" s="12"/>
      <c r="ZP15" s="12"/>
      <c r="ZQ15" s="12"/>
      <c r="ZR15" s="12"/>
      <c r="ZS15" s="12"/>
      <c r="ZT15" s="12"/>
      <c r="ZU15" s="12"/>
      <c r="ZV15" s="12"/>
      <c r="ZW15" s="12"/>
      <c r="ZX15" s="12"/>
      <c r="ZY15" s="12"/>
      <c r="ZZ15" s="12"/>
      <c r="AAA15" s="12"/>
      <c r="AAB15" s="12"/>
      <c r="AAC15" s="12"/>
      <c r="AAD15" s="12"/>
      <c r="AAE15" s="12"/>
      <c r="AAF15" s="12"/>
      <c r="AAG15" s="12"/>
      <c r="AAH15" s="12"/>
      <c r="AAI15" s="12"/>
      <c r="AAJ15" s="12"/>
      <c r="AAK15" s="12"/>
      <c r="AAL15" s="12"/>
      <c r="AAM15" s="12"/>
      <c r="AAN15" s="12"/>
      <c r="AAO15" s="12"/>
      <c r="AAP15" s="12"/>
      <c r="AAQ15" s="12"/>
      <c r="AAR15" s="12"/>
      <c r="AAS15" s="12"/>
      <c r="AAT15" s="12"/>
      <c r="AAU15" s="12"/>
      <c r="AAV15" s="12"/>
      <c r="AAW15" s="12"/>
      <c r="AAX15" s="12"/>
      <c r="AAY15" s="12"/>
      <c r="AAZ15" s="12"/>
      <c r="ABA15" s="12"/>
      <c r="ABB15" s="12"/>
      <c r="ABC15" s="12"/>
      <c r="ABD15" s="12"/>
      <c r="ABE15" s="12"/>
      <c r="ABF15" s="12"/>
      <c r="ABG15" s="12"/>
      <c r="ABH15" s="12"/>
      <c r="ABI15" s="12"/>
      <c r="ABJ15" s="12"/>
      <c r="ABK15" s="12"/>
      <c r="ABL15" s="12"/>
      <c r="ABM15" s="12"/>
      <c r="ABN15" s="12"/>
      <c r="ABO15" s="12"/>
      <c r="ABP15" s="12"/>
      <c r="ABQ15" s="12"/>
      <c r="ABR15" s="12"/>
      <c r="ABS15" s="12"/>
      <c r="ABT15" s="12"/>
      <c r="ABU15" s="12"/>
      <c r="ABV15" s="12"/>
      <c r="ABW15" s="12"/>
      <c r="ABX15" s="12"/>
      <c r="ABY15" s="12"/>
      <c r="ABZ15" s="12"/>
      <c r="ACA15" s="12"/>
      <c r="ACB15" s="12"/>
      <c r="ACC15" s="12"/>
      <c r="ACD15" s="12"/>
      <c r="ACE15" s="12"/>
      <c r="ACF15" s="12"/>
      <c r="ACG15" s="12"/>
      <c r="ACH15" s="12"/>
      <c r="ACI15" s="12"/>
      <c r="ACJ15" s="12"/>
      <c r="ACK15" s="12"/>
      <c r="ACL15" s="12"/>
      <c r="ACM15" s="12"/>
      <c r="ACN15" s="12"/>
      <c r="ACO15" s="12"/>
      <c r="ACP15" s="12"/>
      <c r="ACQ15" s="12"/>
      <c r="ACR15" s="12"/>
      <c r="ACS15" s="12"/>
      <c r="ACT15" s="12"/>
      <c r="ACU15" s="12"/>
      <c r="ACV15" s="12"/>
      <c r="ACW15" s="12"/>
      <c r="ACX15" s="12"/>
      <c r="ACY15" s="12"/>
      <c r="ACZ15" s="12"/>
      <c r="ADA15" s="12"/>
      <c r="ADB15" s="12"/>
      <c r="ADC15" s="12"/>
      <c r="ADD15" s="12"/>
      <c r="ADE15" s="12"/>
      <c r="ADF15" s="12"/>
      <c r="ADG15" s="12"/>
      <c r="ADH15" s="12"/>
      <c r="ADI15" s="12"/>
      <c r="ADJ15" s="12"/>
      <c r="ADK15" s="12"/>
      <c r="ADL15" s="12"/>
      <c r="ADM15" s="12"/>
      <c r="ADN15" s="12"/>
      <c r="ADO15" s="12"/>
      <c r="ADP15" s="12"/>
      <c r="ADQ15" s="12"/>
      <c r="ADR15" s="12"/>
      <c r="ADS15" s="12"/>
      <c r="ADT15" s="12"/>
      <c r="ADU15" s="12"/>
      <c r="ADV15" s="12"/>
      <c r="ADW15" s="12"/>
      <c r="ADX15" s="12"/>
      <c r="ADY15" s="12"/>
      <c r="ADZ15" s="12"/>
      <c r="AEA15" s="12"/>
      <c r="AEB15" s="12"/>
      <c r="AEC15" s="12"/>
      <c r="AED15" s="12"/>
      <c r="AEE15" s="12"/>
      <c r="AEF15" s="12"/>
      <c r="AEG15" s="12"/>
      <c r="AEH15" s="12"/>
      <c r="AEI15" s="12"/>
      <c r="AEJ15" s="12"/>
      <c r="AEK15" s="12"/>
      <c r="AEL15" s="12"/>
      <c r="AEM15" s="12"/>
      <c r="AEN15" s="12"/>
      <c r="AEO15" s="12"/>
      <c r="AEP15" s="12"/>
      <c r="AEQ15" s="12"/>
      <c r="AER15" s="12"/>
      <c r="AES15" s="12"/>
      <c r="AET15" s="12"/>
      <c r="AEU15" s="12"/>
      <c r="AEV15" s="12"/>
    </row>
    <row r="16" spans="1:828" s="13" customFormat="1" ht="18" x14ac:dyDescent="0.2">
      <c r="A16" s="34"/>
      <c r="B16" s="16"/>
      <c r="C16" s="16"/>
      <c r="D16" s="11"/>
      <c r="E16" s="16"/>
      <c r="F16" s="16"/>
      <c r="G16" s="16"/>
      <c r="H16" s="15"/>
      <c r="I16" s="35"/>
      <c r="J16" s="36"/>
      <c r="K16" s="15"/>
      <c r="L16" s="35"/>
      <c r="M16" s="36"/>
      <c r="N16" s="12"/>
      <c r="O16" s="12"/>
      <c r="P16"/>
      <c r="Q16"/>
      <c r="R16"/>
      <c r="S16"/>
      <c r="T16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12"/>
      <c r="GI16" s="12"/>
      <c r="GJ16" s="12"/>
      <c r="GK16" s="12"/>
      <c r="GL16" s="12"/>
      <c r="GM16" s="12"/>
      <c r="GN16" s="12"/>
      <c r="GO16" s="12"/>
      <c r="GP16" s="12"/>
      <c r="GQ16" s="12"/>
      <c r="GR16" s="12"/>
      <c r="GS16" s="12"/>
      <c r="GT16" s="12"/>
      <c r="GU16" s="12"/>
      <c r="GV16" s="12"/>
      <c r="GW16" s="12"/>
      <c r="GX16" s="12"/>
      <c r="GY16" s="12"/>
      <c r="GZ16" s="12"/>
      <c r="HA16" s="12"/>
      <c r="HB16" s="12"/>
      <c r="HC16" s="12"/>
      <c r="HD16" s="12"/>
      <c r="HE16" s="12"/>
      <c r="HF16" s="12"/>
      <c r="HG16" s="12"/>
      <c r="HH16" s="12"/>
      <c r="HI16" s="12"/>
      <c r="HJ16" s="12"/>
      <c r="HK16" s="12"/>
      <c r="HL16" s="12"/>
      <c r="HM16" s="12"/>
      <c r="HN16" s="12"/>
      <c r="HO16" s="12"/>
      <c r="HP16" s="12"/>
      <c r="HQ16" s="12"/>
      <c r="HR16" s="12"/>
      <c r="HS16" s="12"/>
      <c r="HT16" s="12"/>
      <c r="HU16" s="12"/>
      <c r="HV16" s="12"/>
      <c r="HW16" s="12"/>
      <c r="HX16" s="12"/>
      <c r="HY16" s="12"/>
      <c r="HZ16" s="12"/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  <c r="IL16" s="12"/>
      <c r="IM16" s="12"/>
      <c r="IN16" s="12"/>
      <c r="IO16" s="12"/>
      <c r="IP16" s="12"/>
      <c r="IQ16" s="12"/>
      <c r="IR16" s="12"/>
      <c r="IS16" s="12"/>
      <c r="IT16" s="12"/>
      <c r="IU16" s="12"/>
      <c r="IV16" s="12"/>
      <c r="IW16" s="12"/>
      <c r="IX16" s="12"/>
      <c r="IY16" s="12"/>
      <c r="IZ16" s="12"/>
      <c r="JA16" s="12"/>
      <c r="JB16" s="12"/>
      <c r="JC16" s="12"/>
      <c r="JD16" s="12"/>
      <c r="JE16" s="12"/>
      <c r="JF16" s="12"/>
      <c r="JG16" s="12"/>
      <c r="JH16" s="12"/>
      <c r="JI16" s="12"/>
      <c r="JJ16" s="12"/>
      <c r="JK16" s="12"/>
      <c r="JL16" s="12"/>
      <c r="JM16" s="12"/>
      <c r="JN16" s="12"/>
      <c r="JO16" s="12"/>
      <c r="JP16" s="12"/>
      <c r="JQ16" s="12"/>
      <c r="JR16" s="12"/>
      <c r="JS16" s="12"/>
      <c r="JT16" s="12"/>
      <c r="JU16" s="12"/>
      <c r="JV16" s="12"/>
      <c r="JW16" s="12"/>
      <c r="JX16" s="12"/>
      <c r="JY16" s="12"/>
      <c r="JZ16" s="12"/>
      <c r="KA16" s="12"/>
      <c r="KB16" s="12"/>
      <c r="KC16" s="12"/>
      <c r="KD16" s="12"/>
      <c r="KE16" s="12"/>
      <c r="KF16" s="12"/>
      <c r="KG16" s="12"/>
      <c r="KH16" s="12"/>
      <c r="KI16" s="12"/>
      <c r="KJ16" s="12"/>
      <c r="KK16" s="12"/>
      <c r="KL16" s="12"/>
      <c r="KM16" s="12"/>
      <c r="KN16" s="12"/>
      <c r="KO16" s="12"/>
      <c r="KP16" s="12"/>
      <c r="KQ16" s="12"/>
      <c r="KR16" s="12"/>
      <c r="KS16" s="12"/>
      <c r="KT16" s="12"/>
      <c r="KU16" s="12"/>
      <c r="KV16" s="12"/>
      <c r="KW16" s="12"/>
      <c r="KX16" s="12"/>
      <c r="KY16" s="12"/>
      <c r="KZ16" s="12"/>
      <c r="LA16" s="12"/>
      <c r="LB16" s="12"/>
      <c r="LC16" s="12"/>
      <c r="LD16" s="12"/>
      <c r="LE16" s="12"/>
      <c r="LF16" s="12"/>
      <c r="LG16" s="12"/>
      <c r="LH16" s="12"/>
      <c r="LI16" s="12"/>
      <c r="LJ16" s="12"/>
      <c r="LK16" s="12"/>
      <c r="LL16" s="12"/>
      <c r="LM16" s="12"/>
      <c r="LN16" s="12"/>
      <c r="LO16" s="12"/>
      <c r="LP16" s="12"/>
      <c r="LQ16" s="12"/>
      <c r="LR16" s="12"/>
      <c r="LS16" s="12"/>
      <c r="LT16" s="12"/>
      <c r="LU16" s="12"/>
      <c r="LV16" s="12"/>
      <c r="LW16" s="12"/>
      <c r="LX16" s="12"/>
      <c r="LY16" s="12"/>
      <c r="LZ16" s="12"/>
      <c r="MA16" s="12"/>
      <c r="MB16" s="12"/>
      <c r="MC16" s="12"/>
      <c r="MD16" s="12"/>
      <c r="ME16" s="12"/>
      <c r="MF16" s="12"/>
      <c r="MG16" s="12"/>
      <c r="MH16" s="12"/>
      <c r="MI16" s="12"/>
      <c r="MJ16" s="12"/>
      <c r="MK16" s="12"/>
      <c r="ML16" s="12"/>
      <c r="MM16" s="12"/>
      <c r="MN16" s="12"/>
      <c r="MO16" s="12"/>
      <c r="MP16" s="12"/>
      <c r="MQ16" s="12"/>
      <c r="MR16" s="12"/>
      <c r="MS16" s="12"/>
      <c r="MT16" s="12"/>
      <c r="MU16" s="12"/>
      <c r="MV16" s="12"/>
      <c r="MW16" s="12"/>
      <c r="MX16" s="12"/>
      <c r="MY16" s="12"/>
      <c r="MZ16" s="12"/>
      <c r="NA16" s="12"/>
      <c r="NB16" s="12"/>
      <c r="NC16" s="12"/>
      <c r="ND16" s="12"/>
      <c r="NE16" s="12"/>
      <c r="NF16" s="12"/>
      <c r="NG16" s="12"/>
      <c r="NH16" s="12"/>
      <c r="NI16" s="12"/>
      <c r="NJ16" s="12"/>
      <c r="NK16" s="12"/>
      <c r="NL16" s="12"/>
      <c r="NM16" s="12"/>
      <c r="NN16" s="12"/>
      <c r="NO16" s="12"/>
      <c r="NP16" s="12"/>
      <c r="NQ16" s="12"/>
      <c r="NR16" s="12"/>
      <c r="NS16" s="12"/>
      <c r="NT16" s="12"/>
      <c r="NU16" s="12"/>
      <c r="NV16" s="12"/>
      <c r="NW16" s="12"/>
      <c r="NX16" s="12"/>
      <c r="NY16" s="12"/>
      <c r="NZ16" s="12"/>
      <c r="OA16" s="12"/>
      <c r="OB16" s="12"/>
      <c r="OC16" s="12"/>
      <c r="OD16" s="12"/>
      <c r="OE16" s="12"/>
      <c r="OF16" s="12"/>
      <c r="OG16" s="12"/>
      <c r="OH16" s="12"/>
      <c r="OI16" s="12"/>
      <c r="OJ16" s="12"/>
      <c r="OK16" s="12"/>
      <c r="OL16" s="12"/>
      <c r="OM16" s="12"/>
      <c r="ON16" s="12"/>
      <c r="OO16" s="12"/>
      <c r="OP16" s="12"/>
      <c r="OQ16" s="12"/>
      <c r="OR16" s="12"/>
      <c r="OS16" s="12"/>
      <c r="OT16" s="12"/>
      <c r="OU16" s="12"/>
      <c r="OV16" s="12"/>
      <c r="OW16" s="12"/>
      <c r="OX16" s="12"/>
      <c r="OY16" s="12"/>
      <c r="OZ16" s="12"/>
      <c r="PA16" s="12"/>
      <c r="PB16" s="12"/>
      <c r="PC16" s="12"/>
      <c r="PD16" s="12"/>
      <c r="PE16" s="12"/>
      <c r="PF16" s="12"/>
      <c r="PG16" s="12"/>
      <c r="PH16" s="12"/>
      <c r="PI16" s="12"/>
      <c r="PJ16" s="12"/>
      <c r="PK16" s="12"/>
      <c r="PL16" s="12"/>
      <c r="PM16" s="12"/>
      <c r="PN16" s="12"/>
      <c r="PO16" s="12"/>
      <c r="PP16" s="12"/>
      <c r="PQ16" s="12"/>
      <c r="PR16" s="12"/>
      <c r="PS16" s="12"/>
      <c r="PT16" s="12"/>
      <c r="PU16" s="12"/>
      <c r="PV16" s="12"/>
      <c r="PW16" s="12"/>
      <c r="PX16" s="12"/>
      <c r="PY16" s="12"/>
      <c r="PZ16" s="12"/>
      <c r="QA16" s="12"/>
      <c r="QB16" s="12"/>
      <c r="QC16" s="12"/>
      <c r="QD16" s="12"/>
      <c r="QE16" s="12"/>
      <c r="QF16" s="12"/>
      <c r="QG16" s="12"/>
      <c r="QH16" s="12"/>
      <c r="QI16" s="12"/>
      <c r="QJ16" s="12"/>
      <c r="QK16" s="12"/>
      <c r="QL16" s="12"/>
      <c r="QM16" s="12"/>
      <c r="QN16" s="12"/>
      <c r="QO16" s="12"/>
      <c r="QP16" s="12"/>
      <c r="QQ16" s="12"/>
      <c r="QR16" s="12"/>
      <c r="QS16" s="12"/>
      <c r="QT16" s="12"/>
      <c r="QU16" s="12"/>
      <c r="QV16" s="12"/>
      <c r="QW16" s="12"/>
      <c r="QX16" s="12"/>
      <c r="QY16" s="12"/>
      <c r="QZ16" s="12"/>
      <c r="RA16" s="12"/>
      <c r="RB16" s="12"/>
      <c r="RC16" s="12"/>
      <c r="RD16" s="12"/>
      <c r="RE16" s="12"/>
      <c r="RF16" s="12"/>
      <c r="RG16" s="12"/>
      <c r="RH16" s="12"/>
      <c r="RI16" s="12"/>
      <c r="RJ16" s="12"/>
      <c r="RK16" s="12"/>
      <c r="RL16" s="12"/>
      <c r="RM16" s="12"/>
      <c r="RN16" s="12"/>
      <c r="RO16" s="12"/>
      <c r="RP16" s="12"/>
      <c r="RQ16" s="12"/>
      <c r="RR16" s="12"/>
      <c r="RS16" s="12"/>
      <c r="RT16" s="12"/>
      <c r="RU16" s="12"/>
      <c r="RV16" s="12"/>
      <c r="RW16" s="12"/>
      <c r="RX16" s="12"/>
      <c r="RY16" s="12"/>
      <c r="RZ16" s="12"/>
      <c r="SA16" s="12"/>
      <c r="SB16" s="12"/>
      <c r="SC16" s="12"/>
      <c r="SD16" s="12"/>
      <c r="SE16" s="12"/>
      <c r="SF16" s="12"/>
      <c r="SG16" s="12"/>
      <c r="SH16" s="12"/>
      <c r="SI16" s="12"/>
      <c r="SJ16" s="12"/>
      <c r="SK16" s="12"/>
      <c r="SL16" s="12"/>
      <c r="SM16" s="12"/>
      <c r="SN16" s="12"/>
      <c r="SO16" s="12"/>
      <c r="SP16" s="12"/>
      <c r="SQ16" s="12"/>
      <c r="SR16" s="12"/>
      <c r="SS16" s="12"/>
      <c r="ST16" s="12"/>
      <c r="SU16" s="12"/>
      <c r="SV16" s="12"/>
      <c r="SW16" s="12"/>
      <c r="SX16" s="12"/>
      <c r="SY16" s="12"/>
      <c r="SZ16" s="12"/>
      <c r="TA16" s="12"/>
      <c r="TB16" s="12"/>
      <c r="TC16" s="12"/>
      <c r="TD16" s="12"/>
      <c r="TE16" s="12"/>
      <c r="TF16" s="12"/>
      <c r="TG16" s="12"/>
      <c r="TH16" s="12"/>
      <c r="TI16" s="12"/>
      <c r="TJ16" s="12"/>
      <c r="TK16" s="12"/>
      <c r="TL16" s="12"/>
      <c r="TM16" s="12"/>
      <c r="TN16" s="12"/>
      <c r="TO16" s="12"/>
      <c r="TP16" s="12"/>
      <c r="TQ16" s="12"/>
      <c r="TR16" s="12"/>
      <c r="TS16" s="12"/>
      <c r="TT16" s="12"/>
      <c r="TU16" s="12"/>
      <c r="TV16" s="12"/>
      <c r="TW16" s="12"/>
      <c r="TX16" s="12"/>
      <c r="TY16" s="12"/>
      <c r="TZ16" s="12"/>
      <c r="UA16" s="12"/>
      <c r="UB16" s="12"/>
      <c r="UC16" s="12"/>
      <c r="UD16" s="12"/>
      <c r="UE16" s="12"/>
      <c r="UF16" s="12"/>
      <c r="UG16" s="12"/>
      <c r="UH16" s="12"/>
      <c r="UI16" s="12"/>
      <c r="UJ16" s="12"/>
      <c r="UK16" s="12"/>
      <c r="UL16" s="12"/>
      <c r="UM16" s="12"/>
      <c r="UN16" s="12"/>
      <c r="UO16" s="12"/>
      <c r="UP16" s="12"/>
      <c r="UQ16" s="12"/>
      <c r="UR16" s="12"/>
      <c r="US16" s="12"/>
      <c r="UT16" s="12"/>
      <c r="UU16" s="12"/>
      <c r="UV16" s="12"/>
      <c r="UW16" s="12"/>
      <c r="UX16" s="12"/>
      <c r="UY16" s="12"/>
      <c r="UZ16" s="12"/>
      <c r="VA16" s="12"/>
      <c r="VB16" s="12"/>
      <c r="VC16" s="12"/>
      <c r="VD16" s="12"/>
      <c r="VE16" s="12"/>
      <c r="VF16" s="12"/>
      <c r="VG16" s="12"/>
      <c r="VH16" s="12"/>
      <c r="VI16" s="12"/>
      <c r="VJ16" s="12"/>
      <c r="VK16" s="12"/>
      <c r="VL16" s="12"/>
      <c r="VM16" s="12"/>
      <c r="VN16" s="12"/>
      <c r="VO16" s="12"/>
      <c r="VP16" s="12"/>
      <c r="VQ16" s="12"/>
      <c r="VR16" s="12"/>
      <c r="VS16" s="12"/>
      <c r="VT16" s="12"/>
      <c r="VU16" s="12"/>
      <c r="VV16" s="12"/>
      <c r="VW16" s="12"/>
      <c r="VX16" s="12"/>
      <c r="VY16" s="12"/>
      <c r="VZ16" s="12"/>
      <c r="WA16" s="12"/>
      <c r="WB16" s="12"/>
      <c r="WC16" s="12"/>
      <c r="WD16" s="12"/>
      <c r="WE16" s="12"/>
      <c r="WF16" s="12"/>
      <c r="WG16" s="12"/>
      <c r="WH16" s="12"/>
      <c r="WI16" s="12"/>
      <c r="WJ16" s="12"/>
      <c r="WK16" s="12"/>
      <c r="WL16" s="12"/>
      <c r="WM16" s="12"/>
      <c r="WN16" s="12"/>
      <c r="WO16" s="12"/>
      <c r="WP16" s="12"/>
      <c r="WQ16" s="12"/>
      <c r="WR16" s="12"/>
      <c r="WS16" s="12"/>
      <c r="WT16" s="12"/>
      <c r="WU16" s="12"/>
      <c r="WV16" s="12"/>
      <c r="WW16" s="12"/>
      <c r="WX16" s="12"/>
      <c r="WY16" s="12"/>
      <c r="WZ16" s="12"/>
      <c r="XA16" s="12"/>
      <c r="XB16" s="12"/>
      <c r="XC16" s="12"/>
      <c r="XD16" s="12"/>
      <c r="XE16" s="12"/>
      <c r="XF16" s="12"/>
      <c r="XG16" s="12"/>
      <c r="XH16" s="12"/>
      <c r="XI16" s="12"/>
      <c r="XJ16" s="12"/>
      <c r="XK16" s="12"/>
      <c r="XL16" s="12"/>
      <c r="XM16" s="12"/>
      <c r="XN16" s="12"/>
      <c r="XO16" s="12"/>
      <c r="XP16" s="12"/>
      <c r="XQ16" s="12"/>
      <c r="XR16" s="12"/>
      <c r="XS16" s="12"/>
      <c r="XT16" s="12"/>
      <c r="XU16" s="12"/>
      <c r="XV16" s="12"/>
      <c r="XW16" s="12"/>
      <c r="XX16" s="12"/>
      <c r="XY16" s="12"/>
      <c r="XZ16" s="12"/>
      <c r="YA16" s="12"/>
      <c r="YB16" s="12"/>
      <c r="YC16" s="12"/>
      <c r="YD16" s="12"/>
      <c r="YE16" s="12"/>
      <c r="YF16" s="12"/>
      <c r="YG16" s="12"/>
      <c r="YH16" s="12"/>
      <c r="YI16" s="12"/>
      <c r="YJ16" s="12"/>
      <c r="YK16" s="12"/>
      <c r="YL16" s="12"/>
      <c r="YM16" s="12"/>
      <c r="YN16" s="12"/>
      <c r="YO16" s="12"/>
      <c r="YP16" s="12"/>
      <c r="YQ16" s="12"/>
      <c r="YR16" s="12"/>
      <c r="YS16" s="12"/>
      <c r="YT16" s="12"/>
      <c r="YU16" s="12"/>
      <c r="YV16" s="12"/>
      <c r="YW16" s="12"/>
      <c r="YX16" s="12"/>
      <c r="YY16" s="12"/>
      <c r="YZ16" s="12"/>
      <c r="ZA16" s="12"/>
      <c r="ZB16" s="12"/>
      <c r="ZC16" s="12"/>
      <c r="ZD16" s="12"/>
      <c r="ZE16" s="12"/>
      <c r="ZF16" s="12"/>
      <c r="ZG16" s="12"/>
      <c r="ZH16" s="12"/>
      <c r="ZI16" s="12"/>
      <c r="ZJ16" s="12"/>
      <c r="ZK16" s="12"/>
      <c r="ZL16" s="12"/>
      <c r="ZM16" s="12"/>
      <c r="ZN16" s="12"/>
      <c r="ZO16" s="12"/>
      <c r="ZP16" s="12"/>
      <c r="ZQ16" s="12"/>
      <c r="ZR16" s="12"/>
      <c r="ZS16" s="12"/>
      <c r="ZT16" s="12"/>
      <c r="ZU16" s="12"/>
      <c r="ZV16" s="12"/>
      <c r="ZW16" s="12"/>
      <c r="ZX16" s="12"/>
      <c r="ZY16" s="12"/>
      <c r="ZZ16" s="12"/>
      <c r="AAA16" s="12"/>
      <c r="AAB16" s="12"/>
      <c r="AAC16" s="12"/>
      <c r="AAD16" s="12"/>
      <c r="AAE16" s="12"/>
      <c r="AAF16" s="12"/>
      <c r="AAG16" s="12"/>
      <c r="AAH16" s="12"/>
      <c r="AAI16" s="12"/>
      <c r="AAJ16" s="12"/>
      <c r="AAK16" s="12"/>
      <c r="AAL16" s="12"/>
      <c r="AAM16" s="12"/>
      <c r="AAN16" s="12"/>
      <c r="AAO16" s="12"/>
      <c r="AAP16" s="12"/>
      <c r="AAQ16" s="12"/>
      <c r="AAR16" s="12"/>
      <c r="AAS16" s="12"/>
      <c r="AAT16" s="12"/>
      <c r="AAU16" s="12"/>
      <c r="AAV16" s="12"/>
      <c r="AAW16" s="12"/>
      <c r="AAX16" s="12"/>
      <c r="AAY16" s="12"/>
      <c r="AAZ16" s="12"/>
      <c r="ABA16" s="12"/>
      <c r="ABB16" s="12"/>
      <c r="ABC16" s="12"/>
      <c r="ABD16" s="12"/>
      <c r="ABE16" s="12"/>
      <c r="ABF16" s="12"/>
      <c r="ABG16" s="12"/>
      <c r="ABH16" s="12"/>
      <c r="ABI16" s="12"/>
      <c r="ABJ16" s="12"/>
      <c r="ABK16" s="12"/>
      <c r="ABL16" s="12"/>
      <c r="ABM16" s="12"/>
      <c r="ABN16" s="12"/>
      <c r="ABO16" s="12"/>
      <c r="ABP16" s="12"/>
      <c r="ABQ16" s="12"/>
      <c r="ABR16" s="12"/>
      <c r="ABS16" s="12"/>
      <c r="ABT16" s="12"/>
      <c r="ABU16" s="12"/>
      <c r="ABV16" s="12"/>
      <c r="ABW16" s="12"/>
      <c r="ABX16" s="12"/>
      <c r="ABY16" s="12"/>
      <c r="ABZ16" s="12"/>
      <c r="ACA16" s="12"/>
      <c r="ACB16" s="12"/>
      <c r="ACC16" s="12"/>
      <c r="ACD16" s="12"/>
      <c r="ACE16" s="12"/>
      <c r="ACF16" s="12"/>
      <c r="ACG16" s="12"/>
      <c r="ACH16" s="12"/>
      <c r="ACI16" s="12"/>
      <c r="ACJ16" s="12"/>
      <c r="ACK16" s="12"/>
      <c r="ACL16" s="12"/>
      <c r="ACM16" s="12"/>
      <c r="ACN16" s="12"/>
      <c r="ACO16" s="12"/>
      <c r="ACP16" s="12"/>
      <c r="ACQ16" s="12"/>
      <c r="ACR16" s="12"/>
      <c r="ACS16" s="12"/>
      <c r="ACT16" s="12"/>
      <c r="ACU16" s="12"/>
      <c r="ACV16" s="12"/>
      <c r="ACW16" s="12"/>
      <c r="ACX16" s="12"/>
      <c r="ACY16" s="12"/>
      <c r="ACZ16" s="12"/>
      <c r="ADA16" s="12"/>
      <c r="ADB16" s="12"/>
      <c r="ADC16" s="12"/>
      <c r="ADD16" s="12"/>
      <c r="ADE16" s="12"/>
      <c r="ADF16" s="12"/>
      <c r="ADG16" s="12"/>
      <c r="ADH16" s="12"/>
      <c r="ADI16" s="12"/>
      <c r="ADJ16" s="12"/>
      <c r="ADK16" s="12"/>
      <c r="ADL16" s="12"/>
      <c r="ADM16" s="12"/>
      <c r="ADN16" s="12"/>
      <c r="ADO16" s="12"/>
      <c r="ADP16" s="12"/>
      <c r="ADQ16" s="12"/>
      <c r="ADR16" s="12"/>
      <c r="ADS16" s="12"/>
      <c r="ADT16" s="12"/>
      <c r="ADU16" s="12"/>
      <c r="ADV16" s="12"/>
      <c r="ADW16" s="12"/>
      <c r="ADX16" s="12"/>
      <c r="ADY16" s="12"/>
      <c r="ADZ16" s="12"/>
      <c r="AEA16" s="12"/>
      <c r="AEB16" s="12"/>
      <c r="AEC16" s="12"/>
      <c r="AED16" s="12"/>
      <c r="AEE16" s="12"/>
      <c r="AEF16" s="12"/>
      <c r="AEG16" s="12"/>
      <c r="AEH16" s="12"/>
      <c r="AEI16" s="12"/>
      <c r="AEJ16" s="12"/>
      <c r="AEK16" s="12"/>
      <c r="AEL16" s="12"/>
      <c r="AEM16" s="12"/>
      <c r="AEN16" s="12"/>
      <c r="AEO16" s="12"/>
      <c r="AEP16" s="12"/>
      <c r="AEQ16" s="12"/>
      <c r="AER16" s="12"/>
      <c r="AES16" s="12"/>
      <c r="AET16" s="12"/>
      <c r="AEU16" s="12"/>
      <c r="AEV16" s="12"/>
    </row>
    <row r="17" spans="1:828" s="13" customFormat="1" ht="18" x14ac:dyDescent="0.2">
      <c r="A17" s="34"/>
      <c r="B17" s="16"/>
      <c r="C17" s="16"/>
      <c r="D17" s="11"/>
      <c r="E17" s="16"/>
      <c r="F17" s="16"/>
      <c r="G17" s="16"/>
      <c r="H17" s="15"/>
      <c r="I17" s="35"/>
      <c r="J17" s="36"/>
      <c r="K17" s="15"/>
      <c r="L17" s="35"/>
      <c r="M17" s="36"/>
      <c r="N17" s="12"/>
      <c r="O17" s="12"/>
      <c r="P17"/>
      <c r="Q17"/>
      <c r="R17"/>
      <c r="S17"/>
      <c r="T17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  <c r="LT17" s="12"/>
      <c r="LU17" s="12"/>
      <c r="LV17" s="12"/>
      <c r="LW17" s="12"/>
      <c r="LX17" s="12"/>
      <c r="LY17" s="12"/>
      <c r="LZ17" s="12"/>
      <c r="MA17" s="12"/>
      <c r="MB17" s="12"/>
      <c r="MC17" s="12"/>
      <c r="MD17" s="12"/>
      <c r="ME17" s="12"/>
      <c r="MF17" s="12"/>
      <c r="MG17" s="12"/>
      <c r="MH17" s="12"/>
      <c r="MI17" s="12"/>
      <c r="MJ17" s="12"/>
      <c r="MK17" s="12"/>
      <c r="ML17" s="12"/>
      <c r="MM17" s="12"/>
      <c r="MN17" s="12"/>
      <c r="MO17" s="12"/>
      <c r="MP17" s="12"/>
      <c r="MQ17" s="12"/>
      <c r="MR17" s="12"/>
      <c r="MS17" s="12"/>
      <c r="MT17" s="12"/>
      <c r="MU17" s="12"/>
      <c r="MV17" s="12"/>
      <c r="MW17" s="12"/>
      <c r="MX17" s="12"/>
      <c r="MY17" s="12"/>
      <c r="MZ17" s="12"/>
      <c r="NA17" s="12"/>
      <c r="NB17" s="12"/>
      <c r="NC17" s="12"/>
      <c r="ND17" s="12"/>
      <c r="NE17" s="12"/>
      <c r="NF17" s="12"/>
      <c r="NG17" s="12"/>
      <c r="NH17" s="12"/>
      <c r="NI17" s="12"/>
      <c r="NJ17" s="12"/>
      <c r="NK17" s="12"/>
      <c r="NL17" s="12"/>
      <c r="NM17" s="12"/>
      <c r="NN17" s="12"/>
      <c r="NO17" s="12"/>
      <c r="NP17" s="12"/>
      <c r="NQ17" s="12"/>
      <c r="NR17" s="12"/>
      <c r="NS17" s="12"/>
      <c r="NT17" s="12"/>
      <c r="NU17" s="12"/>
      <c r="NV17" s="12"/>
      <c r="NW17" s="12"/>
      <c r="NX17" s="12"/>
      <c r="NY17" s="12"/>
      <c r="NZ17" s="12"/>
      <c r="OA17" s="12"/>
      <c r="OB17" s="12"/>
      <c r="OC17" s="12"/>
      <c r="OD17" s="12"/>
      <c r="OE17" s="12"/>
      <c r="OF17" s="12"/>
      <c r="OG17" s="12"/>
      <c r="OH17" s="12"/>
      <c r="OI17" s="12"/>
      <c r="OJ17" s="12"/>
      <c r="OK17" s="12"/>
      <c r="OL17" s="12"/>
      <c r="OM17" s="12"/>
      <c r="ON17" s="12"/>
      <c r="OO17" s="12"/>
      <c r="OP17" s="12"/>
      <c r="OQ17" s="12"/>
      <c r="OR17" s="12"/>
      <c r="OS17" s="12"/>
      <c r="OT17" s="12"/>
      <c r="OU17" s="12"/>
      <c r="OV17" s="12"/>
      <c r="OW17" s="12"/>
      <c r="OX17" s="12"/>
      <c r="OY17" s="12"/>
      <c r="OZ17" s="12"/>
      <c r="PA17" s="12"/>
      <c r="PB17" s="12"/>
      <c r="PC17" s="12"/>
      <c r="PD17" s="12"/>
      <c r="PE17" s="12"/>
      <c r="PF17" s="12"/>
      <c r="PG17" s="12"/>
      <c r="PH17" s="12"/>
      <c r="PI17" s="12"/>
      <c r="PJ17" s="12"/>
      <c r="PK17" s="12"/>
      <c r="PL17" s="12"/>
      <c r="PM17" s="12"/>
      <c r="PN17" s="12"/>
      <c r="PO17" s="12"/>
      <c r="PP17" s="12"/>
      <c r="PQ17" s="12"/>
      <c r="PR17" s="12"/>
      <c r="PS17" s="12"/>
      <c r="PT17" s="12"/>
      <c r="PU17" s="12"/>
      <c r="PV17" s="12"/>
      <c r="PW17" s="12"/>
      <c r="PX17" s="12"/>
      <c r="PY17" s="12"/>
      <c r="PZ17" s="12"/>
      <c r="QA17" s="12"/>
      <c r="QB17" s="12"/>
      <c r="QC17" s="12"/>
      <c r="QD17" s="12"/>
      <c r="QE17" s="12"/>
      <c r="QF17" s="12"/>
      <c r="QG17" s="12"/>
      <c r="QH17" s="12"/>
      <c r="QI17" s="12"/>
      <c r="QJ17" s="12"/>
      <c r="QK17" s="12"/>
      <c r="QL17" s="12"/>
      <c r="QM17" s="12"/>
      <c r="QN17" s="12"/>
      <c r="QO17" s="12"/>
      <c r="QP17" s="12"/>
      <c r="QQ17" s="12"/>
      <c r="QR17" s="12"/>
      <c r="QS17" s="12"/>
      <c r="QT17" s="12"/>
      <c r="QU17" s="12"/>
      <c r="QV17" s="12"/>
      <c r="QW17" s="12"/>
      <c r="QX17" s="12"/>
      <c r="QY17" s="12"/>
      <c r="QZ17" s="12"/>
      <c r="RA17" s="12"/>
      <c r="RB17" s="12"/>
      <c r="RC17" s="12"/>
      <c r="RD17" s="12"/>
      <c r="RE17" s="12"/>
      <c r="RF17" s="12"/>
      <c r="RG17" s="12"/>
      <c r="RH17" s="12"/>
      <c r="RI17" s="12"/>
      <c r="RJ17" s="12"/>
      <c r="RK17" s="12"/>
      <c r="RL17" s="12"/>
      <c r="RM17" s="12"/>
      <c r="RN17" s="12"/>
      <c r="RO17" s="12"/>
      <c r="RP17" s="12"/>
      <c r="RQ17" s="12"/>
      <c r="RR17" s="12"/>
      <c r="RS17" s="12"/>
      <c r="RT17" s="12"/>
      <c r="RU17" s="12"/>
      <c r="RV17" s="12"/>
      <c r="RW17" s="12"/>
      <c r="RX17" s="12"/>
      <c r="RY17" s="12"/>
      <c r="RZ17" s="12"/>
      <c r="SA17" s="12"/>
      <c r="SB17" s="12"/>
      <c r="SC17" s="12"/>
      <c r="SD17" s="12"/>
      <c r="SE17" s="12"/>
      <c r="SF17" s="12"/>
      <c r="SG17" s="12"/>
      <c r="SH17" s="12"/>
      <c r="SI17" s="12"/>
      <c r="SJ17" s="12"/>
      <c r="SK17" s="12"/>
      <c r="SL17" s="12"/>
      <c r="SM17" s="12"/>
      <c r="SN17" s="12"/>
      <c r="SO17" s="12"/>
      <c r="SP17" s="12"/>
      <c r="SQ17" s="12"/>
      <c r="SR17" s="12"/>
      <c r="SS17" s="12"/>
      <c r="ST17" s="12"/>
      <c r="SU17" s="12"/>
      <c r="SV17" s="12"/>
      <c r="SW17" s="12"/>
      <c r="SX17" s="12"/>
      <c r="SY17" s="12"/>
      <c r="SZ17" s="12"/>
      <c r="TA17" s="12"/>
      <c r="TB17" s="12"/>
      <c r="TC17" s="12"/>
      <c r="TD17" s="12"/>
      <c r="TE17" s="12"/>
      <c r="TF17" s="12"/>
      <c r="TG17" s="12"/>
      <c r="TH17" s="12"/>
      <c r="TI17" s="12"/>
      <c r="TJ17" s="12"/>
      <c r="TK17" s="12"/>
      <c r="TL17" s="12"/>
      <c r="TM17" s="12"/>
      <c r="TN17" s="12"/>
      <c r="TO17" s="12"/>
      <c r="TP17" s="12"/>
      <c r="TQ17" s="12"/>
      <c r="TR17" s="12"/>
      <c r="TS17" s="12"/>
      <c r="TT17" s="12"/>
      <c r="TU17" s="12"/>
      <c r="TV17" s="12"/>
      <c r="TW17" s="12"/>
      <c r="TX17" s="12"/>
      <c r="TY17" s="12"/>
      <c r="TZ17" s="12"/>
      <c r="UA17" s="12"/>
      <c r="UB17" s="12"/>
      <c r="UC17" s="12"/>
      <c r="UD17" s="12"/>
      <c r="UE17" s="12"/>
      <c r="UF17" s="12"/>
      <c r="UG17" s="12"/>
      <c r="UH17" s="12"/>
      <c r="UI17" s="12"/>
      <c r="UJ17" s="12"/>
      <c r="UK17" s="12"/>
      <c r="UL17" s="12"/>
      <c r="UM17" s="12"/>
      <c r="UN17" s="12"/>
      <c r="UO17" s="12"/>
      <c r="UP17" s="12"/>
      <c r="UQ17" s="12"/>
      <c r="UR17" s="12"/>
      <c r="US17" s="12"/>
      <c r="UT17" s="12"/>
      <c r="UU17" s="12"/>
      <c r="UV17" s="12"/>
      <c r="UW17" s="12"/>
      <c r="UX17" s="12"/>
      <c r="UY17" s="12"/>
      <c r="UZ17" s="12"/>
      <c r="VA17" s="12"/>
      <c r="VB17" s="12"/>
      <c r="VC17" s="12"/>
      <c r="VD17" s="12"/>
      <c r="VE17" s="12"/>
      <c r="VF17" s="12"/>
      <c r="VG17" s="12"/>
      <c r="VH17" s="12"/>
      <c r="VI17" s="12"/>
      <c r="VJ17" s="12"/>
      <c r="VK17" s="12"/>
      <c r="VL17" s="12"/>
      <c r="VM17" s="12"/>
      <c r="VN17" s="12"/>
      <c r="VO17" s="12"/>
      <c r="VP17" s="12"/>
      <c r="VQ17" s="12"/>
      <c r="VR17" s="12"/>
      <c r="VS17" s="12"/>
      <c r="VT17" s="12"/>
      <c r="VU17" s="12"/>
      <c r="VV17" s="12"/>
      <c r="VW17" s="12"/>
      <c r="VX17" s="12"/>
      <c r="VY17" s="12"/>
      <c r="VZ17" s="12"/>
      <c r="WA17" s="12"/>
      <c r="WB17" s="12"/>
      <c r="WC17" s="12"/>
      <c r="WD17" s="12"/>
      <c r="WE17" s="12"/>
      <c r="WF17" s="12"/>
      <c r="WG17" s="12"/>
      <c r="WH17" s="12"/>
      <c r="WI17" s="12"/>
      <c r="WJ17" s="12"/>
      <c r="WK17" s="12"/>
      <c r="WL17" s="12"/>
      <c r="WM17" s="12"/>
      <c r="WN17" s="12"/>
      <c r="WO17" s="12"/>
      <c r="WP17" s="12"/>
      <c r="WQ17" s="12"/>
      <c r="WR17" s="12"/>
      <c r="WS17" s="12"/>
      <c r="WT17" s="12"/>
      <c r="WU17" s="12"/>
      <c r="WV17" s="12"/>
      <c r="WW17" s="12"/>
      <c r="WX17" s="12"/>
      <c r="WY17" s="12"/>
      <c r="WZ17" s="12"/>
      <c r="XA17" s="12"/>
      <c r="XB17" s="12"/>
      <c r="XC17" s="12"/>
      <c r="XD17" s="12"/>
      <c r="XE17" s="12"/>
      <c r="XF17" s="12"/>
      <c r="XG17" s="12"/>
      <c r="XH17" s="12"/>
      <c r="XI17" s="12"/>
      <c r="XJ17" s="12"/>
      <c r="XK17" s="12"/>
      <c r="XL17" s="12"/>
      <c r="XM17" s="12"/>
      <c r="XN17" s="12"/>
      <c r="XO17" s="12"/>
      <c r="XP17" s="12"/>
      <c r="XQ17" s="12"/>
      <c r="XR17" s="12"/>
      <c r="XS17" s="12"/>
      <c r="XT17" s="12"/>
      <c r="XU17" s="12"/>
      <c r="XV17" s="12"/>
      <c r="XW17" s="12"/>
      <c r="XX17" s="12"/>
      <c r="XY17" s="12"/>
      <c r="XZ17" s="12"/>
      <c r="YA17" s="12"/>
      <c r="YB17" s="12"/>
      <c r="YC17" s="12"/>
      <c r="YD17" s="12"/>
      <c r="YE17" s="12"/>
      <c r="YF17" s="12"/>
      <c r="YG17" s="12"/>
      <c r="YH17" s="12"/>
      <c r="YI17" s="12"/>
      <c r="YJ17" s="12"/>
      <c r="YK17" s="12"/>
      <c r="YL17" s="12"/>
      <c r="YM17" s="12"/>
      <c r="YN17" s="12"/>
      <c r="YO17" s="12"/>
      <c r="YP17" s="12"/>
      <c r="YQ17" s="12"/>
      <c r="YR17" s="12"/>
      <c r="YS17" s="12"/>
      <c r="YT17" s="12"/>
      <c r="YU17" s="12"/>
      <c r="YV17" s="12"/>
      <c r="YW17" s="12"/>
      <c r="YX17" s="12"/>
      <c r="YY17" s="12"/>
      <c r="YZ17" s="12"/>
      <c r="ZA17" s="12"/>
      <c r="ZB17" s="12"/>
      <c r="ZC17" s="12"/>
      <c r="ZD17" s="12"/>
      <c r="ZE17" s="12"/>
      <c r="ZF17" s="12"/>
      <c r="ZG17" s="12"/>
      <c r="ZH17" s="12"/>
      <c r="ZI17" s="12"/>
      <c r="ZJ17" s="12"/>
      <c r="ZK17" s="12"/>
      <c r="ZL17" s="12"/>
      <c r="ZM17" s="12"/>
      <c r="ZN17" s="12"/>
      <c r="ZO17" s="12"/>
      <c r="ZP17" s="12"/>
      <c r="ZQ17" s="12"/>
      <c r="ZR17" s="12"/>
      <c r="ZS17" s="12"/>
      <c r="ZT17" s="12"/>
      <c r="ZU17" s="12"/>
      <c r="ZV17" s="12"/>
      <c r="ZW17" s="12"/>
      <c r="ZX17" s="12"/>
      <c r="ZY17" s="12"/>
      <c r="ZZ17" s="12"/>
      <c r="AAA17" s="12"/>
      <c r="AAB17" s="12"/>
      <c r="AAC17" s="12"/>
      <c r="AAD17" s="12"/>
      <c r="AAE17" s="12"/>
      <c r="AAF17" s="12"/>
      <c r="AAG17" s="12"/>
      <c r="AAH17" s="12"/>
      <c r="AAI17" s="12"/>
      <c r="AAJ17" s="12"/>
      <c r="AAK17" s="12"/>
      <c r="AAL17" s="12"/>
      <c r="AAM17" s="12"/>
      <c r="AAN17" s="12"/>
      <c r="AAO17" s="12"/>
      <c r="AAP17" s="12"/>
      <c r="AAQ17" s="12"/>
      <c r="AAR17" s="12"/>
      <c r="AAS17" s="12"/>
      <c r="AAT17" s="12"/>
      <c r="AAU17" s="12"/>
      <c r="AAV17" s="12"/>
      <c r="AAW17" s="12"/>
      <c r="AAX17" s="12"/>
      <c r="AAY17" s="12"/>
      <c r="AAZ17" s="12"/>
      <c r="ABA17" s="12"/>
      <c r="ABB17" s="12"/>
      <c r="ABC17" s="12"/>
      <c r="ABD17" s="12"/>
      <c r="ABE17" s="12"/>
      <c r="ABF17" s="12"/>
      <c r="ABG17" s="12"/>
      <c r="ABH17" s="12"/>
      <c r="ABI17" s="12"/>
      <c r="ABJ17" s="12"/>
      <c r="ABK17" s="12"/>
      <c r="ABL17" s="12"/>
      <c r="ABM17" s="12"/>
      <c r="ABN17" s="12"/>
      <c r="ABO17" s="12"/>
      <c r="ABP17" s="12"/>
      <c r="ABQ17" s="12"/>
      <c r="ABR17" s="12"/>
      <c r="ABS17" s="12"/>
      <c r="ABT17" s="12"/>
      <c r="ABU17" s="12"/>
      <c r="ABV17" s="12"/>
      <c r="ABW17" s="12"/>
      <c r="ABX17" s="12"/>
      <c r="ABY17" s="12"/>
      <c r="ABZ17" s="12"/>
      <c r="ACA17" s="12"/>
      <c r="ACB17" s="12"/>
      <c r="ACC17" s="12"/>
      <c r="ACD17" s="12"/>
      <c r="ACE17" s="12"/>
      <c r="ACF17" s="12"/>
      <c r="ACG17" s="12"/>
      <c r="ACH17" s="12"/>
      <c r="ACI17" s="12"/>
      <c r="ACJ17" s="12"/>
      <c r="ACK17" s="12"/>
      <c r="ACL17" s="12"/>
      <c r="ACM17" s="12"/>
      <c r="ACN17" s="12"/>
      <c r="ACO17" s="12"/>
      <c r="ACP17" s="12"/>
      <c r="ACQ17" s="12"/>
      <c r="ACR17" s="12"/>
      <c r="ACS17" s="12"/>
      <c r="ACT17" s="12"/>
      <c r="ACU17" s="12"/>
      <c r="ACV17" s="12"/>
      <c r="ACW17" s="12"/>
      <c r="ACX17" s="12"/>
      <c r="ACY17" s="12"/>
      <c r="ACZ17" s="12"/>
      <c r="ADA17" s="12"/>
      <c r="ADB17" s="12"/>
      <c r="ADC17" s="12"/>
      <c r="ADD17" s="12"/>
      <c r="ADE17" s="12"/>
      <c r="ADF17" s="12"/>
      <c r="ADG17" s="12"/>
      <c r="ADH17" s="12"/>
      <c r="ADI17" s="12"/>
      <c r="ADJ17" s="12"/>
      <c r="ADK17" s="12"/>
      <c r="ADL17" s="12"/>
      <c r="ADM17" s="12"/>
      <c r="ADN17" s="12"/>
      <c r="ADO17" s="12"/>
      <c r="ADP17" s="12"/>
      <c r="ADQ17" s="12"/>
      <c r="ADR17" s="12"/>
      <c r="ADS17" s="12"/>
      <c r="ADT17" s="12"/>
      <c r="ADU17" s="12"/>
      <c r="ADV17" s="12"/>
      <c r="ADW17" s="12"/>
      <c r="ADX17" s="12"/>
      <c r="ADY17" s="12"/>
      <c r="ADZ17" s="12"/>
      <c r="AEA17" s="12"/>
      <c r="AEB17" s="12"/>
      <c r="AEC17" s="12"/>
      <c r="AED17" s="12"/>
      <c r="AEE17" s="12"/>
      <c r="AEF17" s="12"/>
      <c r="AEG17" s="12"/>
      <c r="AEH17" s="12"/>
      <c r="AEI17" s="12"/>
      <c r="AEJ17" s="12"/>
      <c r="AEK17" s="12"/>
      <c r="AEL17" s="12"/>
      <c r="AEM17" s="12"/>
      <c r="AEN17" s="12"/>
      <c r="AEO17" s="12"/>
      <c r="AEP17" s="12"/>
      <c r="AEQ17" s="12"/>
      <c r="AER17" s="12"/>
      <c r="AES17" s="12"/>
      <c r="AET17" s="12"/>
      <c r="AEU17" s="12"/>
      <c r="AEV17" s="12"/>
    </row>
    <row r="18" spans="1:828" s="13" customFormat="1" ht="18" x14ac:dyDescent="0.2">
      <c r="A18" s="34"/>
      <c r="B18" s="16"/>
      <c r="C18" s="16"/>
      <c r="D18" s="11"/>
      <c r="E18" s="16"/>
      <c r="F18" s="16"/>
      <c r="G18" s="16"/>
      <c r="H18" s="15"/>
      <c r="I18" s="35"/>
      <c r="J18" s="36"/>
      <c r="K18" s="15"/>
      <c r="L18" s="35"/>
      <c r="M18" s="36"/>
      <c r="N18" s="12"/>
      <c r="O18" s="12"/>
      <c r="P18"/>
      <c r="Q18"/>
      <c r="R18"/>
      <c r="S18"/>
      <c r="T18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  <c r="LT18" s="12"/>
      <c r="LU18" s="12"/>
      <c r="LV18" s="12"/>
      <c r="LW18" s="12"/>
      <c r="LX18" s="12"/>
      <c r="LY18" s="12"/>
      <c r="LZ18" s="12"/>
      <c r="MA18" s="12"/>
      <c r="MB18" s="12"/>
      <c r="MC18" s="12"/>
      <c r="MD18" s="12"/>
      <c r="ME18" s="12"/>
      <c r="MF18" s="12"/>
      <c r="MG18" s="12"/>
      <c r="MH18" s="12"/>
      <c r="MI18" s="12"/>
      <c r="MJ18" s="12"/>
      <c r="MK18" s="12"/>
      <c r="ML18" s="12"/>
      <c r="MM18" s="12"/>
      <c r="MN18" s="12"/>
      <c r="MO18" s="12"/>
      <c r="MP18" s="12"/>
      <c r="MQ18" s="12"/>
      <c r="MR18" s="12"/>
      <c r="MS18" s="12"/>
      <c r="MT18" s="12"/>
      <c r="MU18" s="12"/>
      <c r="MV18" s="12"/>
      <c r="MW18" s="12"/>
      <c r="MX18" s="12"/>
      <c r="MY18" s="12"/>
      <c r="MZ18" s="12"/>
      <c r="NA18" s="12"/>
      <c r="NB18" s="12"/>
      <c r="NC18" s="12"/>
      <c r="ND18" s="12"/>
      <c r="NE18" s="12"/>
      <c r="NF18" s="12"/>
      <c r="NG18" s="12"/>
      <c r="NH18" s="12"/>
      <c r="NI18" s="12"/>
      <c r="NJ18" s="12"/>
      <c r="NK18" s="12"/>
      <c r="NL18" s="12"/>
      <c r="NM18" s="12"/>
      <c r="NN18" s="12"/>
      <c r="NO18" s="12"/>
      <c r="NP18" s="12"/>
      <c r="NQ18" s="12"/>
      <c r="NR18" s="12"/>
      <c r="NS18" s="12"/>
      <c r="NT18" s="12"/>
      <c r="NU18" s="12"/>
      <c r="NV18" s="12"/>
      <c r="NW18" s="12"/>
      <c r="NX18" s="12"/>
      <c r="NY18" s="12"/>
      <c r="NZ18" s="12"/>
      <c r="OA18" s="12"/>
      <c r="OB18" s="12"/>
      <c r="OC18" s="12"/>
      <c r="OD18" s="12"/>
      <c r="OE18" s="12"/>
      <c r="OF18" s="12"/>
      <c r="OG18" s="12"/>
      <c r="OH18" s="12"/>
      <c r="OI18" s="12"/>
      <c r="OJ18" s="12"/>
      <c r="OK18" s="12"/>
      <c r="OL18" s="12"/>
      <c r="OM18" s="12"/>
      <c r="ON18" s="12"/>
      <c r="OO18" s="12"/>
      <c r="OP18" s="12"/>
      <c r="OQ18" s="12"/>
      <c r="OR18" s="12"/>
      <c r="OS18" s="12"/>
      <c r="OT18" s="12"/>
      <c r="OU18" s="12"/>
      <c r="OV18" s="12"/>
      <c r="OW18" s="12"/>
      <c r="OX18" s="12"/>
      <c r="OY18" s="12"/>
      <c r="OZ18" s="12"/>
      <c r="PA18" s="12"/>
      <c r="PB18" s="12"/>
      <c r="PC18" s="12"/>
      <c r="PD18" s="12"/>
      <c r="PE18" s="12"/>
      <c r="PF18" s="12"/>
      <c r="PG18" s="12"/>
      <c r="PH18" s="12"/>
      <c r="PI18" s="12"/>
      <c r="PJ18" s="12"/>
      <c r="PK18" s="12"/>
      <c r="PL18" s="12"/>
      <c r="PM18" s="12"/>
      <c r="PN18" s="12"/>
      <c r="PO18" s="12"/>
      <c r="PP18" s="12"/>
      <c r="PQ18" s="12"/>
      <c r="PR18" s="12"/>
      <c r="PS18" s="12"/>
      <c r="PT18" s="12"/>
      <c r="PU18" s="12"/>
      <c r="PV18" s="12"/>
      <c r="PW18" s="12"/>
      <c r="PX18" s="12"/>
      <c r="PY18" s="12"/>
      <c r="PZ18" s="12"/>
      <c r="QA18" s="12"/>
      <c r="QB18" s="12"/>
      <c r="QC18" s="12"/>
      <c r="QD18" s="12"/>
      <c r="QE18" s="12"/>
      <c r="QF18" s="12"/>
      <c r="QG18" s="12"/>
      <c r="QH18" s="12"/>
      <c r="QI18" s="12"/>
      <c r="QJ18" s="12"/>
      <c r="QK18" s="12"/>
      <c r="QL18" s="12"/>
      <c r="QM18" s="12"/>
      <c r="QN18" s="12"/>
      <c r="QO18" s="12"/>
      <c r="QP18" s="12"/>
      <c r="QQ18" s="12"/>
      <c r="QR18" s="12"/>
      <c r="QS18" s="12"/>
      <c r="QT18" s="12"/>
      <c r="QU18" s="12"/>
      <c r="QV18" s="12"/>
      <c r="QW18" s="12"/>
      <c r="QX18" s="12"/>
      <c r="QY18" s="12"/>
      <c r="QZ18" s="12"/>
      <c r="RA18" s="12"/>
      <c r="RB18" s="12"/>
      <c r="RC18" s="12"/>
      <c r="RD18" s="12"/>
      <c r="RE18" s="12"/>
      <c r="RF18" s="12"/>
      <c r="RG18" s="12"/>
      <c r="RH18" s="12"/>
      <c r="RI18" s="12"/>
      <c r="RJ18" s="12"/>
      <c r="RK18" s="12"/>
      <c r="RL18" s="12"/>
      <c r="RM18" s="12"/>
      <c r="RN18" s="12"/>
      <c r="RO18" s="12"/>
      <c r="RP18" s="12"/>
      <c r="RQ18" s="12"/>
      <c r="RR18" s="12"/>
      <c r="RS18" s="12"/>
      <c r="RT18" s="12"/>
      <c r="RU18" s="12"/>
      <c r="RV18" s="12"/>
      <c r="RW18" s="12"/>
      <c r="RX18" s="12"/>
      <c r="RY18" s="12"/>
      <c r="RZ18" s="12"/>
      <c r="SA18" s="12"/>
      <c r="SB18" s="12"/>
      <c r="SC18" s="12"/>
      <c r="SD18" s="12"/>
      <c r="SE18" s="12"/>
      <c r="SF18" s="12"/>
      <c r="SG18" s="12"/>
      <c r="SH18" s="12"/>
      <c r="SI18" s="12"/>
      <c r="SJ18" s="12"/>
      <c r="SK18" s="12"/>
      <c r="SL18" s="12"/>
      <c r="SM18" s="12"/>
      <c r="SN18" s="12"/>
      <c r="SO18" s="12"/>
      <c r="SP18" s="12"/>
      <c r="SQ18" s="12"/>
      <c r="SR18" s="12"/>
      <c r="SS18" s="12"/>
      <c r="ST18" s="12"/>
      <c r="SU18" s="12"/>
      <c r="SV18" s="12"/>
      <c r="SW18" s="12"/>
      <c r="SX18" s="12"/>
      <c r="SY18" s="12"/>
      <c r="SZ18" s="12"/>
      <c r="TA18" s="12"/>
      <c r="TB18" s="12"/>
      <c r="TC18" s="12"/>
      <c r="TD18" s="12"/>
      <c r="TE18" s="12"/>
      <c r="TF18" s="12"/>
      <c r="TG18" s="12"/>
      <c r="TH18" s="12"/>
      <c r="TI18" s="12"/>
      <c r="TJ18" s="12"/>
      <c r="TK18" s="12"/>
      <c r="TL18" s="12"/>
      <c r="TM18" s="12"/>
      <c r="TN18" s="12"/>
      <c r="TO18" s="12"/>
      <c r="TP18" s="12"/>
      <c r="TQ18" s="12"/>
      <c r="TR18" s="12"/>
      <c r="TS18" s="12"/>
      <c r="TT18" s="12"/>
      <c r="TU18" s="12"/>
      <c r="TV18" s="12"/>
      <c r="TW18" s="12"/>
      <c r="TX18" s="12"/>
      <c r="TY18" s="12"/>
      <c r="TZ18" s="12"/>
      <c r="UA18" s="12"/>
      <c r="UB18" s="12"/>
      <c r="UC18" s="12"/>
      <c r="UD18" s="12"/>
      <c r="UE18" s="12"/>
      <c r="UF18" s="12"/>
      <c r="UG18" s="12"/>
      <c r="UH18" s="12"/>
      <c r="UI18" s="12"/>
      <c r="UJ18" s="12"/>
      <c r="UK18" s="12"/>
      <c r="UL18" s="12"/>
      <c r="UM18" s="12"/>
      <c r="UN18" s="12"/>
      <c r="UO18" s="12"/>
      <c r="UP18" s="12"/>
      <c r="UQ18" s="12"/>
      <c r="UR18" s="12"/>
      <c r="US18" s="12"/>
      <c r="UT18" s="12"/>
      <c r="UU18" s="12"/>
      <c r="UV18" s="12"/>
      <c r="UW18" s="12"/>
      <c r="UX18" s="12"/>
      <c r="UY18" s="12"/>
      <c r="UZ18" s="12"/>
      <c r="VA18" s="12"/>
      <c r="VB18" s="12"/>
      <c r="VC18" s="12"/>
      <c r="VD18" s="12"/>
      <c r="VE18" s="12"/>
      <c r="VF18" s="12"/>
      <c r="VG18" s="12"/>
      <c r="VH18" s="12"/>
      <c r="VI18" s="12"/>
      <c r="VJ18" s="12"/>
      <c r="VK18" s="12"/>
      <c r="VL18" s="12"/>
      <c r="VM18" s="12"/>
      <c r="VN18" s="12"/>
      <c r="VO18" s="12"/>
      <c r="VP18" s="12"/>
      <c r="VQ18" s="12"/>
      <c r="VR18" s="12"/>
      <c r="VS18" s="12"/>
      <c r="VT18" s="12"/>
      <c r="VU18" s="12"/>
      <c r="VV18" s="12"/>
      <c r="VW18" s="12"/>
      <c r="VX18" s="12"/>
      <c r="VY18" s="12"/>
      <c r="VZ18" s="12"/>
      <c r="WA18" s="12"/>
      <c r="WB18" s="12"/>
      <c r="WC18" s="12"/>
      <c r="WD18" s="12"/>
      <c r="WE18" s="12"/>
      <c r="WF18" s="12"/>
      <c r="WG18" s="12"/>
      <c r="WH18" s="12"/>
      <c r="WI18" s="12"/>
      <c r="WJ18" s="12"/>
      <c r="WK18" s="12"/>
      <c r="WL18" s="12"/>
      <c r="WM18" s="12"/>
      <c r="WN18" s="12"/>
      <c r="WO18" s="12"/>
      <c r="WP18" s="12"/>
      <c r="WQ18" s="12"/>
      <c r="WR18" s="12"/>
      <c r="WS18" s="12"/>
      <c r="WT18" s="12"/>
      <c r="WU18" s="12"/>
      <c r="WV18" s="12"/>
      <c r="WW18" s="12"/>
      <c r="WX18" s="12"/>
      <c r="WY18" s="12"/>
      <c r="WZ18" s="12"/>
      <c r="XA18" s="12"/>
      <c r="XB18" s="12"/>
      <c r="XC18" s="12"/>
      <c r="XD18" s="12"/>
      <c r="XE18" s="12"/>
      <c r="XF18" s="12"/>
      <c r="XG18" s="12"/>
      <c r="XH18" s="12"/>
      <c r="XI18" s="12"/>
      <c r="XJ18" s="12"/>
      <c r="XK18" s="12"/>
      <c r="XL18" s="12"/>
      <c r="XM18" s="12"/>
      <c r="XN18" s="12"/>
      <c r="XO18" s="12"/>
      <c r="XP18" s="12"/>
      <c r="XQ18" s="12"/>
      <c r="XR18" s="12"/>
      <c r="XS18" s="12"/>
      <c r="XT18" s="12"/>
      <c r="XU18" s="12"/>
      <c r="XV18" s="12"/>
      <c r="XW18" s="12"/>
      <c r="XX18" s="12"/>
      <c r="XY18" s="12"/>
      <c r="XZ18" s="12"/>
      <c r="YA18" s="12"/>
      <c r="YB18" s="12"/>
      <c r="YC18" s="12"/>
      <c r="YD18" s="12"/>
      <c r="YE18" s="12"/>
      <c r="YF18" s="12"/>
      <c r="YG18" s="12"/>
      <c r="YH18" s="12"/>
      <c r="YI18" s="12"/>
      <c r="YJ18" s="12"/>
      <c r="YK18" s="12"/>
      <c r="YL18" s="12"/>
      <c r="YM18" s="12"/>
      <c r="YN18" s="12"/>
      <c r="YO18" s="12"/>
      <c r="YP18" s="12"/>
      <c r="YQ18" s="12"/>
      <c r="YR18" s="12"/>
      <c r="YS18" s="12"/>
      <c r="YT18" s="12"/>
      <c r="YU18" s="12"/>
      <c r="YV18" s="12"/>
      <c r="YW18" s="12"/>
      <c r="YX18" s="12"/>
      <c r="YY18" s="12"/>
      <c r="YZ18" s="12"/>
      <c r="ZA18" s="12"/>
      <c r="ZB18" s="12"/>
      <c r="ZC18" s="12"/>
      <c r="ZD18" s="12"/>
      <c r="ZE18" s="12"/>
      <c r="ZF18" s="12"/>
      <c r="ZG18" s="12"/>
      <c r="ZH18" s="12"/>
      <c r="ZI18" s="12"/>
      <c r="ZJ18" s="12"/>
      <c r="ZK18" s="12"/>
      <c r="ZL18" s="12"/>
      <c r="ZM18" s="12"/>
      <c r="ZN18" s="12"/>
      <c r="ZO18" s="12"/>
      <c r="ZP18" s="12"/>
      <c r="ZQ18" s="12"/>
      <c r="ZR18" s="12"/>
      <c r="ZS18" s="12"/>
      <c r="ZT18" s="12"/>
      <c r="ZU18" s="12"/>
      <c r="ZV18" s="12"/>
      <c r="ZW18" s="12"/>
      <c r="ZX18" s="12"/>
      <c r="ZY18" s="12"/>
      <c r="ZZ18" s="12"/>
      <c r="AAA18" s="12"/>
      <c r="AAB18" s="12"/>
      <c r="AAC18" s="12"/>
      <c r="AAD18" s="12"/>
      <c r="AAE18" s="12"/>
      <c r="AAF18" s="12"/>
      <c r="AAG18" s="12"/>
      <c r="AAH18" s="12"/>
      <c r="AAI18" s="12"/>
      <c r="AAJ18" s="12"/>
      <c r="AAK18" s="12"/>
      <c r="AAL18" s="12"/>
      <c r="AAM18" s="12"/>
      <c r="AAN18" s="12"/>
      <c r="AAO18" s="12"/>
      <c r="AAP18" s="12"/>
      <c r="AAQ18" s="12"/>
      <c r="AAR18" s="12"/>
      <c r="AAS18" s="12"/>
      <c r="AAT18" s="12"/>
      <c r="AAU18" s="12"/>
      <c r="AAV18" s="12"/>
      <c r="AAW18" s="12"/>
      <c r="AAX18" s="12"/>
      <c r="AAY18" s="12"/>
      <c r="AAZ18" s="12"/>
      <c r="ABA18" s="12"/>
      <c r="ABB18" s="12"/>
      <c r="ABC18" s="12"/>
      <c r="ABD18" s="12"/>
      <c r="ABE18" s="12"/>
      <c r="ABF18" s="12"/>
      <c r="ABG18" s="12"/>
      <c r="ABH18" s="12"/>
      <c r="ABI18" s="12"/>
      <c r="ABJ18" s="12"/>
      <c r="ABK18" s="12"/>
      <c r="ABL18" s="12"/>
      <c r="ABM18" s="12"/>
      <c r="ABN18" s="12"/>
      <c r="ABO18" s="12"/>
      <c r="ABP18" s="12"/>
      <c r="ABQ18" s="12"/>
      <c r="ABR18" s="12"/>
      <c r="ABS18" s="12"/>
      <c r="ABT18" s="12"/>
      <c r="ABU18" s="12"/>
      <c r="ABV18" s="12"/>
      <c r="ABW18" s="12"/>
      <c r="ABX18" s="12"/>
      <c r="ABY18" s="12"/>
      <c r="ABZ18" s="12"/>
      <c r="ACA18" s="12"/>
      <c r="ACB18" s="12"/>
      <c r="ACC18" s="12"/>
      <c r="ACD18" s="12"/>
      <c r="ACE18" s="12"/>
      <c r="ACF18" s="12"/>
      <c r="ACG18" s="12"/>
      <c r="ACH18" s="12"/>
      <c r="ACI18" s="12"/>
      <c r="ACJ18" s="12"/>
      <c r="ACK18" s="12"/>
      <c r="ACL18" s="12"/>
      <c r="ACM18" s="12"/>
      <c r="ACN18" s="12"/>
      <c r="ACO18" s="12"/>
      <c r="ACP18" s="12"/>
      <c r="ACQ18" s="12"/>
      <c r="ACR18" s="12"/>
      <c r="ACS18" s="12"/>
      <c r="ACT18" s="12"/>
      <c r="ACU18" s="12"/>
      <c r="ACV18" s="12"/>
      <c r="ACW18" s="12"/>
      <c r="ACX18" s="12"/>
      <c r="ACY18" s="12"/>
      <c r="ACZ18" s="12"/>
      <c r="ADA18" s="12"/>
      <c r="ADB18" s="12"/>
      <c r="ADC18" s="12"/>
      <c r="ADD18" s="12"/>
      <c r="ADE18" s="12"/>
      <c r="ADF18" s="12"/>
      <c r="ADG18" s="12"/>
      <c r="ADH18" s="12"/>
      <c r="ADI18" s="12"/>
      <c r="ADJ18" s="12"/>
      <c r="ADK18" s="12"/>
      <c r="ADL18" s="12"/>
      <c r="ADM18" s="12"/>
      <c r="ADN18" s="12"/>
      <c r="ADO18" s="12"/>
      <c r="ADP18" s="12"/>
      <c r="ADQ18" s="12"/>
      <c r="ADR18" s="12"/>
      <c r="ADS18" s="12"/>
      <c r="ADT18" s="12"/>
      <c r="ADU18" s="12"/>
      <c r="ADV18" s="12"/>
      <c r="ADW18" s="12"/>
      <c r="ADX18" s="12"/>
      <c r="ADY18" s="12"/>
      <c r="ADZ18" s="12"/>
      <c r="AEA18" s="12"/>
      <c r="AEB18" s="12"/>
      <c r="AEC18" s="12"/>
      <c r="AED18" s="12"/>
      <c r="AEE18" s="12"/>
      <c r="AEF18" s="12"/>
      <c r="AEG18" s="12"/>
      <c r="AEH18" s="12"/>
      <c r="AEI18" s="12"/>
      <c r="AEJ18" s="12"/>
      <c r="AEK18" s="12"/>
      <c r="AEL18" s="12"/>
      <c r="AEM18" s="12"/>
      <c r="AEN18" s="12"/>
      <c r="AEO18" s="12"/>
      <c r="AEP18" s="12"/>
      <c r="AEQ18" s="12"/>
      <c r="AER18" s="12"/>
      <c r="AES18" s="12"/>
      <c r="AET18" s="12"/>
      <c r="AEU18" s="12"/>
      <c r="AEV18" s="12"/>
    </row>
    <row r="19" spans="1:828" s="13" customFormat="1" ht="19" thickBot="1" x14ac:dyDescent="0.25">
      <c r="A19" s="14"/>
      <c r="B19" s="16"/>
      <c r="C19" s="16"/>
      <c r="D19" s="11"/>
      <c r="E19" s="16"/>
      <c r="F19" s="16"/>
      <c r="G19" s="16"/>
      <c r="H19" s="15"/>
      <c r="I19" s="16"/>
      <c r="J19" s="11"/>
      <c r="K19" s="15"/>
      <c r="L19" s="16"/>
      <c r="M19" s="11"/>
      <c r="N19" s="12"/>
      <c r="O19" s="12"/>
      <c r="P19"/>
      <c r="Q19"/>
      <c r="R19"/>
      <c r="S19"/>
      <c r="T19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</row>
    <row r="20" spans="1:828" s="38" customFormat="1" ht="19" x14ac:dyDescent="0.2">
      <c r="A20" s="21" t="s">
        <v>18</v>
      </c>
      <c r="B20" s="37">
        <f t="shared" si="0"/>
        <v>5.8805965331353495E-2</v>
      </c>
      <c r="C20" s="25" t="s">
        <v>19</v>
      </c>
      <c r="D20" s="24">
        <v>7287</v>
      </c>
      <c r="E20" s="25"/>
      <c r="F20" s="25"/>
      <c r="G20" s="25"/>
      <c r="H20" s="26">
        <f>SUM(J20:J23)/J74</f>
        <v>5.8541316214082185E-2</v>
      </c>
      <c r="I20" s="25" t="s">
        <v>20</v>
      </c>
      <c r="J20" s="24">
        <v>406</v>
      </c>
      <c r="K20" s="26"/>
      <c r="L20" s="25"/>
      <c r="M20" s="24"/>
      <c r="N20" s="12"/>
      <c r="O20" s="12"/>
      <c r="P20"/>
      <c r="Q20"/>
      <c r="R20"/>
      <c r="S20"/>
      <c r="T20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</row>
    <row r="21" spans="1:828" s="27" customFormat="1" ht="18" x14ac:dyDescent="0.2">
      <c r="A21" s="28"/>
      <c r="B21" s="23"/>
      <c r="C21" s="23"/>
      <c r="D21" s="29"/>
      <c r="E21" s="23"/>
      <c r="F21" s="23"/>
      <c r="G21" s="23"/>
      <c r="H21" s="30"/>
      <c r="I21" s="23" t="s">
        <v>21</v>
      </c>
      <c r="J21" s="29">
        <v>4580</v>
      </c>
      <c r="K21" s="30"/>
      <c r="L21" s="23"/>
      <c r="M21" s="29"/>
      <c r="N21" s="12"/>
      <c r="O21" s="12"/>
      <c r="P21"/>
      <c r="Q21"/>
      <c r="R21"/>
      <c r="S21"/>
      <c r="T21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  <c r="LT21" s="12"/>
      <c r="LU21" s="12"/>
      <c r="LV21" s="12"/>
      <c r="LW21" s="12"/>
      <c r="LX21" s="12"/>
      <c r="LY21" s="12"/>
      <c r="LZ21" s="12"/>
      <c r="MA21" s="12"/>
      <c r="MB21" s="12"/>
      <c r="MC21" s="12"/>
      <c r="MD21" s="12"/>
      <c r="ME21" s="12"/>
      <c r="MF21" s="12"/>
      <c r="MG21" s="12"/>
      <c r="MH21" s="12"/>
      <c r="MI21" s="12"/>
      <c r="MJ21" s="12"/>
      <c r="MK21" s="12"/>
      <c r="ML21" s="12"/>
      <c r="MM21" s="12"/>
      <c r="MN21" s="12"/>
      <c r="MO21" s="12"/>
      <c r="MP21" s="12"/>
      <c r="MQ21" s="12"/>
      <c r="MR21" s="12"/>
      <c r="MS21" s="12"/>
      <c r="MT21" s="12"/>
      <c r="MU21" s="12"/>
      <c r="MV21" s="12"/>
      <c r="MW21" s="12"/>
      <c r="MX21" s="12"/>
      <c r="MY21" s="12"/>
      <c r="MZ21" s="12"/>
      <c r="NA21" s="12"/>
      <c r="NB21" s="12"/>
      <c r="NC21" s="12"/>
      <c r="ND21" s="12"/>
      <c r="NE21" s="12"/>
      <c r="NF21" s="12"/>
      <c r="NG21" s="12"/>
      <c r="NH21" s="12"/>
      <c r="NI21" s="12"/>
      <c r="NJ21" s="12"/>
      <c r="NK21" s="12"/>
      <c r="NL21" s="12"/>
      <c r="NM21" s="12"/>
      <c r="NN21" s="12"/>
      <c r="NO21" s="12"/>
      <c r="NP21" s="12"/>
      <c r="NQ21" s="12"/>
      <c r="NR21" s="12"/>
      <c r="NS21" s="12"/>
      <c r="NT21" s="12"/>
      <c r="NU21" s="12"/>
      <c r="NV21" s="12"/>
      <c r="NW21" s="12"/>
      <c r="NX21" s="12"/>
      <c r="NY21" s="12"/>
      <c r="NZ21" s="12"/>
      <c r="OA21" s="12"/>
      <c r="OB21" s="12"/>
      <c r="OC21" s="12"/>
      <c r="OD21" s="12"/>
      <c r="OE21" s="12"/>
      <c r="OF21" s="12"/>
      <c r="OG21" s="12"/>
      <c r="OH21" s="12"/>
      <c r="OI21" s="12"/>
      <c r="OJ21" s="12"/>
      <c r="OK21" s="12"/>
      <c r="OL21" s="12"/>
      <c r="OM21" s="12"/>
      <c r="ON21" s="12"/>
      <c r="OO21" s="12"/>
      <c r="OP21" s="12"/>
      <c r="OQ21" s="12"/>
      <c r="OR21" s="12"/>
      <c r="OS21" s="12"/>
      <c r="OT21" s="12"/>
      <c r="OU21" s="12"/>
      <c r="OV21" s="12"/>
      <c r="OW21" s="12"/>
      <c r="OX21" s="12"/>
      <c r="OY21" s="12"/>
      <c r="OZ21" s="12"/>
      <c r="PA21" s="12"/>
      <c r="PB21" s="12"/>
      <c r="PC21" s="12"/>
      <c r="PD21" s="12"/>
      <c r="PE21" s="12"/>
      <c r="PF21" s="12"/>
      <c r="PG21" s="12"/>
      <c r="PH21" s="12"/>
      <c r="PI21" s="12"/>
      <c r="PJ21" s="12"/>
      <c r="PK21" s="12"/>
      <c r="PL21" s="12"/>
      <c r="PM21" s="12"/>
      <c r="PN21" s="12"/>
      <c r="PO21" s="12"/>
      <c r="PP21" s="12"/>
      <c r="PQ21" s="12"/>
      <c r="PR21" s="12"/>
      <c r="PS21" s="12"/>
      <c r="PT21" s="12"/>
      <c r="PU21" s="12"/>
      <c r="PV21" s="12"/>
      <c r="PW21" s="12"/>
      <c r="PX21" s="12"/>
      <c r="PY21" s="12"/>
      <c r="PZ21" s="12"/>
      <c r="QA21" s="12"/>
      <c r="QB21" s="12"/>
      <c r="QC21" s="12"/>
      <c r="QD21" s="12"/>
      <c r="QE21" s="12"/>
      <c r="QF21" s="12"/>
      <c r="QG21" s="12"/>
      <c r="QH21" s="12"/>
      <c r="QI21" s="12"/>
      <c r="QJ21" s="12"/>
      <c r="QK21" s="12"/>
      <c r="QL21" s="12"/>
      <c r="QM21" s="12"/>
      <c r="QN21" s="12"/>
      <c r="QO21" s="12"/>
      <c r="QP21" s="12"/>
      <c r="QQ21" s="12"/>
      <c r="QR21" s="12"/>
      <c r="QS21" s="12"/>
      <c r="QT21" s="12"/>
      <c r="QU21" s="12"/>
      <c r="QV21" s="12"/>
      <c r="QW21" s="12"/>
      <c r="QX21" s="12"/>
      <c r="QY21" s="12"/>
      <c r="QZ21" s="12"/>
      <c r="RA21" s="12"/>
      <c r="RB21" s="12"/>
      <c r="RC21" s="12"/>
      <c r="RD21" s="12"/>
      <c r="RE21" s="12"/>
      <c r="RF21" s="12"/>
      <c r="RG21" s="12"/>
      <c r="RH21" s="12"/>
      <c r="RI21" s="12"/>
      <c r="RJ21" s="12"/>
      <c r="RK21" s="12"/>
      <c r="RL21" s="12"/>
      <c r="RM21" s="12"/>
      <c r="RN21" s="12"/>
      <c r="RO21" s="12"/>
      <c r="RP21" s="12"/>
      <c r="RQ21" s="12"/>
      <c r="RR21" s="12"/>
      <c r="RS21" s="12"/>
      <c r="RT21" s="12"/>
      <c r="RU21" s="12"/>
      <c r="RV21" s="12"/>
      <c r="RW21" s="12"/>
      <c r="RX21" s="12"/>
      <c r="RY21" s="12"/>
      <c r="RZ21" s="12"/>
      <c r="SA21" s="12"/>
      <c r="SB21" s="12"/>
      <c r="SC21" s="12"/>
      <c r="SD21" s="12"/>
      <c r="SE21" s="12"/>
      <c r="SF21" s="12"/>
      <c r="SG21" s="12"/>
      <c r="SH21" s="12"/>
      <c r="SI21" s="12"/>
      <c r="SJ21" s="12"/>
      <c r="SK21" s="12"/>
      <c r="SL21" s="12"/>
      <c r="SM21" s="12"/>
      <c r="SN21" s="12"/>
      <c r="SO21" s="12"/>
      <c r="SP21" s="12"/>
      <c r="SQ21" s="12"/>
      <c r="SR21" s="12"/>
      <c r="SS21" s="12"/>
      <c r="ST21" s="12"/>
      <c r="SU21" s="12"/>
      <c r="SV21" s="12"/>
      <c r="SW21" s="12"/>
      <c r="SX21" s="12"/>
      <c r="SY21" s="12"/>
      <c r="SZ21" s="12"/>
      <c r="TA21" s="12"/>
      <c r="TB21" s="12"/>
      <c r="TC21" s="12"/>
      <c r="TD21" s="12"/>
      <c r="TE21" s="12"/>
      <c r="TF21" s="12"/>
      <c r="TG21" s="12"/>
      <c r="TH21" s="12"/>
      <c r="TI21" s="12"/>
      <c r="TJ21" s="12"/>
      <c r="TK21" s="12"/>
      <c r="TL21" s="12"/>
      <c r="TM21" s="12"/>
      <c r="TN21" s="12"/>
      <c r="TO21" s="12"/>
      <c r="TP21" s="12"/>
      <c r="TQ21" s="12"/>
      <c r="TR21" s="12"/>
      <c r="TS21" s="12"/>
      <c r="TT21" s="12"/>
      <c r="TU21" s="12"/>
      <c r="TV21" s="12"/>
      <c r="TW21" s="12"/>
      <c r="TX21" s="12"/>
      <c r="TY21" s="12"/>
      <c r="TZ21" s="12"/>
      <c r="UA21" s="12"/>
      <c r="UB21" s="12"/>
      <c r="UC21" s="12"/>
      <c r="UD21" s="12"/>
      <c r="UE21" s="12"/>
      <c r="UF21" s="12"/>
      <c r="UG21" s="12"/>
      <c r="UH21" s="12"/>
      <c r="UI21" s="12"/>
      <c r="UJ21" s="12"/>
      <c r="UK21" s="12"/>
      <c r="UL21" s="12"/>
      <c r="UM21" s="12"/>
      <c r="UN21" s="12"/>
      <c r="UO21" s="12"/>
      <c r="UP21" s="12"/>
      <c r="UQ21" s="12"/>
      <c r="UR21" s="12"/>
      <c r="US21" s="12"/>
      <c r="UT21" s="12"/>
      <c r="UU21" s="12"/>
      <c r="UV21" s="12"/>
      <c r="UW21" s="12"/>
      <c r="UX21" s="12"/>
      <c r="UY21" s="12"/>
      <c r="UZ21" s="12"/>
      <c r="VA21" s="12"/>
      <c r="VB21" s="12"/>
      <c r="VC21" s="12"/>
      <c r="VD21" s="12"/>
      <c r="VE21" s="12"/>
      <c r="VF21" s="12"/>
      <c r="VG21" s="12"/>
      <c r="VH21" s="12"/>
      <c r="VI21" s="12"/>
      <c r="VJ21" s="12"/>
      <c r="VK21" s="12"/>
      <c r="VL21" s="12"/>
      <c r="VM21" s="12"/>
      <c r="VN21" s="12"/>
      <c r="VO21" s="12"/>
      <c r="VP21" s="12"/>
      <c r="VQ21" s="12"/>
      <c r="VR21" s="12"/>
      <c r="VS21" s="12"/>
      <c r="VT21" s="12"/>
      <c r="VU21" s="12"/>
      <c r="VV21" s="12"/>
      <c r="VW21" s="12"/>
      <c r="VX21" s="12"/>
      <c r="VY21" s="12"/>
      <c r="VZ21" s="12"/>
      <c r="WA21" s="12"/>
      <c r="WB21" s="12"/>
      <c r="WC21" s="12"/>
      <c r="WD21" s="12"/>
      <c r="WE21" s="12"/>
      <c r="WF21" s="12"/>
      <c r="WG21" s="12"/>
      <c r="WH21" s="12"/>
      <c r="WI21" s="12"/>
      <c r="WJ21" s="12"/>
      <c r="WK21" s="12"/>
      <c r="WL21" s="12"/>
      <c r="WM21" s="12"/>
      <c r="WN21" s="12"/>
      <c r="WO21" s="12"/>
      <c r="WP21" s="12"/>
      <c r="WQ21" s="12"/>
      <c r="WR21" s="12"/>
      <c r="WS21" s="12"/>
      <c r="WT21" s="12"/>
      <c r="WU21" s="12"/>
      <c r="WV21" s="12"/>
      <c r="WW21" s="12"/>
      <c r="WX21" s="12"/>
      <c r="WY21" s="12"/>
      <c r="WZ21" s="12"/>
      <c r="XA21" s="12"/>
      <c r="XB21" s="12"/>
      <c r="XC21" s="12"/>
      <c r="XD21" s="12"/>
      <c r="XE21" s="12"/>
      <c r="XF21" s="12"/>
      <c r="XG21" s="12"/>
      <c r="XH21" s="12"/>
      <c r="XI21" s="12"/>
      <c r="XJ21" s="12"/>
      <c r="XK21" s="12"/>
      <c r="XL21" s="12"/>
      <c r="XM21" s="12"/>
      <c r="XN21" s="12"/>
      <c r="XO21" s="12"/>
      <c r="XP21" s="12"/>
      <c r="XQ21" s="12"/>
      <c r="XR21" s="12"/>
      <c r="XS21" s="12"/>
      <c r="XT21" s="12"/>
      <c r="XU21" s="12"/>
      <c r="XV21" s="12"/>
      <c r="XW21" s="12"/>
      <c r="XX21" s="12"/>
      <c r="XY21" s="12"/>
      <c r="XZ21" s="12"/>
      <c r="YA21" s="12"/>
      <c r="YB21" s="12"/>
      <c r="YC21" s="12"/>
      <c r="YD21" s="12"/>
      <c r="YE21" s="12"/>
      <c r="YF21" s="12"/>
      <c r="YG21" s="12"/>
      <c r="YH21" s="12"/>
      <c r="YI21" s="12"/>
      <c r="YJ21" s="12"/>
      <c r="YK21" s="12"/>
      <c r="YL21" s="12"/>
      <c r="YM21" s="12"/>
      <c r="YN21" s="12"/>
      <c r="YO21" s="12"/>
      <c r="YP21" s="12"/>
      <c r="YQ21" s="12"/>
      <c r="YR21" s="12"/>
      <c r="YS21" s="12"/>
      <c r="YT21" s="12"/>
      <c r="YU21" s="12"/>
      <c r="YV21" s="12"/>
      <c r="YW21" s="12"/>
      <c r="YX21" s="12"/>
      <c r="YY21" s="12"/>
      <c r="YZ21" s="12"/>
      <c r="ZA21" s="12"/>
      <c r="ZB21" s="12"/>
      <c r="ZC21" s="12"/>
      <c r="ZD21" s="12"/>
      <c r="ZE21" s="12"/>
      <c r="ZF21" s="12"/>
      <c r="ZG21" s="12"/>
      <c r="ZH21" s="12"/>
      <c r="ZI21" s="12"/>
      <c r="ZJ21" s="12"/>
      <c r="ZK21" s="12"/>
      <c r="ZL21" s="12"/>
      <c r="ZM21" s="12"/>
      <c r="ZN21" s="12"/>
      <c r="ZO21" s="12"/>
      <c r="ZP21" s="12"/>
      <c r="ZQ21" s="12"/>
      <c r="ZR21" s="12"/>
      <c r="ZS21" s="12"/>
      <c r="ZT21" s="12"/>
      <c r="ZU21" s="12"/>
      <c r="ZV21" s="12"/>
      <c r="ZW21" s="12"/>
      <c r="ZX21" s="12"/>
      <c r="ZY21" s="12"/>
      <c r="ZZ21" s="12"/>
      <c r="AAA21" s="12"/>
      <c r="AAB21" s="12"/>
      <c r="AAC21" s="12"/>
      <c r="AAD21" s="12"/>
      <c r="AAE21" s="12"/>
      <c r="AAF21" s="12"/>
      <c r="AAG21" s="12"/>
      <c r="AAH21" s="12"/>
      <c r="AAI21" s="12"/>
      <c r="AAJ21" s="12"/>
      <c r="AAK21" s="12"/>
      <c r="AAL21" s="12"/>
      <c r="AAM21" s="12"/>
      <c r="AAN21" s="12"/>
      <c r="AAO21" s="12"/>
      <c r="AAP21" s="12"/>
      <c r="AAQ21" s="12"/>
      <c r="AAR21" s="12"/>
      <c r="AAS21" s="12"/>
      <c r="AAT21" s="12"/>
      <c r="AAU21" s="12"/>
      <c r="AAV21" s="12"/>
      <c r="AAW21" s="12"/>
      <c r="AAX21" s="12"/>
      <c r="AAY21" s="12"/>
      <c r="AAZ21" s="12"/>
      <c r="ABA21" s="12"/>
      <c r="ABB21" s="12"/>
      <c r="ABC21" s="12"/>
      <c r="ABD21" s="12"/>
      <c r="ABE21" s="12"/>
      <c r="ABF21" s="12"/>
      <c r="ABG21" s="12"/>
      <c r="ABH21" s="12"/>
      <c r="ABI21" s="12"/>
      <c r="ABJ21" s="12"/>
      <c r="ABK21" s="12"/>
      <c r="ABL21" s="12"/>
      <c r="ABM21" s="12"/>
      <c r="ABN21" s="12"/>
      <c r="ABO21" s="12"/>
      <c r="ABP21" s="12"/>
      <c r="ABQ21" s="12"/>
      <c r="ABR21" s="12"/>
      <c r="ABS21" s="12"/>
      <c r="ABT21" s="12"/>
      <c r="ABU21" s="12"/>
      <c r="ABV21" s="12"/>
      <c r="ABW21" s="12"/>
      <c r="ABX21" s="12"/>
      <c r="ABY21" s="12"/>
      <c r="ABZ21" s="12"/>
      <c r="ACA21" s="12"/>
      <c r="ACB21" s="12"/>
      <c r="ACC21" s="12"/>
      <c r="ACD21" s="12"/>
      <c r="ACE21" s="12"/>
      <c r="ACF21" s="12"/>
      <c r="ACG21" s="12"/>
      <c r="ACH21" s="12"/>
      <c r="ACI21" s="12"/>
      <c r="ACJ21" s="12"/>
      <c r="ACK21" s="12"/>
      <c r="ACL21" s="12"/>
      <c r="ACM21" s="12"/>
      <c r="ACN21" s="12"/>
      <c r="ACO21" s="12"/>
      <c r="ACP21" s="12"/>
      <c r="ACQ21" s="12"/>
      <c r="ACR21" s="12"/>
      <c r="ACS21" s="12"/>
      <c r="ACT21" s="12"/>
      <c r="ACU21" s="12"/>
      <c r="ACV21" s="12"/>
      <c r="ACW21" s="12"/>
      <c r="ACX21" s="12"/>
      <c r="ACY21" s="12"/>
      <c r="ACZ21" s="12"/>
      <c r="ADA21" s="12"/>
      <c r="ADB21" s="12"/>
      <c r="ADC21" s="12"/>
      <c r="ADD21" s="12"/>
      <c r="ADE21" s="12"/>
      <c r="ADF21" s="12"/>
      <c r="ADG21" s="12"/>
      <c r="ADH21" s="12"/>
      <c r="ADI21" s="12"/>
      <c r="ADJ21" s="12"/>
      <c r="ADK21" s="12"/>
      <c r="ADL21" s="12"/>
      <c r="ADM21" s="12"/>
      <c r="ADN21" s="12"/>
      <c r="ADO21" s="12"/>
      <c r="ADP21" s="12"/>
      <c r="ADQ21" s="12"/>
      <c r="ADR21" s="12"/>
      <c r="ADS21" s="12"/>
      <c r="ADT21" s="12"/>
      <c r="ADU21" s="12"/>
      <c r="ADV21" s="12"/>
      <c r="ADW21" s="12"/>
      <c r="ADX21" s="12"/>
      <c r="ADY21" s="12"/>
      <c r="ADZ21" s="12"/>
      <c r="AEA21" s="12"/>
      <c r="AEB21" s="12"/>
      <c r="AEC21" s="12"/>
      <c r="AED21" s="12"/>
      <c r="AEE21" s="12"/>
      <c r="AEF21" s="12"/>
      <c r="AEG21" s="12"/>
      <c r="AEH21" s="12"/>
      <c r="AEI21" s="12"/>
      <c r="AEJ21" s="12"/>
      <c r="AEK21" s="12"/>
      <c r="AEL21" s="12"/>
      <c r="AEM21" s="12"/>
      <c r="AEN21" s="12"/>
      <c r="AEO21" s="12"/>
      <c r="AEP21" s="12"/>
      <c r="AEQ21" s="12"/>
      <c r="AER21" s="12"/>
      <c r="AES21" s="12"/>
      <c r="AET21" s="12"/>
      <c r="AEU21" s="12"/>
      <c r="AEV21" s="12"/>
    </row>
    <row r="22" spans="1:828" s="27" customFormat="1" ht="18" x14ac:dyDescent="0.2">
      <c r="A22" s="28"/>
      <c r="B22" s="23"/>
      <c r="C22" s="23"/>
      <c r="D22" s="29"/>
      <c r="E22" s="23"/>
      <c r="F22" s="23"/>
      <c r="G22" s="23"/>
      <c r="H22" s="30"/>
      <c r="I22" s="23" t="s">
        <v>22</v>
      </c>
      <c r="J22" s="29">
        <v>417</v>
      </c>
      <c r="K22" s="30"/>
      <c r="L22" s="23"/>
      <c r="M22" s="29"/>
      <c r="N22" s="12"/>
      <c r="O22" s="12"/>
      <c r="P22"/>
      <c r="Q22"/>
      <c r="R22"/>
      <c r="S22"/>
      <c r="T2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  <c r="LT22" s="12"/>
      <c r="LU22" s="12"/>
      <c r="LV22" s="12"/>
      <c r="LW22" s="12"/>
      <c r="LX22" s="12"/>
      <c r="LY22" s="12"/>
      <c r="LZ22" s="12"/>
      <c r="MA22" s="12"/>
      <c r="MB22" s="12"/>
      <c r="MC22" s="12"/>
      <c r="MD22" s="12"/>
      <c r="ME22" s="12"/>
      <c r="MF22" s="12"/>
      <c r="MG22" s="12"/>
      <c r="MH22" s="12"/>
      <c r="MI22" s="12"/>
      <c r="MJ22" s="12"/>
      <c r="MK22" s="12"/>
      <c r="ML22" s="12"/>
      <c r="MM22" s="12"/>
      <c r="MN22" s="12"/>
      <c r="MO22" s="12"/>
      <c r="MP22" s="12"/>
      <c r="MQ22" s="12"/>
      <c r="MR22" s="12"/>
      <c r="MS22" s="12"/>
      <c r="MT22" s="12"/>
      <c r="MU22" s="12"/>
      <c r="MV22" s="12"/>
      <c r="MW22" s="12"/>
      <c r="MX22" s="12"/>
      <c r="MY22" s="12"/>
      <c r="MZ22" s="12"/>
      <c r="NA22" s="12"/>
      <c r="NB22" s="12"/>
      <c r="NC22" s="12"/>
      <c r="ND22" s="12"/>
      <c r="NE22" s="12"/>
      <c r="NF22" s="12"/>
      <c r="NG22" s="12"/>
      <c r="NH22" s="12"/>
      <c r="NI22" s="12"/>
      <c r="NJ22" s="12"/>
      <c r="NK22" s="12"/>
      <c r="NL22" s="12"/>
      <c r="NM22" s="12"/>
      <c r="NN22" s="12"/>
      <c r="NO22" s="12"/>
      <c r="NP22" s="12"/>
      <c r="NQ22" s="12"/>
      <c r="NR22" s="12"/>
      <c r="NS22" s="12"/>
      <c r="NT22" s="12"/>
      <c r="NU22" s="12"/>
      <c r="NV22" s="12"/>
      <c r="NW22" s="12"/>
      <c r="NX22" s="12"/>
      <c r="NY22" s="12"/>
      <c r="NZ22" s="12"/>
      <c r="OA22" s="12"/>
      <c r="OB22" s="12"/>
      <c r="OC22" s="12"/>
      <c r="OD22" s="12"/>
      <c r="OE22" s="12"/>
      <c r="OF22" s="12"/>
      <c r="OG22" s="12"/>
      <c r="OH22" s="12"/>
      <c r="OI22" s="12"/>
      <c r="OJ22" s="12"/>
      <c r="OK22" s="12"/>
      <c r="OL22" s="12"/>
      <c r="OM22" s="12"/>
      <c r="ON22" s="12"/>
      <c r="OO22" s="12"/>
      <c r="OP22" s="12"/>
      <c r="OQ22" s="12"/>
      <c r="OR22" s="12"/>
      <c r="OS22" s="12"/>
      <c r="OT22" s="12"/>
      <c r="OU22" s="12"/>
      <c r="OV22" s="12"/>
      <c r="OW22" s="12"/>
      <c r="OX22" s="12"/>
      <c r="OY22" s="12"/>
      <c r="OZ22" s="12"/>
      <c r="PA22" s="12"/>
      <c r="PB22" s="12"/>
      <c r="PC22" s="12"/>
      <c r="PD22" s="12"/>
      <c r="PE22" s="12"/>
      <c r="PF22" s="12"/>
      <c r="PG22" s="12"/>
      <c r="PH22" s="12"/>
      <c r="PI22" s="12"/>
      <c r="PJ22" s="12"/>
      <c r="PK22" s="12"/>
      <c r="PL22" s="12"/>
      <c r="PM22" s="12"/>
      <c r="PN22" s="12"/>
      <c r="PO22" s="12"/>
      <c r="PP22" s="12"/>
      <c r="PQ22" s="12"/>
      <c r="PR22" s="12"/>
      <c r="PS22" s="12"/>
      <c r="PT22" s="12"/>
      <c r="PU22" s="12"/>
      <c r="PV22" s="12"/>
      <c r="PW22" s="12"/>
      <c r="PX22" s="12"/>
      <c r="PY22" s="12"/>
      <c r="PZ22" s="12"/>
      <c r="QA22" s="12"/>
      <c r="QB22" s="12"/>
      <c r="QC22" s="12"/>
      <c r="QD22" s="12"/>
      <c r="QE22" s="12"/>
      <c r="QF22" s="12"/>
      <c r="QG22" s="12"/>
      <c r="QH22" s="12"/>
      <c r="QI22" s="12"/>
      <c r="QJ22" s="12"/>
      <c r="QK22" s="12"/>
      <c r="QL22" s="12"/>
      <c r="QM22" s="12"/>
      <c r="QN22" s="12"/>
      <c r="QO22" s="12"/>
      <c r="QP22" s="12"/>
      <c r="QQ22" s="12"/>
      <c r="QR22" s="12"/>
      <c r="QS22" s="12"/>
      <c r="QT22" s="12"/>
      <c r="QU22" s="12"/>
      <c r="QV22" s="12"/>
      <c r="QW22" s="12"/>
      <c r="QX22" s="12"/>
      <c r="QY22" s="12"/>
      <c r="QZ22" s="12"/>
      <c r="RA22" s="12"/>
      <c r="RB22" s="12"/>
      <c r="RC22" s="12"/>
      <c r="RD22" s="12"/>
      <c r="RE22" s="12"/>
      <c r="RF22" s="12"/>
      <c r="RG22" s="12"/>
      <c r="RH22" s="12"/>
      <c r="RI22" s="12"/>
      <c r="RJ22" s="12"/>
      <c r="RK22" s="12"/>
      <c r="RL22" s="12"/>
      <c r="RM22" s="12"/>
      <c r="RN22" s="12"/>
      <c r="RO22" s="12"/>
      <c r="RP22" s="12"/>
      <c r="RQ22" s="12"/>
      <c r="RR22" s="12"/>
      <c r="RS22" s="12"/>
      <c r="RT22" s="12"/>
      <c r="RU22" s="12"/>
      <c r="RV22" s="12"/>
      <c r="RW22" s="12"/>
      <c r="RX22" s="12"/>
      <c r="RY22" s="12"/>
      <c r="RZ22" s="12"/>
      <c r="SA22" s="12"/>
      <c r="SB22" s="12"/>
      <c r="SC22" s="12"/>
      <c r="SD22" s="12"/>
      <c r="SE22" s="12"/>
      <c r="SF22" s="12"/>
      <c r="SG22" s="12"/>
      <c r="SH22" s="12"/>
      <c r="SI22" s="12"/>
      <c r="SJ22" s="12"/>
      <c r="SK22" s="12"/>
      <c r="SL22" s="12"/>
      <c r="SM22" s="12"/>
      <c r="SN22" s="12"/>
      <c r="SO22" s="12"/>
      <c r="SP22" s="12"/>
      <c r="SQ22" s="12"/>
      <c r="SR22" s="12"/>
      <c r="SS22" s="12"/>
      <c r="ST22" s="12"/>
      <c r="SU22" s="12"/>
      <c r="SV22" s="12"/>
      <c r="SW22" s="12"/>
      <c r="SX22" s="12"/>
      <c r="SY22" s="12"/>
      <c r="SZ22" s="12"/>
      <c r="TA22" s="12"/>
      <c r="TB22" s="12"/>
      <c r="TC22" s="12"/>
      <c r="TD22" s="12"/>
      <c r="TE22" s="12"/>
      <c r="TF22" s="12"/>
      <c r="TG22" s="12"/>
      <c r="TH22" s="12"/>
      <c r="TI22" s="12"/>
      <c r="TJ22" s="12"/>
      <c r="TK22" s="12"/>
      <c r="TL22" s="12"/>
      <c r="TM22" s="12"/>
      <c r="TN22" s="12"/>
      <c r="TO22" s="12"/>
      <c r="TP22" s="12"/>
      <c r="TQ22" s="12"/>
      <c r="TR22" s="12"/>
      <c r="TS22" s="12"/>
      <c r="TT22" s="12"/>
      <c r="TU22" s="12"/>
      <c r="TV22" s="12"/>
      <c r="TW22" s="12"/>
      <c r="TX22" s="12"/>
      <c r="TY22" s="12"/>
      <c r="TZ22" s="12"/>
      <c r="UA22" s="12"/>
      <c r="UB22" s="12"/>
      <c r="UC22" s="12"/>
      <c r="UD22" s="12"/>
      <c r="UE22" s="12"/>
      <c r="UF22" s="12"/>
      <c r="UG22" s="12"/>
      <c r="UH22" s="12"/>
      <c r="UI22" s="12"/>
      <c r="UJ22" s="12"/>
      <c r="UK22" s="12"/>
      <c r="UL22" s="12"/>
      <c r="UM22" s="12"/>
      <c r="UN22" s="12"/>
      <c r="UO22" s="12"/>
      <c r="UP22" s="12"/>
      <c r="UQ22" s="12"/>
      <c r="UR22" s="12"/>
      <c r="US22" s="12"/>
      <c r="UT22" s="12"/>
      <c r="UU22" s="12"/>
      <c r="UV22" s="12"/>
      <c r="UW22" s="12"/>
      <c r="UX22" s="12"/>
      <c r="UY22" s="12"/>
      <c r="UZ22" s="12"/>
      <c r="VA22" s="12"/>
      <c r="VB22" s="12"/>
      <c r="VC22" s="12"/>
      <c r="VD22" s="12"/>
      <c r="VE22" s="12"/>
      <c r="VF22" s="12"/>
      <c r="VG22" s="12"/>
      <c r="VH22" s="12"/>
      <c r="VI22" s="12"/>
      <c r="VJ22" s="12"/>
      <c r="VK22" s="12"/>
      <c r="VL22" s="12"/>
      <c r="VM22" s="12"/>
      <c r="VN22" s="12"/>
      <c r="VO22" s="12"/>
      <c r="VP22" s="12"/>
      <c r="VQ22" s="12"/>
      <c r="VR22" s="12"/>
      <c r="VS22" s="12"/>
      <c r="VT22" s="12"/>
      <c r="VU22" s="12"/>
      <c r="VV22" s="12"/>
      <c r="VW22" s="12"/>
      <c r="VX22" s="12"/>
      <c r="VY22" s="12"/>
      <c r="VZ22" s="12"/>
      <c r="WA22" s="12"/>
      <c r="WB22" s="12"/>
      <c r="WC22" s="12"/>
      <c r="WD22" s="12"/>
      <c r="WE22" s="12"/>
      <c r="WF22" s="12"/>
      <c r="WG22" s="12"/>
      <c r="WH22" s="12"/>
      <c r="WI22" s="12"/>
      <c r="WJ22" s="12"/>
      <c r="WK22" s="12"/>
      <c r="WL22" s="12"/>
      <c r="WM22" s="12"/>
      <c r="WN22" s="12"/>
      <c r="WO22" s="12"/>
      <c r="WP22" s="12"/>
      <c r="WQ22" s="12"/>
      <c r="WR22" s="12"/>
      <c r="WS22" s="12"/>
      <c r="WT22" s="12"/>
      <c r="WU22" s="12"/>
      <c r="WV22" s="12"/>
      <c r="WW22" s="12"/>
      <c r="WX22" s="12"/>
      <c r="WY22" s="12"/>
      <c r="WZ22" s="12"/>
      <c r="XA22" s="12"/>
      <c r="XB22" s="12"/>
      <c r="XC22" s="12"/>
      <c r="XD22" s="12"/>
      <c r="XE22" s="12"/>
      <c r="XF22" s="12"/>
      <c r="XG22" s="12"/>
      <c r="XH22" s="12"/>
      <c r="XI22" s="12"/>
      <c r="XJ22" s="12"/>
      <c r="XK22" s="12"/>
      <c r="XL22" s="12"/>
      <c r="XM22" s="12"/>
      <c r="XN22" s="12"/>
      <c r="XO22" s="12"/>
      <c r="XP22" s="12"/>
      <c r="XQ22" s="12"/>
      <c r="XR22" s="12"/>
      <c r="XS22" s="12"/>
      <c r="XT22" s="12"/>
      <c r="XU22" s="12"/>
      <c r="XV22" s="12"/>
      <c r="XW22" s="12"/>
      <c r="XX22" s="12"/>
      <c r="XY22" s="12"/>
      <c r="XZ22" s="12"/>
      <c r="YA22" s="12"/>
      <c r="YB22" s="12"/>
      <c r="YC22" s="12"/>
      <c r="YD22" s="12"/>
      <c r="YE22" s="12"/>
      <c r="YF22" s="12"/>
      <c r="YG22" s="12"/>
      <c r="YH22" s="12"/>
      <c r="YI22" s="12"/>
      <c r="YJ22" s="12"/>
      <c r="YK22" s="12"/>
      <c r="YL22" s="12"/>
      <c r="YM22" s="12"/>
      <c r="YN22" s="12"/>
      <c r="YO22" s="12"/>
      <c r="YP22" s="12"/>
      <c r="YQ22" s="12"/>
      <c r="YR22" s="12"/>
      <c r="YS22" s="12"/>
      <c r="YT22" s="12"/>
      <c r="YU22" s="12"/>
      <c r="YV22" s="12"/>
      <c r="YW22" s="12"/>
      <c r="YX22" s="12"/>
      <c r="YY22" s="12"/>
      <c r="YZ22" s="12"/>
      <c r="ZA22" s="12"/>
      <c r="ZB22" s="12"/>
      <c r="ZC22" s="12"/>
      <c r="ZD22" s="12"/>
      <c r="ZE22" s="12"/>
      <c r="ZF22" s="12"/>
      <c r="ZG22" s="12"/>
      <c r="ZH22" s="12"/>
      <c r="ZI22" s="12"/>
      <c r="ZJ22" s="12"/>
      <c r="ZK22" s="12"/>
      <c r="ZL22" s="12"/>
      <c r="ZM22" s="12"/>
      <c r="ZN22" s="12"/>
      <c r="ZO22" s="12"/>
      <c r="ZP22" s="12"/>
      <c r="ZQ22" s="12"/>
      <c r="ZR22" s="12"/>
      <c r="ZS22" s="12"/>
      <c r="ZT22" s="12"/>
      <c r="ZU22" s="12"/>
      <c r="ZV22" s="12"/>
      <c r="ZW22" s="12"/>
      <c r="ZX22" s="12"/>
      <c r="ZY22" s="12"/>
      <c r="ZZ22" s="12"/>
      <c r="AAA22" s="12"/>
      <c r="AAB22" s="12"/>
      <c r="AAC22" s="12"/>
      <c r="AAD22" s="12"/>
      <c r="AAE22" s="12"/>
      <c r="AAF22" s="12"/>
      <c r="AAG22" s="12"/>
      <c r="AAH22" s="12"/>
      <c r="AAI22" s="12"/>
      <c r="AAJ22" s="12"/>
      <c r="AAK22" s="12"/>
      <c r="AAL22" s="12"/>
      <c r="AAM22" s="12"/>
      <c r="AAN22" s="12"/>
      <c r="AAO22" s="12"/>
      <c r="AAP22" s="12"/>
      <c r="AAQ22" s="12"/>
      <c r="AAR22" s="12"/>
      <c r="AAS22" s="12"/>
      <c r="AAT22" s="12"/>
      <c r="AAU22" s="12"/>
      <c r="AAV22" s="12"/>
      <c r="AAW22" s="12"/>
      <c r="AAX22" s="12"/>
      <c r="AAY22" s="12"/>
      <c r="AAZ22" s="12"/>
      <c r="ABA22" s="12"/>
      <c r="ABB22" s="12"/>
      <c r="ABC22" s="12"/>
      <c r="ABD22" s="12"/>
      <c r="ABE22" s="12"/>
      <c r="ABF22" s="12"/>
      <c r="ABG22" s="12"/>
      <c r="ABH22" s="12"/>
      <c r="ABI22" s="12"/>
      <c r="ABJ22" s="12"/>
      <c r="ABK22" s="12"/>
      <c r="ABL22" s="12"/>
      <c r="ABM22" s="12"/>
      <c r="ABN22" s="12"/>
      <c r="ABO22" s="12"/>
      <c r="ABP22" s="12"/>
      <c r="ABQ22" s="12"/>
      <c r="ABR22" s="12"/>
      <c r="ABS22" s="12"/>
      <c r="ABT22" s="12"/>
      <c r="ABU22" s="12"/>
      <c r="ABV22" s="12"/>
      <c r="ABW22" s="12"/>
      <c r="ABX22" s="12"/>
      <c r="ABY22" s="12"/>
      <c r="ABZ22" s="12"/>
      <c r="ACA22" s="12"/>
      <c r="ACB22" s="12"/>
      <c r="ACC22" s="12"/>
      <c r="ACD22" s="12"/>
      <c r="ACE22" s="12"/>
      <c r="ACF22" s="12"/>
      <c r="ACG22" s="12"/>
      <c r="ACH22" s="12"/>
      <c r="ACI22" s="12"/>
      <c r="ACJ22" s="12"/>
      <c r="ACK22" s="12"/>
      <c r="ACL22" s="12"/>
      <c r="ACM22" s="12"/>
      <c r="ACN22" s="12"/>
      <c r="ACO22" s="12"/>
      <c r="ACP22" s="12"/>
      <c r="ACQ22" s="12"/>
      <c r="ACR22" s="12"/>
      <c r="ACS22" s="12"/>
      <c r="ACT22" s="12"/>
      <c r="ACU22" s="12"/>
      <c r="ACV22" s="12"/>
      <c r="ACW22" s="12"/>
      <c r="ACX22" s="12"/>
      <c r="ACY22" s="12"/>
      <c r="ACZ22" s="12"/>
      <c r="ADA22" s="12"/>
      <c r="ADB22" s="12"/>
      <c r="ADC22" s="12"/>
      <c r="ADD22" s="12"/>
      <c r="ADE22" s="12"/>
      <c r="ADF22" s="12"/>
      <c r="ADG22" s="12"/>
      <c r="ADH22" s="12"/>
      <c r="ADI22" s="12"/>
      <c r="ADJ22" s="12"/>
      <c r="ADK22" s="12"/>
      <c r="ADL22" s="12"/>
      <c r="ADM22" s="12"/>
      <c r="ADN22" s="12"/>
      <c r="ADO22" s="12"/>
      <c r="ADP22" s="12"/>
      <c r="ADQ22" s="12"/>
      <c r="ADR22" s="12"/>
      <c r="ADS22" s="12"/>
      <c r="ADT22" s="12"/>
      <c r="ADU22" s="12"/>
      <c r="ADV22" s="12"/>
      <c r="ADW22" s="12"/>
      <c r="ADX22" s="12"/>
      <c r="ADY22" s="12"/>
      <c r="ADZ22" s="12"/>
      <c r="AEA22" s="12"/>
      <c r="AEB22" s="12"/>
      <c r="AEC22" s="12"/>
      <c r="AED22" s="12"/>
      <c r="AEE22" s="12"/>
      <c r="AEF22" s="12"/>
      <c r="AEG22" s="12"/>
      <c r="AEH22" s="12"/>
      <c r="AEI22" s="12"/>
      <c r="AEJ22" s="12"/>
      <c r="AEK22" s="12"/>
      <c r="AEL22" s="12"/>
      <c r="AEM22" s="12"/>
      <c r="AEN22" s="12"/>
      <c r="AEO22" s="12"/>
      <c r="AEP22" s="12"/>
      <c r="AEQ22" s="12"/>
      <c r="AER22" s="12"/>
      <c r="AES22" s="12"/>
      <c r="AET22" s="12"/>
      <c r="AEU22" s="12"/>
      <c r="AEV22" s="12"/>
    </row>
    <row r="23" spans="1:828" s="27" customFormat="1" ht="18" x14ac:dyDescent="0.2">
      <c r="A23" s="28"/>
      <c r="B23" s="23"/>
      <c r="C23" s="23"/>
      <c r="D23" s="29"/>
      <c r="E23" s="23"/>
      <c r="F23" s="23"/>
      <c r="G23" s="23"/>
      <c r="H23" s="30"/>
      <c r="I23" s="23" t="s">
        <v>23</v>
      </c>
      <c r="J23" s="29">
        <v>1418</v>
      </c>
      <c r="K23" s="30"/>
      <c r="L23" s="23"/>
      <c r="M23" s="29"/>
      <c r="N23" s="12"/>
      <c r="O23" s="12"/>
      <c r="P23"/>
      <c r="Q23"/>
      <c r="R23"/>
      <c r="S23"/>
      <c r="T23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2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12"/>
      <c r="GI23" s="12"/>
      <c r="GJ23" s="12"/>
      <c r="GK23" s="12"/>
      <c r="GL23" s="12"/>
      <c r="GM23" s="12"/>
      <c r="GN23" s="12"/>
      <c r="GO23" s="12"/>
      <c r="GP23" s="12"/>
      <c r="GQ23" s="12"/>
      <c r="GR23" s="12"/>
      <c r="GS23" s="12"/>
      <c r="GT23" s="12"/>
      <c r="GU23" s="12"/>
      <c r="GV23" s="12"/>
      <c r="GW23" s="12"/>
      <c r="GX23" s="12"/>
      <c r="GY23" s="12"/>
      <c r="GZ23" s="12"/>
      <c r="HA23" s="12"/>
      <c r="HB23" s="12"/>
      <c r="HC23" s="12"/>
      <c r="HD23" s="12"/>
      <c r="HE23" s="12"/>
      <c r="HF23" s="12"/>
      <c r="HG23" s="12"/>
      <c r="HH23" s="12"/>
      <c r="HI23" s="12"/>
      <c r="HJ23" s="12"/>
      <c r="HK23" s="12"/>
      <c r="HL23" s="12"/>
      <c r="HM23" s="12"/>
      <c r="HN23" s="12"/>
      <c r="HO23" s="12"/>
      <c r="HP23" s="12"/>
      <c r="HQ23" s="12"/>
      <c r="HR23" s="12"/>
      <c r="HS23" s="12"/>
      <c r="HT23" s="12"/>
      <c r="HU23" s="12"/>
      <c r="HV23" s="12"/>
      <c r="HW23" s="12"/>
      <c r="HX23" s="12"/>
      <c r="HY23" s="12"/>
      <c r="HZ23" s="12"/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  <c r="IL23" s="12"/>
      <c r="IM23" s="12"/>
      <c r="IN23" s="12"/>
      <c r="IO23" s="12"/>
      <c r="IP23" s="12"/>
      <c r="IQ23" s="12"/>
      <c r="IR23" s="12"/>
      <c r="IS23" s="12"/>
      <c r="IT23" s="12"/>
      <c r="IU23" s="12"/>
      <c r="IV23" s="12"/>
      <c r="IW23" s="12"/>
      <c r="IX23" s="12"/>
      <c r="IY23" s="12"/>
      <c r="IZ23" s="12"/>
      <c r="JA23" s="12"/>
      <c r="JB23" s="12"/>
      <c r="JC23" s="12"/>
      <c r="JD23" s="12"/>
      <c r="JE23" s="12"/>
      <c r="JF23" s="12"/>
      <c r="JG23" s="12"/>
      <c r="JH23" s="12"/>
      <c r="JI23" s="12"/>
      <c r="JJ23" s="12"/>
      <c r="JK23" s="12"/>
      <c r="JL23" s="12"/>
      <c r="JM23" s="12"/>
      <c r="JN23" s="12"/>
      <c r="JO23" s="12"/>
      <c r="JP23" s="12"/>
      <c r="JQ23" s="12"/>
      <c r="JR23" s="12"/>
      <c r="JS23" s="12"/>
      <c r="JT23" s="12"/>
      <c r="JU23" s="12"/>
      <c r="JV23" s="12"/>
      <c r="JW23" s="12"/>
      <c r="JX23" s="12"/>
      <c r="JY23" s="12"/>
      <c r="JZ23" s="12"/>
      <c r="KA23" s="12"/>
      <c r="KB23" s="12"/>
      <c r="KC23" s="12"/>
      <c r="KD23" s="12"/>
      <c r="KE23" s="12"/>
      <c r="KF23" s="12"/>
      <c r="KG23" s="12"/>
      <c r="KH23" s="12"/>
      <c r="KI23" s="12"/>
      <c r="KJ23" s="12"/>
      <c r="KK23" s="12"/>
      <c r="KL23" s="12"/>
      <c r="KM23" s="12"/>
      <c r="KN23" s="12"/>
      <c r="KO23" s="12"/>
      <c r="KP23" s="12"/>
      <c r="KQ23" s="12"/>
      <c r="KR23" s="12"/>
      <c r="KS23" s="12"/>
      <c r="KT23" s="12"/>
      <c r="KU23" s="12"/>
      <c r="KV23" s="12"/>
      <c r="KW23" s="12"/>
      <c r="KX23" s="12"/>
      <c r="KY23" s="12"/>
      <c r="KZ23" s="12"/>
      <c r="LA23" s="12"/>
      <c r="LB23" s="12"/>
      <c r="LC23" s="12"/>
      <c r="LD23" s="12"/>
      <c r="LE23" s="12"/>
      <c r="LF23" s="12"/>
      <c r="LG23" s="12"/>
      <c r="LH23" s="12"/>
      <c r="LI23" s="12"/>
      <c r="LJ23" s="12"/>
      <c r="LK23" s="12"/>
      <c r="LL23" s="12"/>
      <c r="LM23" s="12"/>
      <c r="LN23" s="12"/>
      <c r="LO23" s="12"/>
      <c r="LP23" s="12"/>
      <c r="LQ23" s="12"/>
      <c r="LR23" s="12"/>
      <c r="LS23" s="12"/>
      <c r="LT23" s="12"/>
      <c r="LU23" s="12"/>
      <c r="LV23" s="12"/>
      <c r="LW23" s="12"/>
      <c r="LX23" s="12"/>
      <c r="LY23" s="12"/>
      <c r="LZ23" s="12"/>
      <c r="MA23" s="12"/>
      <c r="MB23" s="12"/>
      <c r="MC23" s="12"/>
      <c r="MD23" s="12"/>
      <c r="ME23" s="12"/>
      <c r="MF23" s="12"/>
      <c r="MG23" s="12"/>
      <c r="MH23" s="12"/>
      <c r="MI23" s="12"/>
      <c r="MJ23" s="12"/>
      <c r="MK23" s="12"/>
      <c r="ML23" s="12"/>
      <c r="MM23" s="12"/>
      <c r="MN23" s="12"/>
      <c r="MO23" s="12"/>
      <c r="MP23" s="12"/>
      <c r="MQ23" s="12"/>
      <c r="MR23" s="12"/>
      <c r="MS23" s="12"/>
      <c r="MT23" s="12"/>
      <c r="MU23" s="12"/>
      <c r="MV23" s="12"/>
      <c r="MW23" s="12"/>
      <c r="MX23" s="12"/>
      <c r="MY23" s="12"/>
      <c r="MZ23" s="12"/>
      <c r="NA23" s="12"/>
      <c r="NB23" s="12"/>
      <c r="NC23" s="12"/>
      <c r="ND23" s="12"/>
      <c r="NE23" s="12"/>
      <c r="NF23" s="12"/>
      <c r="NG23" s="12"/>
      <c r="NH23" s="12"/>
      <c r="NI23" s="12"/>
      <c r="NJ23" s="12"/>
      <c r="NK23" s="12"/>
      <c r="NL23" s="12"/>
      <c r="NM23" s="12"/>
      <c r="NN23" s="12"/>
      <c r="NO23" s="12"/>
      <c r="NP23" s="12"/>
      <c r="NQ23" s="12"/>
      <c r="NR23" s="12"/>
      <c r="NS23" s="12"/>
      <c r="NT23" s="12"/>
      <c r="NU23" s="12"/>
      <c r="NV23" s="12"/>
      <c r="NW23" s="12"/>
      <c r="NX23" s="12"/>
      <c r="NY23" s="12"/>
      <c r="NZ23" s="12"/>
      <c r="OA23" s="12"/>
      <c r="OB23" s="12"/>
      <c r="OC23" s="12"/>
      <c r="OD23" s="12"/>
      <c r="OE23" s="12"/>
      <c r="OF23" s="12"/>
      <c r="OG23" s="12"/>
      <c r="OH23" s="12"/>
      <c r="OI23" s="12"/>
      <c r="OJ23" s="12"/>
      <c r="OK23" s="12"/>
      <c r="OL23" s="12"/>
      <c r="OM23" s="12"/>
      <c r="ON23" s="12"/>
      <c r="OO23" s="12"/>
      <c r="OP23" s="12"/>
      <c r="OQ23" s="12"/>
      <c r="OR23" s="12"/>
      <c r="OS23" s="12"/>
      <c r="OT23" s="12"/>
      <c r="OU23" s="12"/>
      <c r="OV23" s="12"/>
      <c r="OW23" s="12"/>
      <c r="OX23" s="12"/>
      <c r="OY23" s="12"/>
      <c r="OZ23" s="12"/>
      <c r="PA23" s="12"/>
      <c r="PB23" s="12"/>
      <c r="PC23" s="12"/>
      <c r="PD23" s="12"/>
      <c r="PE23" s="12"/>
      <c r="PF23" s="12"/>
      <c r="PG23" s="12"/>
      <c r="PH23" s="12"/>
      <c r="PI23" s="12"/>
      <c r="PJ23" s="12"/>
      <c r="PK23" s="12"/>
      <c r="PL23" s="12"/>
      <c r="PM23" s="12"/>
      <c r="PN23" s="12"/>
      <c r="PO23" s="12"/>
      <c r="PP23" s="12"/>
      <c r="PQ23" s="12"/>
      <c r="PR23" s="12"/>
      <c r="PS23" s="12"/>
      <c r="PT23" s="12"/>
      <c r="PU23" s="12"/>
      <c r="PV23" s="12"/>
      <c r="PW23" s="12"/>
      <c r="PX23" s="12"/>
      <c r="PY23" s="12"/>
      <c r="PZ23" s="12"/>
      <c r="QA23" s="12"/>
      <c r="QB23" s="12"/>
      <c r="QC23" s="12"/>
      <c r="QD23" s="12"/>
      <c r="QE23" s="12"/>
      <c r="QF23" s="12"/>
      <c r="QG23" s="12"/>
      <c r="QH23" s="12"/>
      <c r="QI23" s="12"/>
      <c r="QJ23" s="12"/>
      <c r="QK23" s="12"/>
      <c r="QL23" s="12"/>
      <c r="QM23" s="12"/>
      <c r="QN23" s="12"/>
      <c r="QO23" s="12"/>
      <c r="QP23" s="12"/>
      <c r="QQ23" s="12"/>
      <c r="QR23" s="12"/>
      <c r="QS23" s="12"/>
      <c r="QT23" s="12"/>
      <c r="QU23" s="12"/>
      <c r="QV23" s="12"/>
      <c r="QW23" s="12"/>
      <c r="QX23" s="12"/>
      <c r="QY23" s="12"/>
      <c r="QZ23" s="12"/>
      <c r="RA23" s="12"/>
      <c r="RB23" s="12"/>
      <c r="RC23" s="12"/>
      <c r="RD23" s="12"/>
      <c r="RE23" s="12"/>
      <c r="RF23" s="12"/>
      <c r="RG23" s="12"/>
      <c r="RH23" s="12"/>
      <c r="RI23" s="12"/>
      <c r="RJ23" s="12"/>
      <c r="RK23" s="12"/>
      <c r="RL23" s="12"/>
      <c r="RM23" s="12"/>
      <c r="RN23" s="12"/>
      <c r="RO23" s="12"/>
      <c r="RP23" s="12"/>
      <c r="RQ23" s="12"/>
      <c r="RR23" s="12"/>
      <c r="RS23" s="12"/>
      <c r="RT23" s="12"/>
      <c r="RU23" s="12"/>
      <c r="RV23" s="12"/>
      <c r="RW23" s="12"/>
      <c r="RX23" s="12"/>
      <c r="RY23" s="12"/>
      <c r="RZ23" s="12"/>
      <c r="SA23" s="12"/>
      <c r="SB23" s="12"/>
      <c r="SC23" s="12"/>
      <c r="SD23" s="12"/>
      <c r="SE23" s="12"/>
      <c r="SF23" s="12"/>
      <c r="SG23" s="12"/>
      <c r="SH23" s="12"/>
      <c r="SI23" s="12"/>
      <c r="SJ23" s="12"/>
      <c r="SK23" s="12"/>
      <c r="SL23" s="12"/>
      <c r="SM23" s="12"/>
      <c r="SN23" s="12"/>
      <c r="SO23" s="12"/>
      <c r="SP23" s="12"/>
      <c r="SQ23" s="12"/>
      <c r="SR23" s="12"/>
      <c r="SS23" s="12"/>
      <c r="ST23" s="12"/>
      <c r="SU23" s="12"/>
      <c r="SV23" s="12"/>
      <c r="SW23" s="12"/>
      <c r="SX23" s="12"/>
      <c r="SY23" s="12"/>
      <c r="SZ23" s="12"/>
      <c r="TA23" s="12"/>
      <c r="TB23" s="12"/>
      <c r="TC23" s="12"/>
      <c r="TD23" s="12"/>
      <c r="TE23" s="12"/>
      <c r="TF23" s="12"/>
      <c r="TG23" s="12"/>
      <c r="TH23" s="12"/>
      <c r="TI23" s="12"/>
      <c r="TJ23" s="12"/>
      <c r="TK23" s="12"/>
      <c r="TL23" s="12"/>
      <c r="TM23" s="12"/>
      <c r="TN23" s="12"/>
      <c r="TO23" s="12"/>
      <c r="TP23" s="12"/>
      <c r="TQ23" s="12"/>
      <c r="TR23" s="12"/>
      <c r="TS23" s="12"/>
      <c r="TT23" s="12"/>
      <c r="TU23" s="12"/>
      <c r="TV23" s="12"/>
      <c r="TW23" s="12"/>
      <c r="TX23" s="12"/>
      <c r="TY23" s="12"/>
      <c r="TZ23" s="12"/>
      <c r="UA23" s="12"/>
      <c r="UB23" s="12"/>
      <c r="UC23" s="12"/>
      <c r="UD23" s="12"/>
      <c r="UE23" s="12"/>
      <c r="UF23" s="12"/>
      <c r="UG23" s="12"/>
      <c r="UH23" s="12"/>
      <c r="UI23" s="12"/>
      <c r="UJ23" s="12"/>
      <c r="UK23" s="12"/>
      <c r="UL23" s="12"/>
      <c r="UM23" s="12"/>
      <c r="UN23" s="12"/>
      <c r="UO23" s="12"/>
      <c r="UP23" s="12"/>
      <c r="UQ23" s="12"/>
      <c r="UR23" s="12"/>
      <c r="US23" s="12"/>
      <c r="UT23" s="12"/>
      <c r="UU23" s="12"/>
      <c r="UV23" s="12"/>
      <c r="UW23" s="12"/>
      <c r="UX23" s="12"/>
      <c r="UY23" s="12"/>
      <c r="UZ23" s="12"/>
      <c r="VA23" s="12"/>
      <c r="VB23" s="12"/>
      <c r="VC23" s="12"/>
      <c r="VD23" s="12"/>
      <c r="VE23" s="12"/>
      <c r="VF23" s="12"/>
      <c r="VG23" s="12"/>
      <c r="VH23" s="12"/>
      <c r="VI23" s="12"/>
      <c r="VJ23" s="12"/>
      <c r="VK23" s="12"/>
      <c r="VL23" s="12"/>
      <c r="VM23" s="12"/>
      <c r="VN23" s="12"/>
      <c r="VO23" s="12"/>
      <c r="VP23" s="12"/>
      <c r="VQ23" s="12"/>
      <c r="VR23" s="12"/>
      <c r="VS23" s="12"/>
      <c r="VT23" s="12"/>
      <c r="VU23" s="12"/>
      <c r="VV23" s="12"/>
      <c r="VW23" s="12"/>
      <c r="VX23" s="12"/>
      <c r="VY23" s="12"/>
      <c r="VZ23" s="12"/>
      <c r="WA23" s="12"/>
      <c r="WB23" s="12"/>
      <c r="WC23" s="12"/>
      <c r="WD23" s="12"/>
      <c r="WE23" s="12"/>
      <c r="WF23" s="12"/>
      <c r="WG23" s="12"/>
      <c r="WH23" s="12"/>
      <c r="WI23" s="12"/>
      <c r="WJ23" s="12"/>
      <c r="WK23" s="12"/>
      <c r="WL23" s="12"/>
      <c r="WM23" s="12"/>
      <c r="WN23" s="12"/>
      <c r="WO23" s="12"/>
      <c r="WP23" s="12"/>
      <c r="WQ23" s="12"/>
      <c r="WR23" s="12"/>
      <c r="WS23" s="12"/>
      <c r="WT23" s="12"/>
      <c r="WU23" s="12"/>
      <c r="WV23" s="12"/>
      <c r="WW23" s="12"/>
      <c r="WX23" s="12"/>
      <c r="WY23" s="12"/>
      <c r="WZ23" s="12"/>
      <c r="XA23" s="12"/>
      <c r="XB23" s="12"/>
      <c r="XC23" s="12"/>
      <c r="XD23" s="12"/>
      <c r="XE23" s="12"/>
      <c r="XF23" s="12"/>
      <c r="XG23" s="12"/>
      <c r="XH23" s="12"/>
      <c r="XI23" s="12"/>
      <c r="XJ23" s="12"/>
      <c r="XK23" s="12"/>
      <c r="XL23" s="12"/>
      <c r="XM23" s="12"/>
      <c r="XN23" s="12"/>
      <c r="XO23" s="12"/>
      <c r="XP23" s="12"/>
      <c r="XQ23" s="12"/>
      <c r="XR23" s="12"/>
      <c r="XS23" s="12"/>
      <c r="XT23" s="12"/>
      <c r="XU23" s="12"/>
      <c r="XV23" s="12"/>
      <c r="XW23" s="12"/>
      <c r="XX23" s="12"/>
      <c r="XY23" s="12"/>
      <c r="XZ23" s="12"/>
      <c r="YA23" s="12"/>
      <c r="YB23" s="12"/>
      <c r="YC23" s="12"/>
      <c r="YD23" s="12"/>
      <c r="YE23" s="12"/>
      <c r="YF23" s="12"/>
      <c r="YG23" s="12"/>
      <c r="YH23" s="12"/>
      <c r="YI23" s="12"/>
      <c r="YJ23" s="12"/>
      <c r="YK23" s="12"/>
      <c r="YL23" s="12"/>
      <c r="YM23" s="12"/>
      <c r="YN23" s="12"/>
      <c r="YO23" s="12"/>
      <c r="YP23" s="12"/>
      <c r="YQ23" s="12"/>
      <c r="YR23" s="12"/>
      <c r="YS23" s="12"/>
      <c r="YT23" s="12"/>
      <c r="YU23" s="12"/>
      <c r="YV23" s="12"/>
      <c r="YW23" s="12"/>
      <c r="YX23" s="12"/>
      <c r="YY23" s="12"/>
      <c r="YZ23" s="12"/>
      <c r="ZA23" s="12"/>
      <c r="ZB23" s="12"/>
      <c r="ZC23" s="12"/>
      <c r="ZD23" s="12"/>
      <c r="ZE23" s="12"/>
      <c r="ZF23" s="12"/>
      <c r="ZG23" s="12"/>
      <c r="ZH23" s="12"/>
      <c r="ZI23" s="12"/>
      <c r="ZJ23" s="12"/>
      <c r="ZK23" s="12"/>
      <c r="ZL23" s="12"/>
      <c r="ZM23" s="12"/>
      <c r="ZN23" s="12"/>
      <c r="ZO23" s="12"/>
      <c r="ZP23" s="12"/>
      <c r="ZQ23" s="12"/>
      <c r="ZR23" s="12"/>
      <c r="ZS23" s="12"/>
      <c r="ZT23" s="12"/>
      <c r="ZU23" s="12"/>
      <c r="ZV23" s="12"/>
      <c r="ZW23" s="12"/>
      <c r="ZX23" s="12"/>
      <c r="ZY23" s="12"/>
      <c r="ZZ23" s="12"/>
      <c r="AAA23" s="12"/>
      <c r="AAB23" s="12"/>
      <c r="AAC23" s="12"/>
      <c r="AAD23" s="12"/>
      <c r="AAE23" s="12"/>
      <c r="AAF23" s="12"/>
      <c r="AAG23" s="12"/>
      <c r="AAH23" s="12"/>
      <c r="AAI23" s="12"/>
      <c r="AAJ23" s="12"/>
      <c r="AAK23" s="12"/>
      <c r="AAL23" s="12"/>
      <c r="AAM23" s="12"/>
      <c r="AAN23" s="12"/>
      <c r="AAO23" s="12"/>
      <c r="AAP23" s="12"/>
      <c r="AAQ23" s="12"/>
      <c r="AAR23" s="12"/>
      <c r="AAS23" s="12"/>
      <c r="AAT23" s="12"/>
      <c r="AAU23" s="12"/>
      <c r="AAV23" s="12"/>
      <c r="AAW23" s="12"/>
      <c r="AAX23" s="12"/>
      <c r="AAY23" s="12"/>
      <c r="AAZ23" s="12"/>
      <c r="ABA23" s="12"/>
      <c r="ABB23" s="12"/>
      <c r="ABC23" s="12"/>
      <c r="ABD23" s="12"/>
      <c r="ABE23" s="12"/>
      <c r="ABF23" s="12"/>
      <c r="ABG23" s="12"/>
      <c r="ABH23" s="12"/>
      <c r="ABI23" s="12"/>
      <c r="ABJ23" s="12"/>
      <c r="ABK23" s="12"/>
      <c r="ABL23" s="12"/>
      <c r="ABM23" s="12"/>
      <c r="ABN23" s="12"/>
      <c r="ABO23" s="12"/>
      <c r="ABP23" s="12"/>
      <c r="ABQ23" s="12"/>
      <c r="ABR23" s="12"/>
      <c r="ABS23" s="12"/>
      <c r="ABT23" s="12"/>
      <c r="ABU23" s="12"/>
      <c r="ABV23" s="12"/>
      <c r="ABW23" s="12"/>
      <c r="ABX23" s="12"/>
      <c r="ABY23" s="12"/>
      <c r="ABZ23" s="12"/>
      <c r="ACA23" s="12"/>
      <c r="ACB23" s="12"/>
      <c r="ACC23" s="12"/>
      <c r="ACD23" s="12"/>
      <c r="ACE23" s="12"/>
      <c r="ACF23" s="12"/>
      <c r="ACG23" s="12"/>
      <c r="ACH23" s="12"/>
      <c r="ACI23" s="12"/>
      <c r="ACJ23" s="12"/>
      <c r="ACK23" s="12"/>
      <c r="ACL23" s="12"/>
      <c r="ACM23" s="12"/>
      <c r="ACN23" s="12"/>
      <c r="ACO23" s="12"/>
      <c r="ACP23" s="12"/>
      <c r="ACQ23" s="12"/>
      <c r="ACR23" s="12"/>
      <c r="ACS23" s="12"/>
      <c r="ACT23" s="12"/>
      <c r="ACU23" s="12"/>
      <c r="ACV23" s="12"/>
      <c r="ACW23" s="12"/>
      <c r="ACX23" s="12"/>
      <c r="ACY23" s="12"/>
      <c r="ACZ23" s="12"/>
      <c r="ADA23" s="12"/>
      <c r="ADB23" s="12"/>
      <c r="ADC23" s="12"/>
      <c r="ADD23" s="12"/>
      <c r="ADE23" s="12"/>
      <c r="ADF23" s="12"/>
      <c r="ADG23" s="12"/>
      <c r="ADH23" s="12"/>
      <c r="ADI23" s="12"/>
      <c r="ADJ23" s="12"/>
      <c r="ADK23" s="12"/>
      <c r="ADL23" s="12"/>
      <c r="ADM23" s="12"/>
      <c r="ADN23" s="12"/>
      <c r="ADO23" s="12"/>
      <c r="ADP23" s="12"/>
      <c r="ADQ23" s="12"/>
      <c r="ADR23" s="12"/>
      <c r="ADS23" s="12"/>
      <c r="ADT23" s="12"/>
      <c r="ADU23" s="12"/>
      <c r="ADV23" s="12"/>
      <c r="ADW23" s="12"/>
      <c r="ADX23" s="12"/>
      <c r="ADY23" s="12"/>
      <c r="ADZ23" s="12"/>
      <c r="AEA23" s="12"/>
      <c r="AEB23" s="12"/>
      <c r="AEC23" s="12"/>
      <c r="AED23" s="12"/>
      <c r="AEE23" s="12"/>
      <c r="AEF23" s="12"/>
      <c r="AEG23" s="12"/>
      <c r="AEH23" s="12"/>
      <c r="AEI23" s="12"/>
      <c r="AEJ23" s="12"/>
      <c r="AEK23" s="12"/>
      <c r="AEL23" s="12"/>
      <c r="AEM23" s="12"/>
      <c r="AEN23" s="12"/>
      <c r="AEO23" s="12"/>
      <c r="AEP23" s="12"/>
      <c r="AEQ23" s="12"/>
      <c r="AER23" s="12"/>
      <c r="AES23" s="12"/>
      <c r="AET23" s="12"/>
      <c r="AEU23" s="12"/>
      <c r="AEV23" s="12"/>
    </row>
    <row r="24" spans="1:828" s="27" customFormat="1" ht="18" x14ac:dyDescent="0.2">
      <c r="A24" s="28"/>
      <c r="B24" s="23"/>
      <c r="C24" s="23"/>
      <c r="D24" s="29"/>
      <c r="E24" s="23"/>
      <c r="F24" s="23"/>
      <c r="G24" s="23"/>
      <c r="H24" s="30"/>
      <c r="I24" s="23"/>
      <c r="J24" s="29"/>
      <c r="K24" s="30"/>
      <c r="L24" s="23"/>
      <c r="M24" s="29"/>
      <c r="N24" s="12"/>
      <c r="O24" s="12"/>
      <c r="P24"/>
      <c r="Q24"/>
      <c r="R24"/>
      <c r="S24"/>
      <c r="T24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  <c r="LT24" s="12"/>
      <c r="LU24" s="12"/>
      <c r="LV24" s="12"/>
      <c r="LW24" s="12"/>
      <c r="LX24" s="12"/>
      <c r="LY24" s="12"/>
      <c r="LZ24" s="12"/>
      <c r="MA24" s="12"/>
      <c r="MB24" s="12"/>
      <c r="MC24" s="12"/>
      <c r="MD24" s="12"/>
      <c r="ME24" s="12"/>
      <c r="MF24" s="12"/>
      <c r="MG24" s="12"/>
      <c r="MH24" s="12"/>
      <c r="MI24" s="12"/>
      <c r="MJ24" s="12"/>
      <c r="MK24" s="12"/>
      <c r="ML24" s="12"/>
      <c r="MM24" s="12"/>
      <c r="MN24" s="12"/>
      <c r="MO24" s="12"/>
      <c r="MP24" s="12"/>
      <c r="MQ24" s="12"/>
      <c r="MR24" s="12"/>
      <c r="MS24" s="12"/>
      <c r="MT24" s="12"/>
      <c r="MU24" s="12"/>
      <c r="MV24" s="12"/>
      <c r="MW24" s="12"/>
      <c r="MX24" s="12"/>
      <c r="MY24" s="12"/>
      <c r="MZ24" s="12"/>
      <c r="NA24" s="12"/>
      <c r="NB24" s="12"/>
      <c r="NC24" s="12"/>
      <c r="ND24" s="12"/>
      <c r="NE24" s="12"/>
      <c r="NF24" s="12"/>
      <c r="NG24" s="12"/>
      <c r="NH24" s="12"/>
      <c r="NI24" s="12"/>
      <c r="NJ24" s="12"/>
      <c r="NK24" s="12"/>
      <c r="NL24" s="12"/>
      <c r="NM24" s="12"/>
      <c r="NN24" s="12"/>
      <c r="NO24" s="12"/>
      <c r="NP24" s="12"/>
      <c r="NQ24" s="12"/>
      <c r="NR24" s="12"/>
      <c r="NS24" s="12"/>
      <c r="NT24" s="12"/>
      <c r="NU24" s="12"/>
      <c r="NV24" s="12"/>
      <c r="NW24" s="12"/>
      <c r="NX24" s="12"/>
      <c r="NY24" s="12"/>
      <c r="NZ24" s="12"/>
      <c r="OA24" s="12"/>
      <c r="OB24" s="12"/>
      <c r="OC24" s="12"/>
      <c r="OD24" s="12"/>
      <c r="OE24" s="12"/>
      <c r="OF24" s="12"/>
      <c r="OG24" s="12"/>
      <c r="OH24" s="12"/>
      <c r="OI24" s="12"/>
      <c r="OJ24" s="12"/>
      <c r="OK24" s="12"/>
      <c r="OL24" s="12"/>
      <c r="OM24" s="12"/>
      <c r="ON24" s="12"/>
      <c r="OO24" s="12"/>
      <c r="OP24" s="12"/>
      <c r="OQ24" s="12"/>
      <c r="OR24" s="12"/>
      <c r="OS24" s="12"/>
      <c r="OT24" s="12"/>
      <c r="OU24" s="12"/>
      <c r="OV24" s="12"/>
      <c r="OW24" s="12"/>
      <c r="OX24" s="12"/>
      <c r="OY24" s="12"/>
      <c r="OZ24" s="12"/>
      <c r="PA24" s="12"/>
      <c r="PB24" s="12"/>
      <c r="PC24" s="12"/>
      <c r="PD24" s="12"/>
      <c r="PE24" s="12"/>
      <c r="PF24" s="12"/>
      <c r="PG24" s="12"/>
      <c r="PH24" s="12"/>
      <c r="PI24" s="12"/>
      <c r="PJ24" s="12"/>
      <c r="PK24" s="12"/>
      <c r="PL24" s="12"/>
      <c r="PM24" s="12"/>
      <c r="PN24" s="12"/>
      <c r="PO24" s="12"/>
      <c r="PP24" s="12"/>
      <c r="PQ24" s="12"/>
      <c r="PR24" s="12"/>
      <c r="PS24" s="12"/>
      <c r="PT24" s="12"/>
      <c r="PU24" s="12"/>
      <c r="PV24" s="12"/>
      <c r="PW24" s="12"/>
      <c r="PX24" s="12"/>
      <c r="PY24" s="12"/>
      <c r="PZ24" s="12"/>
      <c r="QA24" s="12"/>
      <c r="QB24" s="12"/>
      <c r="QC24" s="12"/>
      <c r="QD24" s="12"/>
      <c r="QE24" s="12"/>
      <c r="QF24" s="12"/>
      <c r="QG24" s="12"/>
      <c r="QH24" s="12"/>
      <c r="QI24" s="12"/>
      <c r="QJ24" s="12"/>
      <c r="QK24" s="12"/>
      <c r="QL24" s="12"/>
      <c r="QM24" s="12"/>
      <c r="QN24" s="12"/>
      <c r="QO24" s="12"/>
      <c r="QP24" s="12"/>
      <c r="QQ24" s="12"/>
      <c r="QR24" s="12"/>
      <c r="QS24" s="12"/>
      <c r="QT24" s="12"/>
      <c r="QU24" s="12"/>
      <c r="QV24" s="12"/>
      <c r="QW24" s="12"/>
      <c r="QX24" s="12"/>
      <c r="QY24" s="12"/>
      <c r="QZ24" s="12"/>
      <c r="RA24" s="12"/>
      <c r="RB24" s="12"/>
      <c r="RC24" s="12"/>
      <c r="RD24" s="12"/>
      <c r="RE24" s="12"/>
      <c r="RF24" s="12"/>
      <c r="RG24" s="12"/>
      <c r="RH24" s="12"/>
      <c r="RI24" s="12"/>
      <c r="RJ24" s="12"/>
      <c r="RK24" s="12"/>
      <c r="RL24" s="12"/>
      <c r="RM24" s="12"/>
      <c r="RN24" s="12"/>
      <c r="RO24" s="12"/>
      <c r="RP24" s="12"/>
      <c r="RQ24" s="12"/>
      <c r="RR24" s="12"/>
      <c r="RS24" s="12"/>
      <c r="RT24" s="12"/>
      <c r="RU24" s="12"/>
      <c r="RV24" s="12"/>
      <c r="RW24" s="12"/>
      <c r="RX24" s="12"/>
      <c r="RY24" s="12"/>
      <c r="RZ24" s="12"/>
      <c r="SA24" s="12"/>
      <c r="SB24" s="12"/>
      <c r="SC24" s="12"/>
      <c r="SD24" s="12"/>
      <c r="SE24" s="12"/>
      <c r="SF24" s="12"/>
      <c r="SG24" s="12"/>
      <c r="SH24" s="12"/>
      <c r="SI24" s="12"/>
      <c r="SJ24" s="12"/>
      <c r="SK24" s="12"/>
      <c r="SL24" s="12"/>
      <c r="SM24" s="12"/>
      <c r="SN24" s="12"/>
      <c r="SO24" s="12"/>
      <c r="SP24" s="12"/>
      <c r="SQ24" s="12"/>
      <c r="SR24" s="12"/>
      <c r="SS24" s="12"/>
      <c r="ST24" s="12"/>
      <c r="SU24" s="12"/>
      <c r="SV24" s="12"/>
      <c r="SW24" s="12"/>
      <c r="SX24" s="12"/>
      <c r="SY24" s="12"/>
      <c r="SZ24" s="12"/>
      <c r="TA24" s="12"/>
      <c r="TB24" s="12"/>
      <c r="TC24" s="12"/>
      <c r="TD24" s="12"/>
      <c r="TE24" s="12"/>
      <c r="TF24" s="12"/>
      <c r="TG24" s="12"/>
      <c r="TH24" s="12"/>
      <c r="TI24" s="12"/>
      <c r="TJ24" s="12"/>
      <c r="TK24" s="12"/>
      <c r="TL24" s="12"/>
      <c r="TM24" s="12"/>
      <c r="TN24" s="12"/>
      <c r="TO24" s="12"/>
      <c r="TP24" s="12"/>
      <c r="TQ24" s="12"/>
      <c r="TR24" s="12"/>
      <c r="TS24" s="12"/>
      <c r="TT24" s="12"/>
      <c r="TU24" s="12"/>
      <c r="TV24" s="12"/>
      <c r="TW24" s="12"/>
      <c r="TX24" s="12"/>
      <c r="TY24" s="12"/>
      <c r="TZ24" s="12"/>
      <c r="UA24" s="12"/>
      <c r="UB24" s="12"/>
      <c r="UC24" s="12"/>
      <c r="UD24" s="12"/>
      <c r="UE24" s="12"/>
      <c r="UF24" s="12"/>
      <c r="UG24" s="12"/>
      <c r="UH24" s="12"/>
      <c r="UI24" s="12"/>
      <c r="UJ24" s="12"/>
      <c r="UK24" s="12"/>
      <c r="UL24" s="12"/>
      <c r="UM24" s="12"/>
      <c r="UN24" s="12"/>
      <c r="UO24" s="12"/>
      <c r="UP24" s="12"/>
      <c r="UQ24" s="12"/>
      <c r="UR24" s="12"/>
      <c r="US24" s="12"/>
      <c r="UT24" s="12"/>
      <c r="UU24" s="12"/>
      <c r="UV24" s="12"/>
      <c r="UW24" s="12"/>
      <c r="UX24" s="12"/>
      <c r="UY24" s="12"/>
      <c r="UZ24" s="12"/>
      <c r="VA24" s="12"/>
      <c r="VB24" s="12"/>
      <c r="VC24" s="12"/>
      <c r="VD24" s="12"/>
      <c r="VE24" s="12"/>
      <c r="VF24" s="12"/>
      <c r="VG24" s="12"/>
      <c r="VH24" s="12"/>
      <c r="VI24" s="12"/>
      <c r="VJ24" s="12"/>
      <c r="VK24" s="12"/>
      <c r="VL24" s="12"/>
      <c r="VM24" s="12"/>
      <c r="VN24" s="12"/>
      <c r="VO24" s="12"/>
      <c r="VP24" s="12"/>
      <c r="VQ24" s="12"/>
      <c r="VR24" s="12"/>
      <c r="VS24" s="12"/>
      <c r="VT24" s="12"/>
      <c r="VU24" s="12"/>
      <c r="VV24" s="12"/>
      <c r="VW24" s="12"/>
      <c r="VX24" s="12"/>
      <c r="VY24" s="12"/>
      <c r="VZ24" s="12"/>
      <c r="WA24" s="12"/>
      <c r="WB24" s="12"/>
      <c r="WC24" s="12"/>
      <c r="WD24" s="12"/>
      <c r="WE24" s="12"/>
      <c r="WF24" s="12"/>
      <c r="WG24" s="12"/>
      <c r="WH24" s="12"/>
      <c r="WI24" s="12"/>
      <c r="WJ24" s="12"/>
      <c r="WK24" s="12"/>
      <c r="WL24" s="12"/>
      <c r="WM24" s="12"/>
      <c r="WN24" s="12"/>
      <c r="WO24" s="12"/>
      <c r="WP24" s="12"/>
      <c r="WQ24" s="12"/>
      <c r="WR24" s="12"/>
      <c r="WS24" s="12"/>
      <c r="WT24" s="12"/>
      <c r="WU24" s="12"/>
      <c r="WV24" s="12"/>
      <c r="WW24" s="12"/>
      <c r="WX24" s="12"/>
      <c r="WY24" s="12"/>
      <c r="WZ24" s="12"/>
      <c r="XA24" s="12"/>
      <c r="XB24" s="12"/>
      <c r="XC24" s="12"/>
      <c r="XD24" s="12"/>
      <c r="XE24" s="12"/>
      <c r="XF24" s="12"/>
      <c r="XG24" s="12"/>
      <c r="XH24" s="12"/>
      <c r="XI24" s="12"/>
      <c r="XJ24" s="12"/>
      <c r="XK24" s="12"/>
      <c r="XL24" s="12"/>
      <c r="XM24" s="12"/>
      <c r="XN24" s="12"/>
      <c r="XO24" s="12"/>
      <c r="XP24" s="12"/>
      <c r="XQ24" s="12"/>
      <c r="XR24" s="12"/>
      <c r="XS24" s="12"/>
      <c r="XT24" s="12"/>
      <c r="XU24" s="12"/>
      <c r="XV24" s="12"/>
      <c r="XW24" s="12"/>
      <c r="XX24" s="12"/>
      <c r="XY24" s="12"/>
      <c r="XZ24" s="12"/>
      <c r="YA24" s="12"/>
      <c r="YB24" s="12"/>
      <c r="YC24" s="12"/>
      <c r="YD24" s="12"/>
      <c r="YE24" s="12"/>
      <c r="YF24" s="12"/>
      <c r="YG24" s="12"/>
      <c r="YH24" s="12"/>
      <c r="YI24" s="12"/>
      <c r="YJ24" s="12"/>
      <c r="YK24" s="12"/>
      <c r="YL24" s="12"/>
      <c r="YM24" s="12"/>
      <c r="YN24" s="12"/>
      <c r="YO24" s="12"/>
      <c r="YP24" s="12"/>
      <c r="YQ24" s="12"/>
      <c r="YR24" s="12"/>
      <c r="YS24" s="12"/>
      <c r="YT24" s="12"/>
      <c r="YU24" s="12"/>
      <c r="YV24" s="12"/>
      <c r="YW24" s="12"/>
      <c r="YX24" s="12"/>
      <c r="YY24" s="12"/>
      <c r="YZ24" s="12"/>
      <c r="ZA24" s="12"/>
      <c r="ZB24" s="12"/>
      <c r="ZC24" s="12"/>
      <c r="ZD24" s="12"/>
      <c r="ZE24" s="12"/>
      <c r="ZF24" s="12"/>
      <c r="ZG24" s="12"/>
      <c r="ZH24" s="12"/>
      <c r="ZI24" s="12"/>
      <c r="ZJ24" s="12"/>
      <c r="ZK24" s="12"/>
      <c r="ZL24" s="12"/>
      <c r="ZM24" s="12"/>
      <c r="ZN24" s="12"/>
      <c r="ZO24" s="12"/>
      <c r="ZP24" s="12"/>
      <c r="ZQ24" s="12"/>
      <c r="ZR24" s="12"/>
      <c r="ZS24" s="12"/>
      <c r="ZT24" s="12"/>
      <c r="ZU24" s="12"/>
      <c r="ZV24" s="12"/>
      <c r="ZW24" s="12"/>
      <c r="ZX24" s="12"/>
      <c r="ZY24" s="12"/>
      <c r="ZZ24" s="12"/>
      <c r="AAA24" s="12"/>
      <c r="AAB24" s="12"/>
      <c r="AAC24" s="12"/>
      <c r="AAD24" s="12"/>
      <c r="AAE24" s="12"/>
      <c r="AAF24" s="12"/>
      <c r="AAG24" s="12"/>
      <c r="AAH24" s="12"/>
      <c r="AAI24" s="12"/>
      <c r="AAJ24" s="12"/>
      <c r="AAK24" s="12"/>
      <c r="AAL24" s="12"/>
      <c r="AAM24" s="12"/>
      <c r="AAN24" s="12"/>
      <c r="AAO24" s="12"/>
      <c r="AAP24" s="12"/>
      <c r="AAQ24" s="12"/>
      <c r="AAR24" s="12"/>
      <c r="AAS24" s="12"/>
      <c r="AAT24" s="12"/>
      <c r="AAU24" s="12"/>
      <c r="AAV24" s="12"/>
      <c r="AAW24" s="12"/>
      <c r="AAX24" s="12"/>
      <c r="AAY24" s="12"/>
      <c r="AAZ24" s="12"/>
      <c r="ABA24" s="12"/>
      <c r="ABB24" s="12"/>
      <c r="ABC24" s="12"/>
      <c r="ABD24" s="12"/>
      <c r="ABE24" s="12"/>
      <c r="ABF24" s="12"/>
      <c r="ABG24" s="12"/>
      <c r="ABH24" s="12"/>
      <c r="ABI24" s="12"/>
      <c r="ABJ24" s="12"/>
      <c r="ABK24" s="12"/>
      <c r="ABL24" s="12"/>
      <c r="ABM24" s="12"/>
      <c r="ABN24" s="12"/>
      <c r="ABO24" s="12"/>
      <c r="ABP24" s="12"/>
      <c r="ABQ24" s="12"/>
      <c r="ABR24" s="12"/>
      <c r="ABS24" s="12"/>
      <c r="ABT24" s="12"/>
      <c r="ABU24" s="12"/>
      <c r="ABV24" s="12"/>
      <c r="ABW24" s="12"/>
      <c r="ABX24" s="12"/>
      <c r="ABY24" s="12"/>
      <c r="ABZ24" s="12"/>
      <c r="ACA24" s="12"/>
      <c r="ACB24" s="12"/>
      <c r="ACC24" s="12"/>
      <c r="ACD24" s="12"/>
      <c r="ACE24" s="12"/>
      <c r="ACF24" s="12"/>
      <c r="ACG24" s="12"/>
      <c r="ACH24" s="12"/>
      <c r="ACI24" s="12"/>
      <c r="ACJ24" s="12"/>
      <c r="ACK24" s="12"/>
      <c r="ACL24" s="12"/>
      <c r="ACM24" s="12"/>
      <c r="ACN24" s="12"/>
      <c r="ACO24" s="12"/>
      <c r="ACP24" s="12"/>
      <c r="ACQ24" s="12"/>
      <c r="ACR24" s="12"/>
      <c r="ACS24" s="12"/>
      <c r="ACT24" s="12"/>
      <c r="ACU24" s="12"/>
      <c r="ACV24" s="12"/>
      <c r="ACW24" s="12"/>
      <c r="ACX24" s="12"/>
      <c r="ACY24" s="12"/>
      <c r="ACZ24" s="12"/>
      <c r="ADA24" s="12"/>
      <c r="ADB24" s="12"/>
      <c r="ADC24" s="12"/>
      <c r="ADD24" s="12"/>
      <c r="ADE24" s="12"/>
      <c r="ADF24" s="12"/>
      <c r="ADG24" s="12"/>
      <c r="ADH24" s="12"/>
      <c r="ADI24" s="12"/>
      <c r="ADJ24" s="12"/>
      <c r="ADK24" s="12"/>
      <c r="ADL24" s="12"/>
      <c r="ADM24" s="12"/>
      <c r="ADN24" s="12"/>
      <c r="ADO24" s="12"/>
      <c r="ADP24" s="12"/>
      <c r="ADQ24" s="12"/>
      <c r="ADR24" s="12"/>
      <c r="ADS24" s="12"/>
      <c r="ADT24" s="12"/>
      <c r="ADU24" s="12"/>
      <c r="ADV24" s="12"/>
      <c r="ADW24" s="12"/>
      <c r="ADX24" s="12"/>
      <c r="ADY24" s="12"/>
      <c r="ADZ24" s="12"/>
      <c r="AEA24" s="12"/>
      <c r="AEB24" s="12"/>
      <c r="AEC24" s="12"/>
      <c r="AED24" s="12"/>
      <c r="AEE24" s="12"/>
      <c r="AEF24" s="12"/>
      <c r="AEG24" s="12"/>
      <c r="AEH24" s="12"/>
      <c r="AEI24" s="12"/>
      <c r="AEJ24" s="12"/>
      <c r="AEK24" s="12"/>
      <c r="AEL24" s="12"/>
      <c r="AEM24" s="12"/>
      <c r="AEN24" s="12"/>
      <c r="AEO24" s="12"/>
      <c r="AEP24" s="12"/>
      <c r="AEQ24" s="12"/>
      <c r="AER24" s="12"/>
      <c r="AES24" s="12"/>
      <c r="AET24" s="12"/>
      <c r="AEU24" s="12"/>
      <c r="AEV24" s="12"/>
    </row>
    <row r="25" spans="1:828" s="27" customFormat="1" ht="18" x14ac:dyDescent="0.2">
      <c r="A25" s="28"/>
      <c r="B25" s="23"/>
      <c r="C25" s="23"/>
      <c r="D25" s="29"/>
      <c r="E25" s="23"/>
      <c r="F25" s="23"/>
      <c r="G25" s="23"/>
      <c r="H25" s="30"/>
      <c r="I25" s="23"/>
      <c r="J25" s="29"/>
      <c r="K25" s="30"/>
      <c r="L25" s="23"/>
      <c r="M25" s="29"/>
      <c r="N25" s="12"/>
      <c r="O25" s="12"/>
      <c r="P25"/>
      <c r="Q25"/>
      <c r="R25"/>
      <c r="S25"/>
      <c r="T25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2"/>
      <c r="FJ25" s="12"/>
      <c r="FK25" s="12"/>
      <c r="FL25" s="12"/>
      <c r="FM25" s="12"/>
      <c r="FN25" s="12"/>
      <c r="FO25" s="12"/>
      <c r="FP25" s="12"/>
      <c r="FQ25" s="12"/>
      <c r="FR25" s="12"/>
      <c r="FS25" s="12"/>
      <c r="FT25" s="12"/>
      <c r="FU25" s="12"/>
      <c r="FV25" s="12"/>
      <c r="FW25" s="12"/>
      <c r="FX25" s="12"/>
      <c r="FY25" s="12"/>
      <c r="FZ25" s="12"/>
      <c r="GA25" s="12"/>
      <c r="GB25" s="12"/>
      <c r="GC25" s="12"/>
      <c r="GD25" s="12"/>
      <c r="GE25" s="12"/>
      <c r="GF25" s="12"/>
      <c r="GG25" s="12"/>
      <c r="GH25" s="12"/>
      <c r="GI25" s="12"/>
      <c r="GJ25" s="12"/>
      <c r="GK25" s="12"/>
      <c r="GL25" s="12"/>
      <c r="GM25" s="12"/>
      <c r="GN25" s="12"/>
      <c r="GO25" s="12"/>
      <c r="GP25" s="12"/>
      <c r="GQ25" s="12"/>
      <c r="GR25" s="12"/>
      <c r="GS25" s="12"/>
      <c r="GT25" s="12"/>
      <c r="GU25" s="12"/>
      <c r="GV25" s="12"/>
      <c r="GW25" s="12"/>
      <c r="GX25" s="12"/>
      <c r="GY25" s="12"/>
      <c r="GZ25" s="12"/>
      <c r="HA25" s="12"/>
      <c r="HB25" s="12"/>
      <c r="HC25" s="12"/>
      <c r="HD25" s="12"/>
      <c r="HE25" s="12"/>
      <c r="HF25" s="12"/>
      <c r="HG25" s="12"/>
      <c r="HH25" s="12"/>
      <c r="HI25" s="12"/>
      <c r="HJ25" s="12"/>
      <c r="HK25" s="12"/>
      <c r="HL25" s="12"/>
      <c r="HM25" s="12"/>
      <c r="HN25" s="12"/>
      <c r="HO25" s="12"/>
      <c r="HP25" s="12"/>
      <c r="HQ25" s="12"/>
      <c r="HR25" s="12"/>
      <c r="HS25" s="12"/>
      <c r="HT25" s="12"/>
      <c r="HU25" s="12"/>
      <c r="HV25" s="12"/>
      <c r="HW25" s="12"/>
      <c r="HX25" s="12"/>
      <c r="HY25" s="12"/>
      <c r="HZ25" s="12"/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  <c r="IL25" s="12"/>
      <c r="IM25" s="12"/>
      <c r="IN25" s="12"/>
      <c r="IO25" s="12"/>
      <c r="IP25" s="12"/>
      <c r="IQ25" s="12"/>
      <c r="IR25" s="12"/>
      <c r="IS25" s="12"/>
      <c r="IT25" s="12"/>
      <c r="IU25" s="12"/>
      <c r="IV25" s="12"/>
      <c r="IW25" s="12"/>
      <c r="IX25" s="12"/>
      <c r="IY25" s="12"/>
      <c r="IZ25" s="12"/>
      <c r="JA25" s="12"/>
      <c r="JB25" s="12"/>
      <c r="JC25" s="12"/>
      <c r="JD25" s="12"/>
      <c r="JE25" s="12"/>
      <c r="JF25" s="12"/>
      <c r="JG25" s="12"/>
      <c r="JH25" s="12"/>
      <c r="JI25" s="12"/>
      <c r="JJ25" s="12"/>
      <c r="JK25" s="12"/>
      <c r="JL25" s="12"/>
      <c r="JM25" s="12"/>
      <c r="JN25" s="12"/>
      <c r="JO25" s="12"/>
      <c r="JP25" s="12"/>
      <c r="JQ25" s="12"/>
      <c r="JR25" s="12"/>
      <c r="JS25" s="12"/>
      <c r="JT25" s="12"/>
      <c r="JU25" s="12"/>
      <c r="JV25" s="12"/>
      <c r="JW25" s="12"/>
      <c r="JX25" s="12"/>
      <c r="JY25" s="12"/>
      <c r="JZ25" s="12"/>
      <c r="KA25" s="12"/>
      <c r="KB25" s="12"/>
      <c r="KC25" s="12"/>
      <c r="KD25" s="12"/>
      <c r="KE25" s="12"/>
      <c r="KF25" s="12"/>
      <c r="KG25" s="12"/>
      <c r="KH25" s="12"/>
      <c r="KI25" s="12"/>
      <c r="KJ25" s="12"/>
      <c r="KK25" s="12"/>
      <c r="KL25" s="12"/>
      <c r="KM25" s="12"/>
      <c r="KN25" s="12"/>
      <c r="KO25" s="12"/>
      <c r="KP25" s="12"/>
      <c r="KQ25" s="12"/>
      <c r="KR25" s="12"/>
      <c r="KS25" s="12"/>
      <c r="KT25" s="12"/>
      <c r="KU25" s="12"/>
      <c r="KV25" s="12"/>
      <c r="KW25" s="12"/>
      <c r="KX25" s="12"/>
      <c r="KY25" s="12"/>
      <c r="KZ25" s="12"/>
      <c r="LA25" s="12"/>
      <c r="LB25" s="12"/>
      <c r="LC25" s="12"/>
      <c r="LD25" s="12"/>
      <c r="LE25" s="12"/>
      <c r="LF25" s="12"/>
      <c r="LG25" s="12"/>
      <c r="LH25" s="12"/>
      <c r="LI25" s="12"/>
      <c r="LJ25" s="12"/>
      <c r="LK25" s="12"/>
      <c r="LL25" s="12"/>
      <c r="LM25" s="12"/>
      <c r="LN25" s="12"/>
      <c r="LO25" s="12"/>
      <c r="LP25" s="12"/>
      <c r="LQ25" s="12"/>
      <c r="LR25" s="12"/>
      <c r="LS25" s="12"/>
      <c r="LT25" s="12"/>
      <c r="LU25" s="12"/>
      <c r="LV25" s="12"/>
      <c r="LW25" s="12"/>
      <c r="LX25" s="12"/>
      <c r="LY25" s="12"/>
      <c r="LZ25" s="12"/>
      <c r="MA25" s="12"/>
      <c r="MB25" s="12"/>
      <c r="MC25" s="12"/>
      <c r="MD25" s="12"/>
      <c r="ME25" s="12"/>
      <c r="MF25" s="12"/>
      <c r="MG25" s="12"/>
      <c r="MH25" s="12"/>
      <c r="MI25" s="12"/>
      <c r="MJ25" s="12"/>
      <c r="MK25" s="12"/>
      <c r="ML25" s="12"/>
      <c r="MM25" s="12"/>
      <c r="MN25" s="12"/>
      <c r="MO25" s="12"/>
      <c r="MP25" s="12"/>
      <c r="MQ25" s="12"/>
      <c r="MR25" s="12"/>
      <c r="MS25" s="12"/>
      <c r="MT25" s="12"/>
      <c r="MU25" s="12"/>
      <c r="MV25" s="12"/>
      <c r="MW25" s="12"/>
      <c r="MX25" s="12"/>
      <c r="MY25" s="12"/>
      <c r="MZ25" s="12"/>
      <c r="NA25" s="12"/>
      <c r="NB25" s="12"/>
      <c r="NC25" s="12"/>
      <c r="ND25" s="12"/>
      <c r="NE25" s="12"/>
      <c r="NF25" s="12"/>
      <c r="NG25" s="12"/>
      <c r="NH25" s="12"/>
      <c r="NI25" s="12"/>
      <c r="NJ25" s="12"/>
      <c r="NK25" s="12"/>
      <c r="NL25" s="12"/>
      <c r="NM25" s="12"/>
      <c r="NN25" s="12"/>
      <c r="NO25" s="12"/>
      <c r="NP25" s="12"/>
      <c r="NQ25" s="12"/>
      <c r="NR25" s="12"/>
      <c r="NS25" s="12"/>
      <c r="NT25" s="12"/>
      <c r="NU25" s="12"/>
      <c r="NV25" s="12"/>
      <c r="NW25" s="12"/>
      <c r="NX25" s="12"/>
      <c r="NY25" s="12"/>
      <c r="NZ25" s="12"/>
      <c r="OA25" s="12"/>
      <c r="OB25" s="12"/>
      <c r="OC25" s="12"/>
      <c r="OD25" s="12"/>
      <c r="OE25" s="12"/>
      <c r="OF25" s="12"/>
      <c r="OG25" s="12"/>
      <c r="OH25" s="12"/>
      <c r="OI25" s="12"/>
      <c r="OJ25" s="12"/>
      <c r="OK25" s="12"/>
      <c r="OL25" s="12"/>
      <c r="OM25" s="12"/>
      <c r="ON25" s="12"/>
      <c r="OO25" s="12"/>
      <c r="OP25" s="12"/>
      <c r="OQ25" s="12"/>
      <c r="OR25" s="12"/>
      <c r="OS25" s="12"/>
      <c r="OT25" s="12"/>
      <c r="OU25" s="12"/>
      <c r="OV25" s="12"/>
      <c r="OW25" s="12"/>
      <c r="OX25" s="12"/>
      <c r="OY25" s="12"/>
      <c r="OZ25" s="12"/>
      <c r="PA25" s="12"/>
      <c r="PB25" s="12"/>
      <c r="PC25" s="12"/>
      <c r="PD25" s="12"/>
      <c r="PE25" s="12"/>
      <c r="PF25" s="12"/>
      <c r="PG25" s="12"/>
      <c r="PH25" s="12"/>
      <c r="PI25" s="12"/>
      <c r="PJ25" s="12"/>
      <c r="PK25" s="12"/>
      <c r="PL25" s="12"/>
      <c r="PM25" s="12"/>
      <c r="PN25" s="12"/>
      <c r="PO25" s="12"/>
      <c r="PP25" s="12"/>
      <c r="PQ25" s="12"/>
      <c r="PR25" s="12"/>
      <c r="PS25" s="12"/>
      <c r="PT25" s="12"/>
      <c r="PU25" s="12"/>
      <c r="PV25" s="12"/>
      <c r="PW25" s="12"/>
      <c r="PX25" s="12"/>
      <c r="PY25" s="12"/>
      <c r="PZ25" s="12"/>
      <c r="QA25" s="12"/>
      <c r="QB25" s="12"/>
      <c r="QC25" s="12"/>
      <c r="QD25" s="12"/>
      <c r="QE25" s="12"/>
      <c r="QF25" s="12"/>
      <c r="QG25" s="12"/>
      <c r="QH25" s="12"/>
      <c r="QI25" s="12"/>
      <c r="QJ25" s="12"/>
      <c r="QK25" s="12"/>
      <c r="QL25" s="12"/>
      <c r="QM25" s="12"/>
      <c r="QN25" s="12"/>
      <c r="QO25" s="12"/>
      <c r="QP25" s="12"/>
      <c r="QQ25" s="12"/>
      <c r="QR25" s="12"/>
      <c r="QS25" s="12"/>
      <c r="QT25" s="12"/>
      <c r="QU25" s="12"/>
      <c r="QV25" s="12"/>
      <c r="QW25" s="12"/>
      <c r="QX25" s="12"/>
      <c r="QY25" s="12"/>
      <c r="QZ25" s="12"/>
      <c r="RA25" s="12"/>
      <c r="RB25" s="12"/>
      <c r="RC25" s="12"/>
      <c r="RD25" s="12"/>
      <c r="RE25" s="12"/>
      <c r="RF25" s="12"/>
      <c r="RG25" s="12"/>
      <c r="RH25" s="12"/>
      <c r="RI25" s="12"/>
      <c r="RJ25" s="12"/>
      <c r="RK25" s="12"/>
      <c r="RL25" s="12"/>
      <c r="RM25" s="12"/>
      <c r="RN25" s="12"/>
      <c r="RO25" s="12"/>
      <c r="RP25" s="12"/>
      <c r="RQ25" s="12"/>
      <c r="RR25" s="12"/>
      <c r="RS25" s="12"/>
      <c r="RT25" s="12"/>
      <c r="RU25" s="12"/>
      <c r="RV25" s="12"/>
      <c r="RW25" s="12"/>
      <c r="RX25" s="12"/>
      <c r="RY25" s="12"/>
      <c r="RZ25" s="12"/>
      <c r="SA25" s="12"/>
      <c r="SB25" s="12"/>
      <c r="SC25" s="12"/>
      <c r="SD25" s="12"/>
      <c r="SE25" s="12"/>
      <c r="SF25" s="12"/>
      <c r="SG25" s="12"/>
      <c r="SH25" s="12"/>
      <c r="SI25" s="12"/>
      <c r="SJ25" s="12"/>
      <c r="SK25" s="12"/>
      <c r="SL25" s="12"/>
      <c r="SM25" s="12"/>
      <c r="SN25" s="12"/>
      <c r="SO25" s="12"/>
      <c r="SP25" s="12"/>
      <c r="SQ25" s="12"/>
      <c r="SR25" s="12"/>
      <c r="SS25" s="12"/>
      <c r="ST25" s="12"/>
      <c r="SU25" s="12"/>
      <c r="SV25" s="12"/>
      <c r="SW25" s="12"/>
      <c r="SX25" s="12"/>
      <c r="SY25" s="12"/>
      <c r="SZ25" s="12"/>
      <c r="TA25" s="12"/>
      <c r="TB25" s="12"/>
      <c r="TC25" s="12"/>
      <c r="TD25" s="12"/>
      <c r="TE25" s="12"/>
      <c r="TF25" s="12"/>
      <c r="TG25" s="12"/>
      <c r="TH25" s="12"/>
      <c r="TI25" s="12"/>
      <c r="TJ25" s="12"/>
      <c r="TK25" s="12"/>
      <c r="TL25" s="12"/>
      <c r="TM25" s="12"/>
      <c r="TN25" s="12"/>
      <c r="TO25" s="12"/>
      <c r="TP25" s="12"/>
      <c r="TQ25" s="12"/>
      <c r="TR25" s="12"/>
      <c r="TS25" s="12"/>
      <c r="TT25" s="12"/>
      <c r="TU25" s="12"/>
      <c r="TV25" s="12"/>
      <c r="TW25" s="12"/>
      <c r="TX25" s="12"/>
      <c r="TY25" s="12"/>
      <c r="TZ25" s="12"/>
      <c r="UA25" s="12"/>
      <c r="UB25" s="12"/>
      <c r="UC25" s="12"/>
      <c r="UD25" s="12"/>
      <c r="UE25" s="12"/>
      <c r="UF25" s="12"/>
      <c r="UG25" s="12"/>
      <c r="UH25" s="12"/>
      <c r="UI25" s="12"/>
      <c r="UJ25" s="12"/>
      <c r="UK25" s="12"/>
      <c r="UL25" s="12"/>
      <c r="UM25" s="12"/>
      <c r="UN25" s="12"/>
      <c r="UO25" s="12"/>
      <c r="UP25" s="12"/>
      <c r="UQ25" s="12"/>
      <c r="UR25" s="12"/>
      <c r="US25" s="12"/>
      <c r="UT25" s="12"/>
      <c r="UU25" s="12"/>
      <c r="UV25" s="12"/>
      <c r="UW25" s="12"/>
      <c r="UX25" s="12"/>
      <c r="UY25" s="12"/>
      <c r="UZ25" s="12"/>
      <c r="VA25" s="12"/>
      <c r="VB25" s="12"/>
      <c r="VC25" s="12"/>
      <c r="VD25" s="12"/>
      <c r="VE25" s="12"/>
      <c r="VF25" s="12"/>
      <c r="VG25" s="12"/>
      <c r="VH25" s="12"/>
      <c r="VI25" s="12"/>
      <c r="VJ25" s="12"/>
      <c r="VK25" s="12"/>
      <c r="VL25" s="12"/>
      <c r="VM25" s="12"/>
      <c r="VN25" s="12"/>
      <c r="VO25" s="12"/>
      <c r="VP25" s="12"/>
      <c r="VQ25" s="12"/>
      <c r="VR25" s="12"/>
      <c r="VS25" s="12"/>
      <c r="VT25" s="12"/>
      <c r="VU25" s="12"/>
      <c r="VV25" s="12"/>
      <c r="VW25" s="12"/>
      <c r="VX25" s="12"/>
      <c r="VY25" s="12"/>
      <c r="VZ25" s="12"/>
      <c r="WA25" s="12"/>
      <c r="WB25" s="12"/>
      <c r="WC25" s="12"/>
      <c r="WD25" s="12"/>
      <c r="WE25" s="12"/>
      <c r="WF25" s="12"/>
      <c r="WG25" s="12"/>
      <c r="WH25" s="12"/>
      <c r="WI25" s="12"/>
      <c r="WJ25" s="12"/>
      <c r="WK25" s="12"/>
      <c r="WL25" s="12"/>
      <c r="WM25" s="12"/>
      <c r="WN25" s="12"/>
      <c r="WO25" s="12"/>
      <c r="WP25" s="12"/>
      <c r="WQ25" s="12"/>
      <c r="WR25" s="12"/>
      <c r="WS25" s="12"/>
      <c r="WT25" s="12"/>
      <c r="WU25" s="12"/>
      <c r="WV25" s="12"/>
      <c r="WW25" s="12"/>
      <c r="WX25" s="12"/>
      <c r="WY25" s="12"/>
      <c r="WZ25" s="12"/>
      <c r="XA25" s="12"/>
      <c r="XB25" s="12"/>
      <c r="XC25" s="12"/>
      <c r="XD25" s="12"/>
      <c r="XE25" s="12"/>
      <c r="XF25" s="12"/>
      <c r="XG25" s="12"/>
      <c r="XH25" s="12"/>
      <c r="XI25" s="12"/>
      <c r="XJ25" s="12"/>
      <c r="XK25" s="12"/>
      <c r="XL25" s="12"/>
      <c r="XM25" s="12"/>
      <c r="XN25" s="12"/>
      <c r="XO25" s="12"/>
      <c r="XP25" s="12"/>
      <c r="XQ25" s="12"/>
      <c r="XR25" s="12"/>
      <c r="XS25" s="12"/>
      <c r="XT25" s="12"/>
      <c r="XU25" s="12"/>
      <c r="XV25" s="12"/>
      <c r="XW25" s="12"/>
      <c r="XX25" s="12"/>
      <c r="XY25" s="12"/>
      <c r="XZ25" s="12"/>
      <c r="YA25" s="12"/>
      <c r="YB25" s="12"/>
      <c r="YC25" s="12"/>
      <c r="YD25" s="12"/>
      <c r="YE25" s="12"/>
      <c r="YF25" s="12"/>
      <c r="YG25" s="12"/>
      <c r="YH25" s="12"/>
      <c r="YI25" s="12"/>
      <c r="YJ25" s="12"/>
      <c r="YK25" s="12"/>
      <c r="YL25" s="12"/>
      <c r="YM25" s="12"/>
      <c r="YN25" s="12"/>
      <c r="YO25" s="12"/>
      <c r="YP25" s="12"/>
      <c r="YQ25" s="12"/>
      <c r="YR25" s="12"/>
      <c r="YS25" s="12"/>
      <c r="YT25" s="12"/>
      <c r="YU25" s="12"/>
      <c r="YV25" s="12"/>
      <c r="YW25" s="12"/>
      <c r="YX25" s="12"/>
      <c r="YY25" s="12"/>
      <c r="YZ25" s="12"/>
      <c r="ZA25" s="12"/>
      <c r="ZB25" s="12"/>
      <c r="ZC25" s="12"/>
      <c r="ZD25" s="12"/>
      <c r="ZE25" s="12"/>
      <c r="ZF25" s="12"/>
      <c r="ZG25" s="12"/>
      <c r="ZH25" s="12"/>
      <c r="ZI25" s="12"/>
      <c r="ZJ25" s="12"/>
      <c r="ZK25" s="12"/>
      <c r="ZL25" s="12"/>
      <c r="ZM25" s="12"/>
      <c r="ZN25" s="12"/>
      <c r="ZO25" s="12"/>
      <c r="ZP25" s="12"/>
      <c r="ZQ25" s="12"/>
      <c r="ZR25" s="12"/>
      <c r="ZS25" s="12"/>
      <c r="ZT25" s="12"/>
      <c r="ZU25" s="12"/>
      <c r="ZV25" s="12"/>
      <c r="ZW25" s="12"/>
      <c r="ZX25" s="12"/>
      <c r="ZY25" s="12"/>
      <c r="ZZ25" s="12"/>
      <c r="AAA25" s="12"/>
      <c r="AAB25" s="12"/>
      <c r="AAC25" s="12"/>
      <c r="AAD25" s="12"/>
      <c r="AAE25" s="12"/>
      <c r="AAF25" s="12"/>
      <c r="AAG25" s="12"/>
      <c r="AAH25" s="12"/>
      <c r="AAI25" s="12"/>
      <c r="AAJ25" s="12"/>
      <c r="AAK25" s="12"/>
      <c r="AAL25" s="12"/>
      <c r="AAM25" s="12"/>
      <c r="AAN25" s="12"/>
      <c r="AAO25" s="12"/>
      <c r="AAP25" s="12"/>
      <c r="AAQ25" s="12"/>
      <c r="AAR25" s="12"/>
      <c r="AAS25" s="12"/>
      <c r="AAT25" s="12"/>
      <c r="AAU25" s="12"/>
      <c r="AAV25" s="12"/>
      <c r="AAW25" s="12"/>
      <c r="AAX25" s="12"/>
      <c r="AAY25" s="12"/>
      <c r="AAZ25" s="12"/>
      <c r="ABA25" s="12"/>
      <c r="ABB25" s="12"/>
      <c r="ABC25" s="12"/>
      <c r="ABD25" s="12"/>
      <c r="ABE25" s="12"/>
      <c r="ABF25" s="12"/>
      <c r="ABG25" s="12"/>
      <c r="ABH25" s="12"/>
      <c r="ABI25" s="12"/>
      <c r="ABJ25" s="12"/>
      <c r="ABK25" s="12"/>
      <c r="ABL25" s="12"/>
      <c r="ABM25" s="12"/>
      <c r="ABN25" s="12"/>
      <c r="ABO25" s="12"/>
      <c r="ABP25" s="12"/>
      <c r="ABQ25" s="12"/>
      <c r="ABR25" s="12"/>
      <c r="ABS25" s="12"/>
      <c r="ABT25" s="12"/>
      <c r="ABU25" s="12"/>
      <c r="ABV25" s="12"/>
      <c r="ABW25" s="12"/>
      <c r="ABX25" s="12"/>
      <c r="ABY25" s="12"/>
      <c r="ABZ25" s="12"/>
      <c r="ACA25" s="12"/>
      <c r="ACB25" s="12"/>
      <c r="ACC25" s="12"/>
      <c r="ACD25" s="12"/>
      <c r="ACE25" s="12"/>
      <c r="ACF25" s="12"/>
      <c r="ACG25" s="12"/>
      <c r="ACH25" s="12"/>
      <c r="ACI25" s="12"/>
      <c r="ACJ25" s="12"/>
      <c r="ACK25" s="12"/>
      <c r="ACL25" s="12"/>
      <c r="ACM25" s="12"/>
      <c r="ACN25" s="12"/>
      <c r="ACO25" s="12"/>
      <c r="ACP25" s="12"/>
      <c r="ACQ25" s="12"/>
      <c r="ACR25" s="12"/>
      <c r="ACS25" s="12"/>
      <c r="ACT25" s="12"/>
      <c r="ACU25" s="12"/>
      <c r="ACV25" s="12"/>
      <c r="ACW25" s="12"/>
      <c r="ACX25" s="12"/>
      <c r="ACY25" s="12"/>
      <c r="ACZ25" s="12"/>
      <c r="ADA25" s="12"/>
      <c r="ADB25" s="12"/>
      <c r="ADC25" s="12"/>
      <c r="ADD25" s="12"/>
      <c r="ADE25" s="12"/>
      <c r="ADF25" s="12"/>
      <c r="ADG25" s="12"/>
      <c r="ADH25" s="12"/>
      <c r="ADI25" s="12"/>
      <c r="ADJ25" s="12"/>
      <c r="ADK25" s="12"/>
      <c r="ADL25" s="12"/>
      <c r="ADM25" s="12"/>
      <c r="ADN25" s="12"/>
      <c r="ADO25" s="12"/>
      <c r="ADP25" s="12"/>
      <c r="ADQ25" s="12"/>
      <c r="ADR25" s="12"/>
      <c r="ADS25" s="12"/>
      <c r="ADT25" s="12"/>
      <c r="ADU25" s="12"/>
      <c r="ADV25" s="12"/>
      <c r="ADW25" s="12"/>
      <c r="ADX25" s="12"/>
      <c r="ADY25" s="12"/>
      <c r="ADZ25" s="12"/>
      <c r="AEA25" s="12"/>
      <c r="AEB25" s="12"/>
      <c r="AEC25" s="12"/>
      <c r="AED25" s="12"/>
      <c r="AEE25" s="12"/>
      <c r="AEF25" s="12"/>
      <c r="AEG25" s="12"/>
      <c r="AEH25" s="12"/>
      <c r="AEI25" s="12"/>
      <c r="AEJ25" s="12"/>
      <c r="AEK25" s="12"/>
      <c r="AEL25" s="12"/>
      <c r="AEM25" s="12"/>
      <c r="AEN25" s="12"/>
      <c r="AEO25" s="12"/>
      <c r="AEP25" s="12"/>
      <c r="AEQ25" s="12"/>
      <c r="AER25" s="12"/>
      <c r="AES25" s="12"/>
      <c r="AET25" s="12"/>
      <c r="AEU25" s="12"/>
      <c r="AEV25" s="12"/>
    </row>
    <row r="26" spans="1:828" s="27" customFormat="1" ht="18" x14ac:dyDescent="0.2">
      <c r="A26" s="28"/>
      <c r="B26" s="23"/>
      <c r="C26" s="23"/>
      <c r="D26" s="29"/>
      <c r="E26" s="23"/>
      <c r="F26" s="23"/>
      <c r="G26" s="23"/>
      <c r="H26" s="30"/>
      <c r="I26" s="23"/>
      <c r="J26" s="29"/>
      <c r="K26" s="30"/>
      <c r="L26" s="23"/>
      <c r="M26" s="29"/>
      <c r="N26" s="12"/>
      <c r="O26" s="12"/>
      <c r="P26"/>
      <c r="Q26"/>
      <c r="R26"/>
      <c r="S26"/>
      <c r="T26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/>
      <c r="FL26" s="12"/>
      <c r="FM26" s="12"/>
      <c r="FN26" s="12"/>
      <c r="FO26" s="12"/>
      <c r="FP26" s="12"/>
      <c r="FQ26" s="12"/>
      <c r="FR26" s="12"/>
      <c r="FS26" s="12"/>
      <c r="FT26" s="12"/>
      <c r="FU26" s="12"/>
      <c r="FV26" s="12"/>
      <c r="FW26" s="12"/>
      <c r="FX26" s="12"/>
      <c r="FY26" s="12"/>
      <c r="FZ26" s="12"/>
      <c r="GA26" s="12"/>
      <c r="GB26" s="12"/>
      <c r="GC26" s="12"/>
      <c r="GD26" s="12"/>
      <c r="GE26" s="12"/>
      <c r="GF26" s="12"/>
      <c r="GG26" s="12"/>
      <c r="GH26" s="12"/>
      <c r="GI26" s="12"/>
      <c r="GJ26" s="12"/>
      <c r="GK26" s="12"/>
      <c r="GL26" s="12"/>
      <c r="GM26" s="12"/>
      <c r="GN26" s="12"/>
      <c r="GO26" s="12"/>
      <c r="GP26" s="12"/>
      <c r="GQ26" s="12"/>
      <c r="GR26" s="12"/>
      <c r="GS26" s="12"/>
      <c r="GT26" s="12"/>
      <c r="GU26" s="12"/>
      <c r="GV26" s="12"/>
      <c r="GW26" s="12"/>
      <c r="GX26" s="12"/>
      <c r="GY26" s="12"/>
      <c r="GZ26" s="12"/>
      <c r="HA26" s="12"/>
      <c r="HB26" s="12"/>
      <c r="HC26" s="12"/>
      <c r="HD26" s="12"/>
      <c r="HE26" s="12"/>
      <c r="HF26" s="12"/>
      <c r="HG26" s="12"/>
      <c r="HH26" s="12"/>
      <c r="HI26" s="12"/>
      <c r="HJ26" s="12"/>
      <c r="HK26" s="12"/>
      <c r="HL26" s="12"/>
      <c r="HM26" s="12"/>
      <c r="HN26" s="12"/>
      <c r="HO26" s="12"/>
      <c r="HP26" s="12"/>
      <c r="HQ26" s="12"/>
      <c r="HR26" s="12"/>
      <c r="HS26" s="12"/>
      <c r="HT26" s="12"/>
      <c r="HU26" s="12"/>
      <c r="HV26" s="12"/>
      <c r="HW26" s="12"/>
      <c r="HX26" s="12"/>
      <c r="HY26" s="12"/>
      <c r="HZ26" s="12"/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  <c r="IL26" s="12"/>
      <c r="IM26" s="12"/>
      <c r="IN26" s="12"/>
      <c r="IO26" s="12"/>
      <c r="IP26" s="12"/>
      <c r="IQ26" s="12"/>
      <c r="IR26" s="12"/>
      <c r="IS26" s="12"/>
      <c r="IT26" s="12"/>
      <c r="IU26" s="12"/>
      <c r="IV26" s="12"/>
      <c r="IW26" s="12"/>
      <c r="IX26" s="12"/>
      <c r="IY26" s="12"/>
      <c r="IZ26" s="12"/>
      <c r="JA26" s="12"/>
      <c r="JB26" s="12"/>
      <c r="JC26" s="12"/>
      <c r="JD26" s="12"/>
      <c r="JE26" s="12"/>
      <c r="JF26" s="12"/>
      <c r="JG26" s="12"/>
      <c r="JH26" s="12"/>
      <c r="JI26" s="12"/>
      <c r="JJ26" s="12"/>
      <c r="JK26" s="12"/>
      <c r="JL26" s="12"/>
      <c r="JM26" s="12"/>
      <c r="JN26" s="12"/>
      <c r="JO26" s="12"/>
      <c r="JP26" s="12"/>
      <c r="JQ26" s="12"/>
      <c r="JR26" s="12"/>
      <c r="JS26" s="12"/>
      <c r="JT26" s="12"/>
      <c r="JU26" s="12"/>
      <c r="JV26" s="12"/>
      <c r="JW26" s="12"/>
      <c r="JX26" s="12"/>
      <c r="JY26" s="12"/>
      <c r="JZ26" s="12"/>
      <c r="KA26" s="12"/>
      <c r="KB26" s="12"/>
      <c r="KC26" s="12"/>
      <c r="KD26" s="12"/>
      <c r="KE26" s="12"/>
      <c r="KF26" s="12"/>
      <c r="KG26" s="12"/>
      <c r="KH26" s="12"/>
      <c r="KI26" s="12"/>
      <c r="KJ26" s="12"/>
      <c r="KK26" s="12"/>
      <c r="KL26" s="12"/>
      <c r="KM26" s="12"/>
      <c r="KN26" s="12"/>
      <c r="KO26" s="12"/>
      <c r="KP26" s="12"/>
      <c r="KQ26" s="12"/>
      <c r="KR26" s="12"/>
      <c r="KS26" s="12"/>
      <c r="KT26" s="12"/>
      <c r="KU26" s="12"/>
      <c r="KV26" s="12"/>
      <c r="KW26" s="12"/>
      <c r="KX26" s="12"/>
      <c r="KY26" s="12"/>
      <c r="KZ26" s="12"/>
      <c r="LA26" s="12"/>
      <c r="LB26" s="12"/>
      <c r="LC26" s="12"/>
      <c r="LD26" s="12"/>
      <c r="LE26" s="12"/>
      <c r="LF26" s="12"/>
      <c r="LG26" s="12"/>
      <c r="LH26" s="12"/>
      <c r="LI26" s="12"/>
      <c r="LJ26" s="12"/>
      <c r="LK26" s="12"/>
      <c r="LL26" s="12"/>
      <c r="LM26" s="12"/>
      <c r="LN26" s="12"/>
      <c r="LO26" s="12"/>
      <c r="LP26" s="12"/>
      <c r="LQ26" s="12"/>
      <c r="LR26" s="12"/>
      <c r="LS26" s="12"/>
      <c r="LT26" s="12"/>
      <c r="LU26" s="12"/>
      <c r="LV26" s="12"/>
      <c r="LW26" s="12"/>
      <c r="LX26" s="12"/>
      <c r="LY26" s="12"/>
      <c r="LZ26" s="12"/>
      <c r="MA26" s="12"/>
      <c r="MB26" s="12"/>
      <c r="MC26" s="12"/>
      <c r="MD26" s="12"/>
      <c r="ME26" s="12"/>
      <c r="MF26" s="12"/>
      <c r="MG26" s="12"/>
      <c r="MH26" s="12"/>
      <c r="MI26" s="12"/>
      <c r="MJ26" s="12"/>
      <c r="MK26" s="12"/>
      <c r="ML26" s="12"/>
      <c r="MM26" s="12"/>
      <c r="MN26" s="12"/>
      <c r="MO26" s="12"/>
      <c r="MP26" s="12"/>
      <c r="MQ26" s="12"/>
      <c r="MR26" s="12"/>
      <c r="MS26" s="12"/>
      <c r="MT26" s="12"/>
      <c r="MU26" s="12"/>
      <c r="MV26" s="12"/>
      <c r="MW26" s="12"/>
      <c r="MX26" s="12"/>
      <c r="MY26" s="12"/>
      <c r="MZ26" s="12"/>
      <c r="NA26" s="12"/>
      <c r="NB26" s="12"/>
      <c r="NC26" s="12"/>
      <c r="ND26" s="12"/>
      <c r="NE26" s="12"/>
      <c r="NF26" s="12"/>
      <c r="NG26" s="12"/>
      <c r="NH26" s="12"/>
      <c r="NI26" s="12"/>
      <c r="NJ26" s="12"/>
      <c r="NK26" s="12"/>
      <c r="NL26" s="12"/>
      <c r="NM26" s="12"/>
      <c r="NN26" s="12"/>
      <c r="NO26" s="12"/>
      <c r="NP26" s="12"/>
      <c r="NQ26" s="12"/>
      <c r="NR26" s="12"/>
      <c r="NS26" s="12"/>
      <c r="NT26" s="12"/>
      <c r="NU26" s="12"/>
      <c r="NV26" s="12"/>
      <c r="NW26" s="12"/>
      <c r="NX26" s="12"/>
      <c r="NY26" s="12"/>
      <c r="NZ26" s="12"/>
      <c r="OA26" s="12"/>
      <c r="OB26" s="12"/>
      <c r="OC26" s="12"/>
      <c r="OD26" s="12"/>
      <c r="OE26" s="12"/>
      <c r="OF26" s="12"/>
      <c r="OG26" s="12"/>
      <c r="OH26" s="12"/>
      <c r="OI26" s="12"/>
      <c r="OJ26" s="12"/>
      <c r="OK26" s="12"/>
      <c r="OL26" s="12"/>
      <c r="OM26" s="12"/>
      <c r="ON26" s="12"/>
      <c r="OO26" s="12"/>
      <c r="OP26" s="12"/>
      <c r="OQ26" s="12"/>
      <c r="OR26" s="12"/>
      <c r="OS26" s="12"/>
      <c r="OT26" s="12"/>
      <c r="OU26" s="12"/>
      <c r="OV26" s="12"/>
      <c r="OW26" s="12"/>
      <c r="OX26" s="12"/>
      <c r="OY26" s="12"/>
      <c r="OZ26" s="12"/>
      <c r="PA26" s="12"/>
      <c r="PB26" s="12"/>
      <c r="PC26" s="12"/>
      <c r="PD26" s="12"/>
      <c r="PE26" s="12"/>
      <c r="PF26" s="12"/>
      <c r="PG26" s="12"/>
      <c r="PH26" s="12"/>
      <c r="PI26" s="12"/>
      <c r="PJ26" s="12"/>
      <c r="PK26" s="12"/>
      <c r="PL26" s="12"/>
      <c r="PM26" s="12"/>
      <c r="PN26" s="12"/>
      <c r="PO26" s="12"/>
      <c r="PP26" s="12"/>
      <c r="PQ26" s="12"/>
      <c r="PR26" s="12"/>
      <c r="PS26" s="12"/>
      <c r="PT26" s="12"/>
      <c r="PU26" s="12"/>
      <c r="PV26" s="12"/>
      <c r="PW26" s="12"/>
      <c r="PX26" s="12"/>
      <c r="PY26" s="12"/>
      <c r="PZ26" s="12"/>
      <c r="QA26" s="12"/>
      <c r="QB26" s="12"/>
      <c r="QC26" s="12"/>
      <c r="QD26" s="12"/>
      <c r="QE26" s="12"/>
      <c r="QF26" s="12"/>
      <c r="QG26" s="12"/>
      <c r="QH26" s="12"/>
      <c r="QI26" s="12"/>
      <c r="QJ26" s="12"/>
      <c r="QK26" s="12"/>
      <c r="QL26" s="12"/>
      <c r="QM26" s="12"/>
      <c r="QN26" s="12"/>
      <c r="QO26" s="12"/>
      <c r="QP26" s="12"/>
      <c r="QQ26" s="12"/>
      <c r="QR26" s="12"/>
      <c r="QS26" s="12"/>
      <c r="QT26" s="12"/>
      <c r="QU26" s="12"/>
      <c r="QV26" s="12"/>
      <c r="QW26" s="12"/>
      <c r="QX26" s="12"/>
      <c r="QY26" s="12"/>
      <c r="QZ26" s="12"/>
      <c r="RA26" s="12"/>
      <c r="RB26" s="12"/>
      <c r="RC26" s="12"/>
      <c r="RD26" s="12"/>
      <c r="RE26" s="12"/>
      <c r="RF26" s="12"/>
      <c r="RG26" s="12"/>
      <c r="RH26" s="12"/>
      <c r="RI26" s="12"/>
      <c r="RJ26" s="12"/>
      <c r="RK26" s="12"/>
      <c r="RL26" s="12"/>
      <c r="RM26" s="12"/>
      <c r="RN26" s="12"/>
      <c r="RO26" s="12"/>
      <c r="RP26" s="12"/>
      <c r="RQ26" s="12"/>
      <c r="RR26" s="12"/>
      <c r="RS26" s="12"/>
      <c r="RT26" s="12"/>
      <c r="RU26" s="12"/>
      <c r="RV26" s="12"/>
      <c r="RW26" s="12"/>
      <c r="RX26" s="12"/>
      <c r="RY26" s="12"/>
      <c r="RZ26" s="12"/>
      <c r="SA26" s="12"/>
      <c r="SB26" s="12"/>
      <c r="SC26" s="12"/>
      <c r="SD26" s="12"/>
      <c r="SE26" s="12"/>
      <c r="SF26" s="12"/>
      <c r="SG26" s="12"/>
      <c r="SH26" s="12"/>
      <c r="SI26" s="12"/>
      <c r="SJ26" s="12"/>
      <c r="SK26" s="12"/>
      <c r="SL26" s="12"/>
      <c r="SM26" s="12"/>
      <c r="SN26" s="12"/>
      <c r="SO26" s="12"/>
      <c r="SP26" s="12"/>
      <c r="SQ26" s="12"/>
      <c r="SR26" s="12"/>
      <c r="SS26" s="12"/>
      <c r="ST26" s="12"/>
      <c r="SU26" s="12"/>
      <c r="SV26" s="12"/>
      <c r="SW26" s="12"/>
      <c r="SX26" s="12"/>
      <c r="SY26" s="12"/>
      <c r="SZ26" s="12"/>
      <c r="TA26" s="12"/>
      <c r="TB26" s="12"/>
      <c r="TC26" s="12"/>
      <c r="TD26" s="12"/>
      <c r="TE26" s="12"/>
      <c r="TF26" s="12"/>
      <c r="TG26" s="12"/>
      <c r="TH26" s="12"/>
      <c r="TI26" s="12"/>
      <c r="TJ26" s="12"/>
      <c r="TK26" s="12"/>
      <c r="TL26" s="12"/>
      <c r="TM26" s="12"/>
      <c r="TN26" s="12"/>
      <c r="TO26" s="12"/>
      <c r="TP26" s="12"/>
      <c r="TQ26" s="12"/>
      <c r="TR26" s="12"/>
      <c r="TS26" s="12"/>
      <c r="TT26" s="12"/>
      <c r="TU26" s="12"/>
      <c r="TV26" s="12"/>
      <c r="TW26" s="12"/>
      <c r="TX26" s="12"/>
      <c r="TY26" s="12"/>
      <c r="TZ26" s="12"/>
      <c r="UA26" s="12"/>
      <c r="UB26" s="12"/>
      <c r="UC26" s="12"/>
      <c r="UD26" s="12"/>
      <c r="UE26" s="12"/>
      <c r="UF26" s="12"/>
      <c r="UG26" s="12"/>
      <c r="UH26" s="12"/>
      <c r="UI26" s="12"/>
      <c r="UJ26" s="12"/>
      <c r="UK26" s="12"/>
      <c r="UL26" s="12"/>
      <c r="UM26" s="12"/>
      <c r="UN26" s="12"/>
      <c r="UO26" s="12"/>
      <c r="UP26" s="12"/>
      <c r="UQ26" s="12"/>
      <c r="UR26" s="12"/>
      <c r="US26" s="12"/>
      <c r="UT26" s="12"/>
      <c r="UU26" s="12"/>
      <c r="UV26" s="12"/>
      <c r="UW26" s="12"/>
      <c r="UX26" s="12"/>
      <c r="UY26" s="12"/>
      <c r="UZ26" s="12"/>
      <c r="VA26" s="12"/>
      <c r="VB26" s="12"/>
      <c r="VC26" s="12"/>
      <c r="VD26" s="12"/>
      <c r="VE26" s="12"/>
      <c r="VF26" s="12"/>
      <c r="VG26" s="12"/>
      <c r="VH26" s="12"/>
      <c r="VI26" s="12"/>
      <c r="VJ26" s="12"/>
      <c r="VK26" s="12"/>
      <c r="VL26" s="12"/>
      <c r="VM26" s="12"/>
      <c r="VN26" s="12"/>
      <c r="VO26" s="12"/>
      <c r="VP26" s="12"/>
      <c r="VQ26" s="12"/>
      <c r="VR26" s="12"/>
      <c r="VS26" s="12"/>
      <c r="VT26" s="12"/>
      <c r="VU26" s="12"/>
      <c r="VV26" s="12"/>
      <c r="VW26" s="12"/>
      <c r="VX26" s="12"/>
      <c r="VY26" s="12"/>
      <c r="VZ26" s="12"/>
      <c r="WA26" s="12"/>
      <c r="WB26" s="12"/>
      <c r="WC26" s="12"/>
      <c r="WD26" s="12"/>
      <c r="WE26" s="12"/>
      <c r="WF26" s="12"/>
      <c r="WG26" s="12"/>
      <c r="WH26" s="12"/>
      <c r="WI26" s="12"/>
      <c r="WJ26" s="12"/>
      <c r="WK26" s="12"/>
      <c r="WL26" s="12"/>
      <c r="WM26" s="12"/>
      <c r="WN26" s="12"/>
      <c r="WO26" s="12"/>
      <c r="WP26" s="12"/>
      <c r="WQ26" s="12"/>
      <c r="WR26" s="12"/>
      <c r="WS26" s="12"/>
      <c r="WT26" s="12"/>
      <c r="WU26" s="12"/>
      <c r="WV26" s="12"/>
      <c r="WW26" s="12"/>
      <c r="WX26" s="12"/>
      <c r="WY26" s="12"/>
      <c r="WZ26" s="12"/>
      <c r="XA26" s="12"/>
      <c r="XB26" s="12"/>
      <c r="XC26" s="12"/>
      <c r="XD26" s="12"/>
      <c r="XE26" s="12"/>
      <c r="XF26" s="12"/>
      <c r="XG26" s="12"/>
      <c r="XH26" s="12"/>
      <c r="XI26" s="12"/>
      <c r="XJ26" s="12"/>
      <c r="XK26" s="12"/>
      <c r="XL26" s="12"/>
      <c r="XM26" s="12"/>
      <c r="XN26" s="12"/>
      <c r="XO26" s="12"/>
      <c r="XP26" s="12"/>
      <c r="XQ26" s="12"/>
      <c r="XR26" s="12"/>
      <c r="XS26" s="12"/>
      <c r="XT26" s="12"/>
      <c r="XU26" s="12"/>
      <c r="XV26" s="12"/>
      <c r="XW26" s="12"/>
      <c r="XX26" s="12"/>
      <c r="XY26" s="12"/>
      <c r="XZ26" s="12"/>
      <c r="YA26" s="12"/>
      <c r="YB26" s="12"/>
      <c r="YC26" s="12"/>
      <c r="YD26" s="12"/>
      <c r="YE26" s="12"/>
      <c r="YF26" s="12"/>
      <c r="YG26" s="12"/>
      <c r="YH26" s="12"/>
      <c r="YI26" s="12"/>
      <c r="YJ26" s="12"/>
      <c r="YK26" s="12"/>
      <c r="YL26" s="12"/>
      <c r="YM26" s="12"/>
      <c r="YN26" s="12"/>
      <c r="YO26" s="12"/>
      <c r="YP26" s="12"/>
      <c r="YQ26" s="12"/>
      <c r="YR26" s="12"/>
      <c r="YS26" s="12"/>
      <c r="YT26" s="12"/>
      <c r="YU26" s="12"/>
      <c r="YV26" s="12"/>
      <c r="YW26" s="12"/>
      <c r="YX26" s="12"/>
      <c r="YY26" s="12"/>
      <c r="YZ26" s="12"/>
      <c r="ZA26" s="12"/>
      <c r="ZB26" s="12"/>
      <c r="ZC26" s="12"/>
      <c r="ZD26" s="12"/>
      <c r="ZE26" s="12"/>
      <c r="ZF26" s="12"/>
      <c r="ZG26" s="12"/>
      <c r="ZH26" s="12"/>
      <c r="ZI26" s="12"/>
      <c r="ZJ26" s="12"/>
      <c r="ZK26" s="12"/>
      <c r="ZL26" s="12"/>
      <c r="ZM26" s="12"/>
      <c r="ZN26" s="12"/>
      <c r="ZO26" s="12"/>
      <c r="ZP26" s="12"/>
      <c r="ZQ26" s="12"/>
      <c r="ZR26" s="12"/>
      <c r="ZS26" s="12"/>
      <c r="ZT26" s="12"/>
      <c r="ZU26" s="12"/>
      <c r="ZV26" s="12"/>
      <c r="ZW26" s="12"/>
      <c r="ZX26" s="12"/>
      <c r="ZY26" s="12"/>
      <c r="ZZ26" s="12"/>
      <c r="AAA26" s="12"/>
      <c r="AAB26" s="12"/>
      <c r="AAC26" s="12"/>
      <c r="AAD26" s="12"/>
      <c r="AAE26" s="12"/>
      <c r="AAF26" s="12"/>
      <c r="AAG26" s="12"/>
      <c r="AAH26" s="12"/>
      <c r="AAI26" s="12"/>
      <c r="AAJ26" s="12"/>
      <c r="AAK26" s="12"/>
      <c r="AAL26" s="12"/>
      <c r="AAM26" s="12"/>
      <c r="AAN26" s="12"/>
      <c r="AAO26" s="12"/>
      <c r="AAP26" s="12"/>
      <c r="AAQ26" s="12"/>
      <c r="AAR26" s="12"/>
      <c r="AAS26" s="12"/>
      <c r="AAT26" s="12"/>
      <c r="AAU26" s="12"/>
      <c r="AAV26" s="12"/>
      <c r="AAW26" s="12"/>
      <c r="AAX26" s="12"/>
      <c r="AAY26" s="12"/>
      <c r="AAZ26" s="12"/>
      <c r="ABA26" s="12"/>
      <c r="ABB26" s="12"/>
      <c r="ABC26" s="12"/>
      <c r="ABD26" s="12"/>
      <c r="ABE26" s="12"/>
      <c r="ABF26" s="12"/>
      <c r="ABG26" s="12"/>
      <c r="ABH26" s="12"/>
      <c r="ABI26" s="12"/>
      <c r="ABJ26" s="12"/>
      <c r="ABK26" s="12"/>
      <c r="ABL26" s="12"/>
      <c r="ABM26" s="12"/>
      <c r="ABN26" s="12"/>
      <c r="ABO26" s="12"/>
      <c r="ABP26" s="12"/>
      <c r="ABQ26" s="12"/>
      <c r="ABR26" s="12"/>
      <c r="ABS26" s="12"/>
      <c r="ABT26" s="12"/>
      <c r="ABU26" s="12"/>
      <c r="ABV26" s="12"/>
      <c r="ABW26" s="12"/>
      <c r="ABX26" s="12"/>
      <c r="ABY26" s="12"/>
      <c r="ABZ26" s="12"/>
      <c r="ACA26" s="12"/>
      <c r="ACB26" s="12"/>
      <c r="ACC26" s="12"/>
      <c r="ACD26" s="12"/>
      <c r="ACE26" s="12"/>
      <c r="ACF26" s="12"/>
      <c r="ACG26" s="12"/>
      <c r="ACH26" s="12"/>
      <c r="ACI26" s="12"/>
      <c r="ACJ26" s="12"/>
      <c r="ACK26" s="12"/>
      <c r="ACL26" s="12"/>
      <c r="ACM26" s="12"/>
      <c r="ACN26" s="12"/>
      <c r="ACO26" s="12"/>
      <c r="ACP26" s="12"/>
      <c r="ACQ26" s="12"/>
      <c r="ACR26" s="12"/>
      <c r="ACS26" s="12"/>
      <c r="ACT26" s="12"/>
      <c r="ACU26" s="12"/>
      <c r="ACV26" s="12"/>
      <c r="ACW26" s="12"/>
      <c r="ACX26" s="12"/>
      <c r="ACY26" s="12"/>
      <c r="ACZ26" s="12"/>
      <c r="ADA26" s="12"/>
      <c r="ADB26" s="12"/>
      <c r="ADC26" s="12"/>
      <c r="ADD26" s="12"/>
      <c r="ADE26" s="12"/>
      <c r="ADF26" s="12"/>
      <c r="ADG26" s="12"/>
      <c r="ADH26" s="12"/>
      <c r="ADI26" s="12"/>
      <c r="ADJ26" s="12"/>
      <c r="ADK26" s="12"/>
      <c r="ADL26" s="12"/>
      <c r="ADM26" s="12"/>
      <c r="ADN26" s="12"/>
      <c r="ADO26" s="12"/>
      <c r="ADP26" s="12"/>
      <c r="ADQ26" s="12"/>
      <c r="ADR26" s="12"/>
      <c r="ADS26" s="12"/>
      <c r="ADT26" s="12"/>
      <c r="ADU26" s="12"/>
      <c r="ADV26" s="12"/>
      <c r="ADW26" s="12"/>
      <c r="ADX26" s="12"/>
      <c r="ADY26" s="12"/>
      <c r="ADZ26" s="12"/>
      <c r="AEA26" s="12"/>
      <c r="AEB26" s="12"/>
      <c r="AEC26" s="12"/>
      <c r="AED26" s="12"/>
      <c r="AEE26" s="12"/>
      <c r="AEF26" s="12"/>
      <c r="AEG26" s="12"/>
      <c r="AEH26" s="12"/>
      <c r="AEI26" s="12"/>
      <c r="AEJ26" s="12"/>
      <c r="AEK26" s="12"/>
      <c r="AEL26" s="12"/>
      <c r="AEM26" s="12"/>
      <c r="AEN26" s="12"/>
      <c r="AEO26" s="12"/>
      <c r="AEP26" s="12"/>
      <c r="AEQ26" s="12"/>
      <c r="AER26" s="12"/>
      <c r="AES26" s="12"/>
      <c r="AET26" s="12"/>
      <c r="AEU26" s="12"/>
      <c r="AEV26" s="12"/>
    </row>
    <row r="27" spans="1:828" s="43" customFormat="1" ht="19" thickBot="1" x14ac:dyDescent="0.25">
      <c r="A27" s="39"/>
      <c r="B27" s="23"/>
      <c r="C27" s="40"/>
      <c r="D27" s="41"/>
      <c r="E27" s="40"/>
      <c r="F27" s="40"/>
      <c r="H27" s="42"/>
      <c r="I27" s="40"/>
      <c r="J27" s="41"/>
      <c r="K27" s="42"/>
      <c r="L27" s="40"/>
      <c r="M27" s="41"/>
      <c r="N27" s="12"/>
      <c r="O27" s="12"/>
      <c r="P27"/>
      <c r="Q27"/>
      <c r="R27"/>
      <c r="S27"/>
      <c r="T27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2"/>
      <c r="FJ27" s="12"/>
      <c r="FK27" s="12"/>
      <c r="FL27" s="12"/>
      <c r="FM27" s="12"/>
      <c r="FN27" s="12"/>
      <c r="FO27" s="12"/>
      <c r="FP27" s="12"/>
      <c r="FQ27" s="12"/>
      <c r="FR27" s="12"/>
      <c r="FS27" s="12"/>
      <c r="FT27" s="12"/>
      <c r="FU27" s="12"/>
      <c r="FV27" s="12"/>
      <c r="FW27" s="12"/>
      <c r="FX27" s="12"/>
      <c r="FY27" s="12"/>
      <c r="FZ27" s="12"/>
      <c r="GA27" s="12"/>
      <c r="GB27" s="12"/>
      <c r="GC27" s="12"/>
      <c r="GD27" s="12"/>
      <c r="GE27" s="12"/>
      <c r="GF27" s="12"/>
      <c r="GG27" s="12"/>
      <c r="GH27" s="12"/>
      <c r="GI27" s="12"/>
      <c r="GJ27" s="12"/>
      <c r="GK27" s="12"/>
      <c r="GL27" s="12"/>
      <c r="GM27" s="12"/>
      <c r="GN27" s="12"/>
      <c r="GO27" s="12"/>
      <c r="GP27" s="12"/>
      <c r="GQ27" s="12"/>
      <c r="GR27" s="12"/>
      <c r="GS27" s="12"/>
      <c r="GT27" s="12"/>
      <c r="GU27" s="12"/>
      <c r="GV27" s="12"/>
      <c r="GW27" s="12"/>
      <c r="GX27" s="12"/>
      <c r="GY27" s="12"/>
      <c r="GZ27" s="12"/>
      <c r="HA27" s="12"/>
      <c r="HB27" s="12"/>
      <c r="HC27" s="12"/>
      <c r="HD27" s="12"/>
      <c r="HE27" s="12"/>
      <c r="HF27" s="12"/>
      <c r="HG27" s="12"/>
      <c r="HH27" s="12"/>
      <c r="HI27" s="12"/>
      <c r="HJ27" s="12"/>
      <c r="HK27" s="12"/>
      <c r="HL27" s="12"/>
      <c r="HM27" s="12"/>
      <c r="HN27" s="12"/>
      <c r="HO27" s="12"/>
      <c r="HP27" s="12"/>
      <c r="HQ27" s="12"/>
      <c r="HR27" s="12"/>
      <c r="HS27" s="12"/>
      <c r="HT27" s="12"/>
      <c r="HU27" s="12"/>
      <c r="HV27" s="12"/>
      <c r="HW27" s="12"/>
      <c r="HX27" s="12"/>
      <c r="HY27" s="12"/>
      <c r="HZ27" s="12"/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  <c r="IL27" s="12"/>
      <c r="IM27" s="12"/>
      <c r="IN27" s="12"/>
      <c r="IO27" s="12"/>
      <c r="IP27" s="12"/>
      <c r="IQ27" s="12"/>
      <c r="IR27" s="12"/>
      <c r="IS27" s="12"/>
      <c r="IT27" s="12"/>
      <c r="IU27" s="12"/>
      <c r="IV27" s="12"/>
      <c r="IW27" s="12"/>
      <c r="IX27" s="12"/>
      <c r="IY27" s="12"/>
      <c r="IZ27" s="12"/>
      <c r="JA27" s="12"/>
      <c r="JB27" s="12"/>
      <c r="JC27" s="12"/>
      <c r="JD27" s="12"/>
      <c r="JE27" s="12"/>
      <c r="JF27" s="12"/>
      <c r="JG27" s="12"/>
      <c r="JH27" s="12"/>
      <c r="JI27" s="12"/>
      <c r="JJ27" s="12"/>
      <c r="JK27" s="12"/>
      <c r="JL27" s="12"/>
      <c r="JM27" s="12"/>
      <c r="JN27" s="12"/>
      <c r="JO27" s="12"/>
      <c r="JP27" s="12"/>
      <c r="JQ27" s="12"/>
      <c r="JR27" s="12"/>
      <c r="JS27" s="12"/>
      <c r="JT27" s="12"/>
      <c r="JU27" s="12"/>
      <c r="JV27" s="12"/>
      <c r="JW27" s="12"/>
      <c r="JX27" s="12"/>
      <c r="JY27" s="12"/>
      <c r="JZ27" s="12"/>
      <c r="KA27" s="12"/>
      <c r="KB27" s="12"/>
      <c r="KC27" s="12"/>
      <c r="KD27" s="12"/>
      <c r="KE27" s="12"/>
      <c r="KF27" s="12"/>
      <c r="KG27" s="12"/>
      <c r="KH27" s="12"/>
      <c r="KI27" s="12"/>
      <c r="KJ27" s="12"/>
      <c r="KK27" s="12"/>
      <c r="KL27" s="12"/>
      <c r="KM27" s="12"/>
      <c r="KN27" s="12"/>
      <c r="KO27" s="12"/>
      <c r="KP27" s="12"/>
      <c r="KQ27" s="12"/>
      <c r="KR27" s="12"/>
      <c r="KS27" s="12"/>
      <c r="KT27" s="12"/>
      <c r="KU27" s="12"/>
      <c r="KV27" s="12"/>
      <c r="KW27" s="12"/>
      <c r="KX27" s="12"/>
      <c r="KY27" s="12"/>
      <c r="KZ27" s="12"/>
      <c r="LA27" s="12"/>
      <c r="LB27" s="12"/>
      <c r="LC27" s="12"/>
      <c r="LD27" s="12"/>
      <c r="LE27" s="12"/>
      <c r="LF27" s="12"/>
      <c r="LG27" s="12"/>
      <c r="LH27" s="12"/>
      <c r="LI27" s="12"/>
      <c r="LJ27" s="12"/>
      <c r="LK27" s="12"/>
      <c r="LL27" s="12"/>
      <c r="LM27" s="12"/>
      <c r="LN27" s="12"/>
      <c r="LO27" s="12"/>
      <c r="LP27" s="12"/>
      <c r="LQ27" s="12"/>
      <c r="LR27" s="12"/>
      <c r="LS27" s="12"/>
      <c r="LT27" s="12"/>
      <c r="LU27" s="12"/>
      <c r="LV27" s="12"/>
      <c r="LW27" s="12"/>
      <c r="LX27" s="12"/>
      <c r="LY27" s="12"/>
      <c r="LZ27" s="12"/>
      <c r="MA27" s="12"/>
      <c r="MB27" s="12"/>
      <c r="MC27" s="12"/>
      <c r="MD27" s="12"/>
      <c r="ME27" s="12"/>
      <c r="MF27" s="12"/>
      <c r="MG27" s="12"/>
      <c r="MH27" s="12"/>
      <c r="MI27" s="12"/>
      <c r="MJ27" s="12"/>
      <c r="MK27" s="12"/>
      <c r="ML27" s="12"/>
      <c r="MM27" s="12"/>
      <c r="MN27" s="12"/>
      <c r="MO27" s="12"/>
      <c r="MP27" s="12"/>
      <c r="MQ27" s="12"/>
      <c r="MR27" s="12"/>
      <c r="MS27" s="12"/>
      <c r="MT27" s="12"/>
      <c r="MU27" s="12"/>
      <c r="MV27" s="12"/>
      <c r="MW27" s="12"/>
      <c r="MX27" s="12"/>
      <c r="MY27" s="12"/>
      <c r="MZ27" s="12"/>
      <c r="NA27" s="12"/>
      <c r="NB27" s="12"/>
      <c r="NC27" s="12"/>
      <c r="ND27" s="12"/>
      <c r="NE27" s="12"/>
      <c r="NF27" s="12"/>
      <c r="NG27" s="12"/>
      <c r="NH27" s="12"/>
      <c r="NI27" s="12"/>
      <c r="NJ27" s="12"/>
      <c r="NK27" s="12"/>
      <c r="NL27" s="12"/>
      <c r="NM27" s="12"/>
      <c r="NN27" s="12"/>
      <c r="NO27" s="12"/>
      <c r="NP27" s="12"/>
      <c r="NQ27" s="12"/>
      <c r="NR27" s="12"/>
      <c r="NS27" s="12"/>
      <c r="NT27" s="12"/>
      <c r="NU27" s="12"/>
      <c r="NV27" s="12"/>
      <c r="NW27" s="12"/>
      <c r="NX27" s="12"/>
      <c r="NY27" s="12"/>
      <c r="NZ27" s="12"/>
      <c r="OA27" s="12"/>
      <c r="OB27" s="12"/>
      <c r="OC27" s="12"/>
      <c r="OD27" s="12"/>
      <c r="OE27" s="12"/>
      <c r="OF27" s="12"/>
      <c r="OG27" s="12"/>
      <c r="OH27" s="12"/>
      <c r="OI27" s="12"/>
      <c r="OJ27" s="12"/>
      <c r="OK27" s="12"/>
      <c r="OL27" s="12"/>
      <c r="OM27" s="12"/>
      <c r="ON27" s="12"/>
      <c r="OO27" s="12"/>
      <c r="OP27" s="12"/>
      <c r="OQ27" s="12"/>
      <c r="OR27" s="12"/>
      <c r="OS27" s="12"/>
      <c r="OT27" s="12"/>
      <c r="OU27" s="12"/>
      <c r="OV27" s="12"/>
      <c r="OW27" s="12"/>
      <c r="OX27" s="12"/>
      <c r="OY27" s="12"/>
      <c r="OZ27" s="12"/>
      <c r="PA27" s="12"/>
      <c r="PB27" s="12"/>
      <c r="PC27" s="12"/>
      <c r="PD27" s="12"/>
      <c r="PE27" s="12"/>
      <c r="PF27" s="12"/>
      <c r="PG27" s="12"/>
      <c r="PH27" s="12"/>
      <c r="PI27" s="12"/>
      <c r="PJ27" s="12"/>
      <c r="PK27" s="12"/>
      <c r="PL27" s="12"/>
      <c r="PM27" s="12"/>
      <c r="PN27" s="12"/>
      <c r="PO27" s="12"/>
      <c r="PP27" s="12"/>
      <c r="PQ27" s="12"/>
      <c r="PR27" s="12"/>
      <c r="PS27" s="12"/>
      <c r="PT27" s="12"/>
      <c r="PU27" s="12"/>
      <c r="PV27" s="12"/>
      <c r="PW27" s="12"/>
      <c r="PX27" s="12"/>
      <c r="PY27" s="12"/>
      <c r="PZ27" s="12"/>
      <c r="QA27" s="12"/>
      <c r="QB27" s="12"/>
      <c r="QC27" s="12"/>
      <c r="QD27" s="12"/>
      <c r="QE27" s="12"/>
      <c r="QF27" s="12"/>
      <c r="QG27" s="12"/>
      <c r="QH27" s="12"/>
      <c r="QI27" s="12"/>
      <c r="QJ27" s="12"/>
      <c r="QK27" s="12"/>
      <c r="QL27" s="12"/>
      <c r="QM27" s="12"/>
      <c r="QN27" s="12"/>
      <c r="QO27" s="12"/>
      <c r="QP27" s="12"/>
      <c r="QQ27" s="12"/>
      <c r="QR27" s="12"/>
      <c r="QS27" s="12"/>
      <c r="QT27" s="12"/>
      <c r="QU27" s="12"/>
      <c r="QV27" s="12"/>
      <c r="QW27" s="12"/>
      <c r="QX27" s="12"/>
      <c r="QY27" s="12"/>
      <c r="QZ27" s="12"/>
      <c r="RA27" s="12"/>
      <c r="RB27" s="12"/>
      <c r="RC27" s="12"/>
      <c r="RD27" s="12"/>
      <c r="RE27" s="12"/>
      <c r="RF27" s="12"/>
      <c r="RG27" s="12"/>
      <c r="RH27" s="12"/>
      <c r="RI27" s="12"/>
      <c r="RJ27" s="12"/>
      <c r="RK27" s="12"/>
      <c r="RL27" s="12"/>
      <c r="RM27" s="12"/>
      <c r="RN27" s="12"/>
      <c r="RO27" s="12"/>
      <c r="RP27" s="12"/>
      <c r="RQ27" s="12"/>
      <c r="RR27" s="12"/>
      <c r="RS27" s="12"/>
      <c r="RT27" s="12"/>
      <c r="RU27" s="12"/>
      <c r="RV27" s="12"/>
      <c r="RW27" s="12"/>
      <c r="RX27" s="12"/>
      <c r="RY27" s="12"/>
      <c r="RZ27" s="12"/>
      <c r="SA27" s="12"/>
      <c r="SB27" s="12"/>
      <c r="SC27" s="12"/>
      <c r="SD27" s="12"/>
      <c r="SE27" s="12"/>
      <c r="SF27" s="12"/>
      <c r="SG27" s="12"/>
      <c r="SH27" s="12"/>
      <c r="SI27" s="12"/>
      <c r="SJ27" s="12"/>
      <c r="SK27" s="12"/>
      <c r="SL27" s="12"/>
      <c r="SM27" s="12"/>
      <c r="SN27" s="12"/>
      <c r="SO27" s="12"/>
      <c r="SP27" s="12"/>
      <c r="SQ27" s="12"/>
      <c r="SR27" s="12"/>
      <c r="SS27" s="12"/>
      <c r="ST27" s="12"/>
      <c r="SU27" s="12"/>
      <c r="SV27" s="12"/>
      <c r="SW27" s="12"/>
      <c r="SX27" s="12"/>
      <c r="SY27" s="12"/>
      <c r="SZ27" s="12"/>
      <c r="TA27" s="12"/>
      <c r="TB27" s="12"/>
      <c r="TC27" s="12"/>
      <c r="TD27" s="12"/>
      <c r="TE27" s="12"/>
      <c r="TF27" s="12"/>
      <c r="TG27" s="12"/>
      <c r="TH27" s="12"/>
      <c r="TI27" s="12"/>
      <c r="TJ27" s="12"/>
      <c r="TK27" s="12"/>
      <c r="TL27" s="12"/>
      <c r="TM27" s="12"/>
      <c r="TN27" s="12"/>
      <c r="TO27" s="12"/>
      <c r="TP27" s="12"/>
      <c r="TQ27" s="12"/>
      <c r="TR27" s="12"/>
      <c r="TS27" s="12"/>
      <c r="TT27" s="12"/>
      <c r="TU27" s="12"/>
      <c r="TV27" s="12"/>
      <c r="TW27" s="12"/>
      <c r="TX27" s="12"/>
      <c r="TY27" s="12"/>
      <c r="TZ27" s="12"/>
      <c r="UA27" s="12"/>
      <c r="UB27" s="12"/>
      <c r="UC27" s="12"/>
      <c r="UD27" s="12"/>
      <c r="UE27" s="12"/>
      <c r="UF27" s="12"/>
      <c r="UG27" s="12"/>
      <c r="UH27" s="12"/>
      <c r="UI27" s="12"/>
      <c r="UJ27" s="12"/>
      <c r="UK27" s="12"/>
      <c r="UL27" s="12"/>
      <c r="UM27" s="12"/>
      <c r="UN27" s="12"/>
      <c r="UO27" s="12"/>
      <c r="UP27" s="12"/>
      <c r="UQ27" s="12"/>
      <c r="UR27" s="12"/>
      <c r="US27" s="12"/>
      <c r="UT27" s="12"/>
      <c r="UU27" s="12"/>
      <c r="UV27" s="12"/>
      <c r="UW27" s="12"/>
      <c r="UX27" s="12"/>
      <c r="UY27" s="12"/>
      <c r="UZ27" s="12"/>
      <c r="VA27" s="12"/>
      <c r="VB27" s="12"/>
      <c r="VC27" s="12"/>
      <c r="VD27" s="12"/>
      <c r="VE27" s="12"/>
      <c r="VF27" s="12"/>
      <c r="VG27" s="12"/>
      <c r="VH27" s="12"/>
      <c r="VI27" s="12"/>
      <c r="VJ27" s="12"/>
      <c r="VK27" s="12"/>
      <c r="VL27" s="12"/>
      <c r="VM27" s="12"/>
      <c r="VN27" s="12"/>
      <c r="VO27" s="12"/>
      <c r="VP27" s="12"/>
      <c r="VQ27" s="12"/>
      <c r="VR27" s="12"/>
      <c r="VS27" s="12"/>
      <c r="VT27" s="12"/>
      <c r="VU27" s="12"/>
      <c r="VV27" s="12"/>
      <c r="VW27" s="12"/>
      <c r="VX27" s="12"/>
      <c r="VY27" s="12"/>
      <c r="VZ27" s="12"/>
      <c r="WA27" s="12"/>
      <c r="WB27" s="12"/>
      <c r="WC27" s="12"/>
      <c r="WD27" s="12"/>
      <c r="WE27" s="12"/>
      <c r="WF27" s="12"/>
      <c r="WG27" s="12"/>
      <c r="WH27" s="12"/>
      <c r="WI27" s="12"/>
      <c r="WJ27" s="12"/>
      <c r="WK27" s="12"/>
      <c r="WL27" s="12"/>
      <c r="WM27" s="12"/>
      <c r="WN27" s="12"/>
      <c r="WO27" s="12"/>
      <c r="WP27" s="12"/>
      <c r="WQ27" s="12"/>
      <c r="WR27" s="12"/>
      <c r="WS27" s="12"/>
      <c r="WT27" s="12"/>
      <c r="WU27" s="12"/>
      <c r="WV27" s="12"/>
      <c r="WW27" s="12"/>
      <c r="WX27" s="12"/>
      <c r="WY27" s="12"/>
      <c r="WZ27" s="12"/>
      <c r="XA27" s="12"/>
      <c r="XB27" s="12"/>
      <c r="XC27" s="12"/>
      <c r="XD27" s="12"/>
      <c r="XE27" s="12"/>
      <c r="XF27" s="12"/>
      <c r="XG27" s="12"/>
      <c r="XH27" s="12"/>
      <c r="XI27" s="12"/>
      <c r="XJ27" s="12"/>
      <c r="XK27" s="12"/>
      <c r="XL27" s="12"/>
      <c r="XM27" s="12"/>
      <c r="XN27" s="12"/>
      <c r="XO27" s="12"/>
      <c r="XP27" s="12"/>
      <c r="XQ27" s="12"/>
      <c r="XR27" s="12"/>
      <c r="XS27" s="12"/>
      <c r="XT27" s="12"/>
      <c r="XU27" s="12"/>
      <c r="XV27" s="12"/>
      <c r="XW27" s="12"/>
      <c r="XX27" s="12"/>
      <c r="XY27" s="12"/>
      <c r="XZ27" s="12"/>
      <c r="YA27" s="12"/>
      <c r="YB27" s="12"/>
      <c r="YC27" s="12"/>
      <c r="YD27" s="12"/>
      <c r="YE27" s="12"/>
      <c r="YF27" s="12"/>
      <c r="YG27" s="12"/>
      <c r="YH27" s="12"/>
      <c r="YI27" s="12"/>
      <c r="YJ27" s="12"/>
      <c r="YK27" s="12"/>
      <c r="YL27" s="12"/>
      <c r="YM27" s="12"/>
      <c r="YN27" s="12"/>
      <c r="YO27" s="12"/>
      <c r="YP27" s="12"/>
      <c r="YQ27" s="12"/>
      <c r="YR27" s="12"/>
      <c r="YS27" s="12"/>
      <c r="YT27" s="12"/>
      <c r="YU27" s="12"/>
      <c r="YV27" s="12"/>
      <c r="YW27" s="12"/>
      <c r="YX27" s="12"/>
      <c r="YY27" s="12"/>
      <c r="YZ27" s="12"/>
      <c r="ZA27" s="12"/>
      <c r="ZB27" s="12"/>
      <c r="ZC27" s="12"/>
      <c r="ZD27" s="12"/>
      <c r="ZE27" s="12"/>
      <c r="ZF27" s="12"/>
      <c r="ZG27" s="12"/>
      <c r="ZH27" s="12"/>
      <c r="ZI27" s="12"/>
      <c r="ZJ27" s="12"/>
      <c r="ZK27" s="12"/>
      <c r="ZL27" s="12"/>
      <c r="ZM27" s="12"/>
      <c r="ZN27" s="12"/>
      <c r="ZO27" s="12"/>
      <c r="ZP27" s="12"/>
      <c r="ZQ27" s="12"/>
      <c r="ZR27" s="12"/>
      <c r="ZS27" s="12"/>
      <c r="ZT27" s="12"/>
      <c r="ZU27" s="12"/>
      <c r="ZV27" s="12"/>
      <c r="ZW27" s="12"/>
      <c r="ZX27" s="12"/>
      <c r="ZY27" s="12"/>
      <c r="ZZ27" s="12"/>
      <c r="AAA27" s="12"/>
      <c r="AAB27" s="12"/>
      <c r="AAC27" s="12"/>
      <c r="AAD27" s="12"/>
      <c r="AAE27" s="12"/>
      <c r="AAF27" s="12"/>
      <c r="AAG27" s="12"/>
      <c r="AAH27" s="12"/>
      <c r="AAI27" s="12"/>
      <c r="AAJ27" s="12"/>
      <c r="AAK27" s="12"/>
      <c r="AAL27" s="12"/>
      <c r="AAM27" s="12"/>
      <c r="AAN27" s="12"/>
      <c r="AAO27" s="12"/>
      <c r="AAP27" s="12"/>
      <c r="AAQ27" s="12"/>
      <c r="AAR27" s="12"/>
      <c r="AAS27" s="12"/>
      <c r="AAT27" s="12"/>
      <c r="AAU27" s="12"/>
      <c r="AAV27" s="12"/>
      <c r="AAW27" s="12"/>
      <c r="AAX27" s="12"/>
      <c r="AAY27" s="12"/>
      <c r="AAZ27" s="12"/>
      <c r="ABA27" s="12"/>
      <c r="ABB27" s="12"/>
      <c r="ABC27" s="12"/>
      <c r="ABD27" s="12"/>
      <c r="ABE27" s="12"/>
      <c r="ABF27" s="12"/>
      <c r="ABG27" s="12"/>
      <c r="ABH27" s="12"/>
      <c r="ABI27" s="12"/>
      <c r="ABJ27" s="12"/>
      <c r="ABK27" s="12"/>
      <c r="ABL27" s="12"/>
      <c r="ABM27" s="12"/>
      <c r="ABN27" s="12"/>
      <c r="ABO27" s="12"/>
      <c r="ABP27" s="12"/>
      <c r="ABQ27" s="12"/>
      <c r="ABR27" s="12"/>
      <c r="ABS27" s="12"/>
      <c r="ABT27" s="12"/>
      <c r="ABU27" s="12"/>
      <c r="ABV27" s="12"/>
      <c r="ABW27" s="12"/>
      <c r="ABX27" s="12"/>
      <c r="ABY27" s="12"/>
      <c r="ABZ27" s="12"/>
      <c r="ACA27" s="12"/>
      <c r="ACB27" s="12"/>
      <c r="ACC27" s="12"/>
      <c r="ACD27" s="12"/>
      <c r="ACE27" s="12"/>
      <c r="ACF27" s="12"/>
      <c r="ACG27" s="12"/>
      <c r="ACH27" s="12"/>
      <c r="ACI27" s="12"/>
      <c r="ACJ27" s="12"/>
      <c r="ACK27" s="12"/>
      <c r="ACL27" s="12"/>
      <c r="ACM27" s="12"/>
      <c r="ACN27" s="12"/>
      <c r="ACO27" s="12"/>
      <c r="ACP27" s="12"/>
      <c r="ACQ27" s="12"/>
      <c r="ACR27" s="12"/>
      <c r="ACS27" s="12"/>
      <c r="ACT27" s="12"/>
      <c r="ACU27" s="12"/>
      <c r="ACV27" s="12"/>
      <c r="ACW27" s="12"/>
      <c r="ACX27" s="12"/>
      <c r="ACY27" s="12"/>
      <c r="ACZ27" s="12"/>
      <c r="ADA27" s="12"/>
      <c r="ADB27" s="12"/>
      <c r="ADC27" s="12"/>
      <c r="ADD27" s="12"/>
      <c r="ADE27" s="12"/>
      <c r="ADF27" s="12"/>
      <c r="ADG27" s="12"/>
      <c r="ADH27" s="12"/>
      <c r="ADI27" s="12"/>
      <c r="ADJ27" s="12"/>
      <c r="ADK27" s="12"/>
      <c r="ADL27" s="12"/>
      <c r="ADM27" s="12"/>
      <c r="ADN27" s="12"/>
      <c r="ADO27" s="12"/>
      <c r="ADP27" s="12"/>
      <c r="ADQ27" s="12"/>
      <c r="ADR27" s="12"/>
      <c r="ADS27" s="12"/>
      <c r="ADT27" s="12"/>
      <c r="ADU27" s="12"/>
      <c r="ADV27" s="12"/>
      <c r="ADW27" s="12"/>
      <c r="ADX27" s="12"/>
      <c r="ADY27" s="12"/>
      <c r="ADZ27" s="12"/>
      <c r="AEA27" s="12"/>
      <c r="AEB27" s="12"/>
      <c r="AEC27" s="12"/>
      <c r="AED27" s="12"/>
      <c r="AEE27" s="12"/>
      <c r="AEF27" s="12"/>
      <c r="AEG27" s="12"/>
      <c r="AEH27" s="12"/>
      <c r="AEI27" s="12"/>
      <c r="AEJ27" s="12"/>
      <c r="AEK27" s="12"/>
      <c r="AEL27" s="12"/>
      <c r="AEM27" s="12"/>
      <c r="AEN27" s="12"/>
      <c r="AEO27" s="12"/>
      <c r="AEP27" s="12"/>
      <c r="AEQ27" s="12"/>
      <c r="AER27" s="12"/>
      <c r="AES27" s="12"/>
      <c r="AET27" s="12"/>
      <c r="AEU27" s="12"/>
      <c r="AEV27" s="12"/>
    </row>
    <row r="28" spans="1:828" s="13" customFormat="1" ht="19" x14ac:dyDescent="0.2">
      <c r="A28" s="14" t="s">
        <v>24</v>
      </c>
      <c r="B28" s="44">
        <f t="shared" si="0"/>
        <v>4.8339197520901253E-3</v>
      </c>
      <c r="C28" s="16" t="s">
        <v>25</v>
      </c>
      <c r="D28" s="11">
        <f>593+6</f>
        <v>599</v>
      </c>
      <c r="E28" s="16"/>
      <c r="F28" s="16"/>
      <c r="H28" s="45">
        <f>J28/J74</f>
        <v>1.8735624291942737E-2</v>
      </c>
      <c r="I28" s="16" t="s">
        <v>26</v>
      </c>
      <c r="J28" s="11">
        <v>2183</v>
      </c>
      <c r="K28" s="45"/>
      <c r="L28" s="16"/>
      <c r="M28" s="11"/>
      <c r="N28" s="12"/>
      <c r="O28" s="12"/>
      <c r="P28"/>
      <c r="Q28"/>
      <c r="R28"/>
      <c r="S28"/>
      <c r="T28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2"/>
      <c r="FJ28" s="12"/>
      <c r="FK28" s="12"/>
      <c r="FL28" s="12"/>
      <c r="FM28" s="12"/>
      <c r="FN28" s="12"/>
      <c r="FO28" s="12"/>
      <c r="FP28" s="12"/>
      <c r="FQ28" s="12"/>
      <c r="FR28" s="12"/>
      <c r="FS28" s="12"/>
      <c r="FT28" s="12"/>
      <c r="FU28" s="12"/>
      <c r="FV28" s="12"/>
      <c r="FW28" s="12"/>
      <c r="FX28" s="12"/>
      <c r="FY28" s="12"/>
      <c r="FZ28" s="12"/>
      <c r="GA28" s="12"/>
      <c r="GB28" s="12"/>
      <c r="GC28" s="12"/>
      <c r="GD28" s="12"/>
      <c r="GE28" s="12"/>
      <c r="GF28" s="12"/>
      <c r="GG28" s="12"/>
      <c r="GH28" s="12"/>
      <c r="GI28" s="12"/>
      <c r="GJ28" s="12"/>
      <c r="GK28" s="12"/>
      <c r="GL28" s="12"/>
      <c r="GM28" s="12"/>
      <c r="GN28" s="12"/>
      <c r="GO28" s="12"/>
      <c r="GP28" s="12"/>
      <c r="GQ28" s="12"/>
      <c r="GR28" s="12"/>
      <c r="GS28" s="12"/>
      <c r="GT28" s="12"/>
      <c r="GU28" s="12"/>
      <c r="GV28" s="12"/>
      <c r="GW28" s="12"/>
      <c r="GX28" s="12"/>
      <c r="GY28" s="12"/>
      <c r="GZ28" s="12"/>
      <c r="HA28" s="12"/>
      <c r="HB28" s="12"/>
      <c r="HC28" s="12"/>
      <c r="HD28" s="12"/>
      <c r="HE28" s="12"/>
      <c r="HF28" s="12"/>
      <c r="HG28" s="12"/>
      <c r="HH28" s="12"/>
      <c r="HI28" s="12"/>
      <c r="HJ28" s="12"/>
      <c r="HK28" s="12"/>
      <c r="HL28" s="12"/>
      <c r="HM28" s="12"/>
      <c r="HN28" s="12"/>
      <c r="HO28" s="12"/>
      <c r="HP28" s="12"/>
      <c r="HQ28" s="12"/>
      <c r="HR28" s="12"/>
      <c r="HS28" s="12"/>
      <c r="HT28" s="12"/>
      <c r="HU28" s="12"/>
      <c r="HV28" s="12"/>
      <c r="HW28" s="12"/>
      <c r="HX28" s="12"/>
      <c r="HY28" s="12"/>
      <c r="HZ28" s="12"/>
      <c r="IA28" s="12"/>
      <c r="IB28" s="12"/>
      <c r="IC28" s="12"/>
      <c r="ID28" s="12"/>
      <c r="IE28" s="12"/>
      <c r="IF28" s="12"/>
      <c r="IG28" s="12"/>
      <c r="IH28" s="12"/>
      <c r="II28" s="12"/>
      <c r="IJ28" s="12"/>
      <c r="IK28" s="12"/>
      <c r="IL28" s="12"/>
      <c r="IM28" s="12"/>
      <c r="IN28" s="12"/>
      <c r="IO28" s="12"/>
      <c r="IP28" s="12"/>
      <c r="IQ28" s="12"/>
      <c r="IR28" s="12"/>
      <c r="IS28" s="12"/>
      <c r="IT28" s="12"/>
      <c r="IU28" s="12"/>
      <c r="IV28" s="12"/>
      <c r="IW28" s="12"/>
      <c r="IX28" s="12"/>
      <c r="IY28" s="12"/>
      <c r="IZ28" s="12"/>
      <c r="JA28" s="12"/>
      <c r="JB28" s="12"/>
      <c r="JC28" s="12"/>
      <c r="JD28" s="12"/>
      <c r="JE28" s="12"/>
      <c r="JF28" s="12"/>
      <c r="JG28" s="12"/>
      <c r="JH28" s="12"/>
      <c r="JI28" s="12"/>
      <c r="JJ28" s="12"/>
      <c r="JK28" s="12"/>
      <c r="JL28" s="12"/>
      <c r="JM28" s="12"/>
      <c r="JN28" s="12"/>
      <c r="JO28" s="12"/>
      <c r="JP28" s="12"/>
      <c r="JQ28" s="12"/>
      <c r="JR28" s="12"/>
      <c r="JS28" s="12"/>
      <c r="JT28" s="12"/>
      <c r="JU28" s="12"/>
      <c r="JV28" s="12"/>
      <c r="JW28" s="12"/>
      <c r="JX28" s="12"/>
      <c r="JY28" s="12"/>
      <c r="JZ28" s="12"/>
      <c r="KA28" s="12"/>
      <c r="KB28" s="12"/>
      <c r="KC28" s="12"/>
      <c r="KD28" s="12"/>
      <c r="KE28" s="12"/>
      <c r="KF28" s="12"/>
      <c r="KG28" s="12"/>
      <c r="KH28" s="12"/>
      <c r="KI28" s="12"/>
      <c r="KJ28" s="12"/>
      <c r="KK28" s="12"/>
      <c r="KL28" s="12"/>
      <c r="KM28" s="12"/>
      <c r="KN28" s="12"/>
      <c r="KO28" s="12"/>
      <c r="KP28" s="12"/>
      <c r="KQ28" s="12"/>
      <c r="KR28" s="12"/>
      <c r="KS28" s="12"/>
      <c r="KT28" s="12"/>
      <c r="KU28" s="12"/>
      <c r="KV28" s="12"/>
      <c r="KW28" s="12"/>
      <c r="KX28" s="12"/>
      <c r="KY28" s="12"/>
      <c r="KZ28" s="12"/>
      <c r="LA28" s="12"/>
      <c r="LB28" s="12"/>
      <c r="LC28" s="12"/>
      <c r="LD28" s="12"/>
      <c r="LE28" s="12"/>
      <c r="LF28" s="12"/>
      <c r="LG28" s="12"/>
      <c r="LH28" s="12"/>
      <c r="LI28" s="12"/>
      <c r="LJ28" s="12"/>
      <c r="LK28" s="12"/>
      <c r="LL28" s="12"/>
      <c r="LM28" s="12"/>
      <c r="LN28" s="12"/>
      <c r="LO28" s="12"/>
      <c r="LP28" s="12"/>
      <c r="LQ28" s="12"/>
      <c r="LR28" s="12"/>
      <c r="LS28" s="12"/>
      <c r="LT28" s="12"/>
      <c r="LU28" s="12"/>
      <c r="LV28" s="12"/>
      <c r="LW28" s="12"/>
      <c r="LX28" s="12"/>
      <c r="LY28" s="12"/>
      <c r="LZ28" s="12"/>
      <c r="MA28" s="12"/>
      <c r="MB28" s="12"/>
      <c r="MC28" s="12"/>
      <c r="MD28" s="12"/>
      <c r="ME28" s="12"/>
      <c r="MF28" s="12"/>
      <c r="MG28" s="12"/>
      <c r="MH28" s="12"/>
      <c r="MI28" s="12"/>
      <c r="MJ28" s="12"/>
      <c r="MK28" s="12"/>
      <c r="ML28" s="12"/>
      <c r="MM28" s="12"/>
      <c r="MN28" s="12"/>
      <c r="MO28" s="12"/>
      <c r="MP28" s="12"/>
      <c r="MQ28" s="12"/>
      <c r="MR28" s="12"/>
      <c r="MS28" s="12"/>
      <c r="MT28" s="12"/>
      <c r="MU28" s="12"/>
      <c r="MV28" s="12"/>
      <c r="MW28" s="12"/>
      <c r="MX28" s="12"/>
      <c r="MY28" s="12"/>
      <c r="MZ28" s="12"/>
      <c r="NA28" s="12"/>
      <c r="NB28" s="12"/>
      <c r="NC28" s="12"/>
      <c r="ND28" s="12"/>
      <c r="NE28" s="12"/>
      <c r="NF28" s="12"/>
      <c r="NG28" s="12"/>
      <c r="NH28" s="12"/>
      <c r="NI28" s="12"/>
      <c r="NJ28" s="12"/>
      <c r="NK28" s="12"/>
      <c r="NL28" s="12"/>
      <c r="NM28" s="12"/>
      <c r="NN28" s="12"/>
      <c r="NO28" s="12"/>
      <c r="NP28" s="12"/>
      <c r="NQ28" s="12"/>
      <c r="NR28" s="12"/>
      <c r="NS28" s="12"/>
      <c r="NT28" s="12"/>
      <c r="NU28" s="12"/>
      <c r="NV28" s="12"/>
      <c r="NW28" s="12"/>
      <c r="NX28" s="12"/>
      <c r="NY28" s="12"/>
      <c r="NZ28" s="12"/>
      <c r="OA28" s="12"/>
      <c r="OB28" s="12"/>
      <c r="OC28" s="12"/>
      <c r="OD28" s="12"/>
      <c r="OE28" s="12"/>
      <c r="OF28" s="12"/>
      <c r="OG28" s="12"/>
      <c r="OH28" s="12"/>
      <c r="OI28" s="12"/>
      <c r="OJ28" s="12"/>
      <c r="OK28" s="12"/>
      <c r="OL28" s="12"/>
      <c r="OM28" s="12"/>
      <c r="ON28" s="12"/>
      <c r="OO28" s="12"/>
      <c r="OP28" s="12"/>
      <c r="OQ28" s="12"/>
      <c r="OR28" s="12"/>
      <c r="OS28" s="12"/>
      <c r="OT28" s="12"/>
      <c r="OU28" s="12"/>
      <c r="OV28" s="12"/>
      <c r="OW28" s="12"/>
      <c r="OX28" s="12"/>
      <c r="OY28" s="12"/>
      <c r="OZ28" s="12"/>
      <c r="PA28" s="12"/>
      <c r="PB28" s="12"/>
      <c r="PC28" s="12"/>
      <c r="PD28" s="12"/>
      <c r="PE28" s="12"/>
      <c r="PF28" s="12"/>
      <c r="PG28" s="12"/>
      <c r="PH28" s="12"/>
      <c r="PI28" s="12"/>
      <c r="PJ28" s="12"/>
      <c r="PK28" s="12"/>
      <c r="PL28" s="12"/>
      <c r="PM28" s="12"/>
      <c r="PN28" s="12"/>
      <c r="PO28" s="12"/>
      <c r="PP28" s="12"/>
      <c r="PQ28" s="12"/>
      <c r="PR28" s="12"/>
      <c r="PS28" s="12"/>
      <c r="PT28" s="12"/>
      <c r="PU28" s="12"/>
      <c r="PV28" s="12"/>
      <c r="PW28" s="12"/>
      <c r="PX28" s="12"/>
      <c r="PY28" s="12"/>
      <c r="PZ28" s="12"/>
      <c r="QA28" s="12"/>
      <c r="QB28" s="12"/>
      <c r="QC28" s="12"/>
      <c r="QD28" s="12"/>
      <c r="QE28" s="12"/>
      <c r="QF28" s="12"/>
      <c r="QG28" s="12"/>
      <c r="QH28" s="12"/>
      <c r="QI28" s="12"/>
      <c r="QJ28" s="12"/>
      <c r="QK28" s="12"/>
      <c r="QL28" s="12"/>
      <c r="QM28" s="12"/>
      <c r="QN28" s="12"/>
      <c r="QO28" s="12"/>
      <c r="QP28" s="12"/>
      <c r="QQ28" s="12"/>
      <c r="QR28" s="12"/>
      <c r="QS28" s="12"/>
      <c r="QT28" s="12"/>
      <c r="QU28" s="12"/>
      <c r="QV28" s="12"/>
      <c r="QW28" s="12"/>
      <c r="QX28" s="12"/>
      <c r="QY28" s="12"/>
      <c r="QZ28" s="12"/>
      <c r="RA28" s="12"/>
      <c r="RB28" s="12"/>
      <c r="RC28" s="12"/>
      <c r="RD28" s="12"/>
      <c r="RE28" s="12"/>
      <c r="RF28" s="12"/>
      <c r="RG28" s="12"/>
      <c r="RH28" s="12"/>
      <c r="RI28" s="12"/>
      <c r="RJ28" s="12"/>
      <c r="RK28" s="12"/>
      <c r="RL28" s="12"/>
      <c r="RM28" s="12"/>
      <c r="RN28" s="12"/>
      <c r="RO28" s="12"/>
      <c r="RP28" s="12"/>
      <c r="RQ28" s="12"/>
      <c r="RR28" s="12"/>
      <c r="RS28" s="12"/>
      <c r="RT28" s="12"/>
      <c r="RU28" s="12"/>
      <c r="RV28" s="12"/>
      <c r="RW28" s="12"/>
      <c r="RX28" s="12"/>
      <c r="RY28" s="12"/>
      <c r="RZ28" s="12"/>
      <c r="SA28" s="12"/>
      <c r="SB28" s="12"/>
      <c r="SC28" s="12"/>
      <c r="SD28" s="12"/>
      <c r="SE28" s="12"/>
      <c r="SF28" s="12"/>
      <c r="SG28" s="12"/>
      <c r="SH28" s="12"/>
      <c r="SI28" s="12"/>
      <c r="SJ28" s="12"/>
      <c r="SK28" s="12"/>
      <c r="SL28" s="12"/>
      <c r="SM28" s="12"/>
      <c r="SN28" s="12"/>
      <c r="SO28" s="12"/>
      <c r="SP28" s="12"/>
      <c r="SQ28" s="12"/>
      <c r="SR28" s="12"/>
      <c r="SS28" s="12"/>
      <c r="ST28" s="12"/>
      <c r="SU28" s="12"/>
      <c r="SV28" s="12"/>
      <c r="SW28" s="12"/>
      <c r="SX28" s="12"/>
      <c r="SY28" s="12"/>
      <c r="SZ28" s="12"/>
      <c r="TA28" s="12"/>
      <c r="TB28" s="12"/>
      <c r="TC28" s="12"/>
      <c r="TD28" s="12"/>
      <c r="TE28" s="12"/>
      <c r="TF28" s="12"/>
      <c r="TG28" s="12"/>
      <c r="TH28" s="12"/>
      <c r="TI28" s="12"/>
      <c r="TJ28" s="12"/>
      <c r="TK28" s="12"/>
      <c r="TL28" s="12"/>
      <c r="TM28" s="12"/>
      <c r="TN28" s="12"/>
      <c r="TO28" s="12"/>
      <c r="TP28" s="12"/>
      <c r="TQ28" s="12"/>
      <c r="TR28" s="12"/>
      <c r="TS28" s="12"/>
      <c r="TT28" s="12"/>
      <c r="TU28" s="12"/>
      <c r="TV28" s="12"/>
      <c r="TW28" s="12"/>
      <c r="TX28" s="12"/>
      <c r="TY28" s="12"/>
      <c r="TZ28" s="12"/>
      <c r="UA28" s="12"/>
      <c r="UB28" s="12"/>
      <c r="UC28" s="12"/>
      <c r="UD28" s="12"/>
      <c r="UE28" s="12"/>
      <c r="UF28" s="12"/>
      <c r="UG28" s="12"/>
      <c r="UH28" s="12"/>
      <c r="UI28" s="12"/>
      <c r="UJ28" s="12"/>
      <c r="UK28" s="12"/>
      <c r="UL28" s="12"/>
      <c r="UM28" s="12"/>
      <c r="UN28" s="12"/>
      <c r="UO28" s="12"/>
      <c r="UP28" s="12"/>
      <c r="UQ28" s="12"/>
      <c r="UR28" s="12"/>
      <c r="US28" s="12"/>
      <c r="UT28" s="12"/>
      <c r="UU28" s="12"/>
      <c r="UV28" s="12"/>
      <c r="UW28" s="12"/>
      <c r="UX28" s="12"/>
      <c r="UY28" s="12"/>
      <c r="UZ28" s="12"/>
      <c r="VA28" s="12"/>
      <c r="VB28" s="12"/>
      <c r="VC28" s="12"/>
      <c r="VD28" s="12"/>
      <c r="VE28" s="12"/>
      <c r="VF28" s="12"/>
      <c r="VG28" s="12"/>
      <c r="VH28" s="12"/>
      <c r="VI28" s="12"/>
      <c r="VJ28" s="12"/>
      <c r="VK28" s="12"/>
      <c r="VL28" s="12"/>
      <c r="VM28" s="12"/>
      <c r="VN28" s="12"/>
      <c r="VO28" s="12"/>
      <c r="VP28" s="12"/>
      <c r="VQ28" s="12"/>
      <c r="VR28" s="12"/>
      <c r="VS28" s="12"/>
      <c r="VT28" s="12"/>
      <c r="VU28" s="12"/>
      <c r="VV28" s="12"/>
      <c r="VW28" s="12"/>
      <c r="VX28" s="12"/>
      <c r="VY28" s="12"/>
      <c r="VZ28" s="12"/>
      <c r="WA28" s="12"/>
      <c r="WB28" s="12"/>
      <c r="WC28" s="12"/>
      <c r="WD28" s="12"/>
      <c r="WE28" s="12"/>
      <c r="WF28" s="12"/>
      <c r="WG28" s="12"/>
      <c r="WH28" s="12"/>
      <c r="WI28" s="12"/>
      <c r="WJ28" s="12"/>
      <c r="WK28" s="12"/>
      <c r="WL28" s="12"/>
      <c r="WM28" s="12"/>
      <c r="WN28" s="12"/>
      <c r="WO28" s="12"/>
      <c r="WP28" s="12"/>
      <c r="WQ28" s="12"/>
      <c r="WR28" s="12"/>
      <c r="WS28" s="12"/>
      <c r="WT28" s="12"/>
      <c r="WU28" s="12"/>
      <c r="WV28" s="12"/>
      <c r="WW28" s="12"/>
      <c r="WX28" s="12"/>
      <c r="WY28" s="12"/>
      <c r="WZ28" s="12"/>
      <c r="XA28" s="12"/>
      <c r="XB28" s="12"/>
      <c r="XC28" s="12"/>
      <c r="XD28" s="12"/>
      <c r="XE28" s="12"/>
      <c r="XF28" s="12"/>
      <c r="XG28" s="12"/>
      <c r="XH28" s="12"/>
      <c r="XI28" s="12"/>
      <c r="XJ28" s="12"/>
      <c r="XK28" s="12"/>
      <c r="XL28" s="12"/>
      <c r="XM28" s="12"/>
      <c r="XN28" s="12"/>
      <c r="XO28" s="12"/>
      <c r="XP28" s="12"/>
      <c r="XQ28" s="12"/>
      <c r="XR28" s="12"/>
      <c r="XS28" s="12"/>
      <c r="XT28" s="12"/>
      <c r="XU28" s="12"/>
      <c r="XV28" s="12"/>
      <c r="XW28" s="12"/>
      <c r="XX28" s="12"/>
      <c r="XY28" s="12"/>
      <c r="XZ28" s="12"/>
      <c r="YA28" s="12"/>
      <c r="YB28" s="12"/>
      <c r="YC28" s="12"/>
      <c r="YD28" s="12"/>
      <c r="YE28" s="12"/>
      <c r="YF28" s="12"/>
      <c r="YG28" s="12"/>
      <c r="YH28" s="12"/>
      <c r="YI28" s="12"/>
      <c r="YJ28" s="12"/>
      <c r="YK28" s="12"/>
      <c r="YL28" s="12"/>
      <c r="YM28" s="12"/>
      <c r="YN28" s="12"/>
      <c r="YO28" s="12"/>
      <c r="YP28" s="12"/>
      <c r="YQ28" s="12"/>
      <c r="YR28" s="12"/>
      <c r="YS28" s="12"/>
      <c r="YT28" s="12"/>
      <c r="YU28" s="12"/>
      <c r="YV28" s="12"/>
      <c r="YW28" s="12"/>
      <c r="YX28" s="12"/>
      <c r="YY28" s="12"/>
      <c r="YZ28" s="12"/>
      <c r="ZA28" s="12"/>
      <c r="ZB28" s="12"/>
      <c r="ZC28" s="12"/>
      <c r="ZD28" s="12"/>
      <c r="ZE28" s="12"/>
      <c r="ZF28" s="12"/>
      <c r="ZG28" s="12"/>
      <c r="ZH28" s="12"/>
      <c r="ZI28" s="12"/>
      <c r="ZJ28" s="12"/>
      <c r="ZK28" s="12"/>
      <c r="ZL28" s="12"/>
      <c r="ZM28" s="12"/>
      <c r="ZN28" s="12"/>
      <c r="ZO28" s="12"/>
      <c r="ZP28" s="12"/>
      <c r="ZQ28" s="12"/>
      <c r="ZR28" s="12"/>
      <c r="ZS28" s="12"/>
      <c r="ZT28" s="12"/>
      <c r="ZU28" s="12"/>
      <c r="ZV28" s="12"/>
      <c r="ZW28" s="12"/>
      <c r="ZX28" s="12"/>
      <c r="ZY28" s="12"/>
      <c r="ZZ28" s="12"/>
      <c r="AAA28" s="12"/>
      <c r="AAB28" s="12"/>
      <c r="AAC28" s="12"/>
      <c r="AAD28" s="12"/>
      <c r="AAE28" s="12"/>
      <c r="AAF28" s="12"/>
      <c r="AAG28" s="12"/>
      <c r="AAH28" s="12"/>
      <c r="AAI28" s="12"/>
      <c r="AAJ28" s="12"/>
      <c r="AAK28" s="12"/>
      <c r="AAL28" s="12"/>
      <c r="AAM28" s="12"/>
      <c r="AAN28" s="12"/>
      <c r="AAO28" s="12"/>
      <c r="AAP28" s="12"/>
      <c r="AAQ28" s="12"/>
      <c r="AAR28" s="12"/>
      <c r="AAS28" s="12"/>
      <c r="AAT28" s="12"/>
      <c r="AAU28" s="12"/>
      <c r="AAV28" s="12"/>
      <c r="AAW28" s="12"/>
      <c r="AAX28" s="12"/>
      <c r="AAY28" s="12"/>
      <c r="AAZ28" s="12"/>
      <c r="ABA28" s="12"/>
      <c r="ABB28" s="12"/>
      <c r="ABC28" s="12"/>
      <c r="ABD28" s="12"/>
      <c r="ABE28" s="12"/>
      <c r="ABF28" s="12"/>
      <c r="ABG28" s="12"/>
      <c r="ABH28" s="12"/>
      <c r="ABI28" s="12"/>
      <c r="ABJ28" s="12"/>
      <c r="ABK28" s="12"/>
      <c r="ABL28" s="12"/>
      <c r="ABM28" s="12"/>
      <c r="ABN28" s="12"/>
      <c r="ABO28" s="12"/>
      <c r="ABP28" s="12"/>
      <c r="ABQ28" s="12"/>
      <c r="ABR28" s="12"/>
      <c r="ABS28" s="12"/>
      <c r="ABT28" s="12"/>
      <c r="ABU28" s="12"/>
      <c r="ABV28" s="12"/>
      <c r="ABW28" s="12"/>
      <c r="ABX28" s="12"/>
      <c r="ABY28" s="12"/>
      <c r="ABZ28" s="12"/>
      <c r="ACA28" s="12"/>
      <c r="ACB28" s="12"/>
      <c r="ACC28" s="12"/>
      <c r="ACD28" s="12"/>
      <c r="ACE28" s="12"/>
      <c r="ACF28" s="12"/>
      <c r="ACG28" s="12"/>
      <c r="ACH28" s="12"/>
      <c r="ACI28" s="12"/>
      <c r="ACJ28" s="12"/>
      <c r="ACK28" s="12"/>
      <c r="ACL28" s="12"/>
      <c r="ACM28" s="12"/>
      <c r="ACN28" s="12"/>
      <c r="ACO28" s="12"/>
      <c r="ACP28" s="12"/>
      <c r="ACQ28" s="12"/>
      <c r="ACR28" s="12"/>
      <c r="ACS28" s="12"/>
      <c r="ACT28" s="12"/>
      <c r="ACU28" s="12"/>
      <c r="ACV28" s="12"/>
      <c r="ACW28" s="12"/>
      <c r="ACX28" s="12"/>
      <c r="ACY28" s="12"/>
      <c r="ACZ28" s="12"/>
      <c r="ADA28" s="12"/>
      <c r="ADB28" s="12"/>
      <c r="ADC28" s="12"/>
      <c r="ADD28" s="12"/>
      <c r="ADE28" s="12"/>
      <c r="ADF28" s="12"/>
      <c r="ADG28" s="12"/>
      <c r="ADH28" s="12"/>
      <c r="ADI28" s="12"/>
      <c r="ADJ28" s="12"/>
      <c r="ADK28" s="12"/>
      <c r="ADL28" s="12"/>
      <c r="ADM28" s="12"/>
      <c r="ADN28" s="12"/>
      <c r="ADO28" s="12"/>
      <c r="ADP28" s="12"/>
      <c r="ADQ28" s="12"/>
      <c r="ADR28" s="12"/>
      <c r="ADS28" s="12"/>
      <c r="ADT28" s="12"/>
      <c r="ADU28" s="12"/>
      <c r="ADV28" s="12"/>
      <c r="ADW28" s="12"/>
      <c r="ADX28" s="12"/>
      <c r="ADY28" s="12"/>
      <c r="ADZ28" s="12"/>
      <c r="AEA28" s="12"/>
      <c r="AEB28" s="12"/>
      <c r="AEC28" s="12"/>
      <c r="AED28" s="12"/>
      <c r="AEE28" s="12"/>
      <c r="AEF28" s="12"/>
      <c r="AEG28" s="12"/>
      <c r="AEH28" s="12"/>
      <c r="AEI28" s="12"/>
      <c r="AEJ28" s="12"/>
      <c r="AEK28" s="12"/>
      <c r="AEL28" s="12"/>
      <c r="AEM28" s="12"/>
      <c r="AEN28" s="12"/>
      <c r="AEO28" s="12"/>
      <c r="AEP28" s="12"/>
      <c r="AEQ28" s="12"/>
      <c r="AER28" s="12"/>
      <c r="AES28" s="12"/>
      <c r="AET28" s="12"/>
      <c r="AEU28" s="12"/>
      <c r="AEV28" s="12"/>
    </row>
    <row r="29" spans="1:828" s="13" customFormat="1" ht="18" x14ac:dyDescent="0.2">
      <c r="A29" s="14"/>
      <c r="B29" s="16"/>
      <c r="C29" s="16"/>
      <c r="D29" s="11"/>
      <c r="E29" s="16"/>
      <c r="F29" s="16"/>
      <c r="H29" s="15"/>
      <c r="I29" s="16"/>
      <c r="J29" s="11"/>
      <c r="K29" s="15"/>
      <c r="L29" s="16"/>
      <c r="M29" s="11"/>
      <c r="N29" s="12"/>
      <c r="O29" s="12"/>
      <c r="P29"/>
      <c r="Q29"/>
      <c r="R29"/>
      <c r="S29"/>
      <c r="T29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2"/>
      <c r="EJ29" s="12"/>
      <c r="EK29" s="12"/>
      <c r="EL29" s="12"/>
      <c r="EM29" s="12"/>
      <c r="EN29" s="12"/>
      <c r="EO29" s="12"/>
      <c r="EP29" s="12"/>
      <c r="EQ29" s="12"/>
      <c r="ER29" s="12"/>
      <c r="ES29" s="12"/>
      <c r="ET29" s="12"/>
      <c r="EU29" s="12"/>
      <c r="EV29" s="12"/>
      <c r="EW29" s="12"/>
      <c r="EX29" s="12"/>
      <c r="EY29" s="12"/>
      <c r="EZ29" s="12"/>
      <c r="FA29" s="12"/>
      <c r="FB29" s="12"/>
      <c r="FC29" s="12"/>
      <c r="FD29" s="12"/>
      <c r="FE29" s="12"/>
      <c r="FF29" s="12"/>
      <c r="FG29" s="12"/>
      <c r="FH29" s="12"/>
      <c r="FI29" s="12"/>
      <c r="FJ29" s="12"/>
      <c r="FK29" s="12"/>
      <c r="FL29" s="12"/>
      <c r="FM29" s="12"/>
      <c r="FN29" s="12"/>
      <c r="FO29" s="12"/>
      <c r="FP29" s="12"/>
      <c r="FQ29" s="12"/>
      <c r="FR29" s="12"/>
      <c r="FS29" s="12"/>
      <c r="FT29" s="12"/>
      <c r="FU29" s="12"/>
      <c r="FV29" s="12"/>
      <c r="FW29" s="12"/>
      <c r="FX29" s="12"/>
      <c r="FY29" s="12"/>
      <c r="FZ29" s="12"/>
      <c r="GA29" s="12"/>
      <c r="GB29" s="12"/>
      <c r="GC29" s="12"/>
      <c r="GD29" s="12"/>
      <c r="GE29" s="12"/>
      <c r="GF29" s="12"/>
      <c r="GG29" s="12"/>
      <c r="GH29" s="12"/>
      <c r="GI29" s="12"/>
      <c r="GJ29" s="12"/>
      <c r="GK29" s="12"/>
      <c r="GL29" s="12"/>
      <c r="GM29" s="12"/>
      <c r="GN29" s="12"/>
      <c r="GO29" s="12"/>
      <c r="GP29" s="12"/>
      <c r="GQ29" s="12"/>
      <c r="GR29" s="12"/>
      <c r="GS29" s="12"/>
      <c r="GT29" s="12"/>
      <c r="GU29" s="12"/>
      <c r="GV29" s="12"/>
      <c r="GW29" s="12"/>
      <c r="GX29" s="12"/>
      <c r="GY29" s="12"/>
      <c r="GZ29" s="12"/>
      <c r="HA29" s="12"/>
      <c r="HB29" s="12"/>
      <c r="HC29" s="12"/>
      <c r="HD29" s="12"/>
      <c r="HE29" s="12"/>
      <c r="HF29" s="12"/>
      <c r="HG29" s="12"/>
      <c r="HH29" s="12"/>
      <c r="HI29" s="12"/>
      <c r="HJ29" s="12"/>
      <c r="HK29" s="12"/>
      <c r="HL29" s="12"/>
      <c r="HM29" s="12"/>
      <c r="HN29" s="12"/>
      <c r="HO29" s="12"/>
      <c r="HP29" s="12"/>
      <c r="HQ29" s="12"/>
      <c r="HR29" s="12"/>
      <c r="HS29" s="12"/>
      <c r="HT29" s="12"/>
      <c r="HU29" s="12"/>
      <c r="HV29" s="12"/>
      <c r="HW29" s="12"/>
      <c r="HX29" s="12"/>
      <c r="HY29" s="12"/>
      <c r="HZ29" s="12"/>
      <c r="IA29" s="12"/>
      <c r="IB29" s="12"/>
      <c r="IC29" s="12"/>
      <c r="ID29" s="12"/>
      <c r="IE29" s="12"/>
      <c r="IF29" s="12"/>
      <c r="IG29" s="12"/>
      <c r="IH29" s="12"/>
      <c r="II29" s="12"/>
      <c r="IJ29" s="12"/>
      <c r="IK29" s="12"/>
      <c r="IL29" s="12"/>
      <c r="IM29" s="12"/>
      <c r="IN29" s="12"/>
      <c r="IO29" s="12"/>
      <c r="IP29" s="12"/>
      <c r="IQ29" s="12"/>
      <c r="IR29" s="12"/>
      <c r="IS29" s="12"/>
      <c r="IT29" s="12"/>
      <c r="IU29" s="12"/>
      <c r="IV29" s="12"/>
      <c r="IW29" s="12"/>
      <c r="IX29" s="12"/>
      <c r="IY29" s="12"/>
      <c r="IZ29" s="12"/>
      <c r="JA29" s="12"/>
      <c r="JB29" s="12"/>
      <c r="JC29" s="12"/>
      <c r="JD29" s="12"/>
      <c r="JE29" s="12"/>
      <c r="JF29" s="12"/>
      <c r="JG29" s="12"/>
      <c r="JH29" s="12"/>
      <c r="JI29" s="12"/>
      <c r="JJ29" s="12"/>
      <c r="JK29" s="12"/>
      <c r="JL29" s="12"/>
      <c r="JM29" s="12"/>
      <c r="JN29" s="12"/>
      <c r="JO29" s="12"/>
      <c r="JP29" s="12"/>
      <c r="JQ29" s="12"/>
      <c r="JR29" s="12"/>
      <c r="JS29" s="12"/>
      <c r="JT29" s="12"/>
      <c r="JU29" s="12"/>
      <c r="JV29" s="12"/>
      <c r="JW29" s="12"/>
      <c r="JX29" s="12"/>
      <c r="JY29" s="12"/>
      <c r="JZ29" s="12"/>
      <c r="KA29" s="12"/>
      <c r="KB29" s="12"/>
      <c r="KC29" s="12"/>
      <c r="KD29" s="12"/>
      <c r="KE29" s="12"/>
      <c r="KF29" s="12"/>
      <c r="KG29" s="12"/>
      <c r="KH29" s="12"/>
      <c r="KI29" s="12"/>
      <c r="KJ29" s="12"/>
      <c r="KK29" s="12"/>
      <c r="KL29" s="12"/>
      <c r="KM29" s="12"/>
      <c r="KN29" s="12"/>
      <c r="KO29" s="12"/>
      <c r="KP29" s="12"/>
      <c r="KQ29" s="12"/>
      <c r="KR29" s="12"/>
      <c r="KS29" s="12"/>
      <c r="KT29" s="12"/>
      <c r="KU29" s="12"/>
      <c r="KV29" s="12"/>
      <c r="KW29" s="12"/>
      <c r="KX29" s="12"/>
      <c r="KY29" s="12"/>
      <c r="KZ29" s="12"/>
      <c r="LA29" s="12"/>
      <c r="LB29" s="12"/>
      <c r="LC29" s="12"/>
      <c r="LD29" s="12"/>
      <c r="LE29" s="12"/>
      <c r="LF29" s="12"/>
      <c r="LG29" s="12"/>
      <c r="LH29" s="12"/>
      <c r="LI29" s="12"/>
      <c r="LJ29" s="12"/>
      <c r="LK29" s="12"/>
      <c r="LL29" s="12"/>
      <c r="LM29" s="12"/>
      <c r="LN29" s="12"/>
      <c r="LO29" s="12"/>
      <c r="LP29" s="12"/>
      <c r="LQ29" s="12"/>
      <c r="LR29" s="12"/>
      <c r="LS29" s="12"/>
      <c r="LT29" s="12"/>
      <c r="LU29" s="12"/>
      <c r="LV29" s="12"/>
      <c r="LW29" s="12"/>
      <c r="LX29" s="12"/>
      <c r="LY29" s="12"/>
      <c r="LZ29" s="12"/>
      <c r="MA29" s="12"/>
      <c r="MB29" s="12"/>
      <c r="MC29" s="12"/>
      <c r="MD29" s="12"/>
      <c r="ME29" s="12"/>
      <c r="MF29" s="12"/>
      <c r="MG29" s="12"/>
      <c r="MH29" s="12"/>
      <c r="MI29" s="12"/>
      <c r="MJ29" s="12"/>
      <c r="MK29" s="12"/>
      <c r="ML29" s="12"/>
      <c r="MM29" s="12"/>
      <c r="MN29" s="12"/>
      <c r="MO29" s="12"/>
      <c r="MP29" s="12"/>
      <c r="MQ29" s="12"/>
      <c r="MR29" s="12"/>
      <c r="MS29" s="12"/>
      <c r="MT29" s="12"/>
      <c r="MU29" s="12"/>
      <c r="MV29" s="12"/>
      <c r="MW29" s="12"/>
      <c r="MX29" s="12"/>
      <c r="MY29" s="12"/>
      <c r="MZ29" s="12"/>
      <c r="NA29" s="12"/>
      <c r="NB29" s="12"/>
      <c r="NC29" s="12"/>
      <c r="ND29" s="12"/>
      <c r="NE29" s="12"/>
      <c r="NF29" s="12"/>
      <c r="NG29" s="12"/>
      <c r="NH29" s="12"/>
      <c r="NI29" s="12"/>
      <c r="NJ29" s="12"/>
      <c r="NK29" s="12"/>
      <c r="NL29" s="12"/>
      <c r="NM29" s="12"/>
      <c r="NN29" s="12"/>
      <c r="NO29" s="12"/>
      <c r="NP29" s="12"/>
      <c r="NQ29" s="12"/>
      <c r="NR29" s="12"/>
      <c r="NS29" s="12"/>
      <c r="NT29" s="12"/>
      <c r="NU29" s="12"/>
      <c r="NV29" s="12"/>
      <c r="NW29" s="12"/>
      <c r="NX29" s="12"/>
      <c r="NY29" s="12"/>
      <c r="NZ29" s="12"/>
      <c r="OA29" s="12"/>
      <c r="OB29" s="12"/>
      <c r="OC29" s="12"/>
      <c r="OD29" s="12"/>
      <c r="OE29" s="12"/>
      <c r="OF29" s="12"/>
      <c r="OG29" s="12"/>
      <c r="OH29" s="12"/>
      <c r="OI29" s="12"/>
      <c r="OJ29" s="12"/>
      <c r="OK29" s="12"/>
      <c r="OL29" s="12"/>
      <c r="OM29" s="12"/>
      <c r="ON29" s="12"/>
      <c r="OO29" s="12"/>
      <c r="OP29" s="12"/>
      <c r="OQ29" s="12"/>
      <c r="OR29" s="12"/>
      <c r="OS29" s="12"/>
      <c r="OT29" s="12"/>
      <c r="OU29" s="12"/>
      <c r="OV29" s="12"/>
      <c r="OW29" s="12"/>
      <c r="OX29" s="12"/>
      <c r="OY29" s="12"/>
      <c r="OZ29" s="12"/>
      <c r="PA29" s="12"/>
      <c r="PB29" s="12"/>
      <c r="PC29" s="12"/>
      <c r="PD29" s="12"/>
      <c r="PE29" s="12"/>
      <c r="PF29" s="12"/>
      <c r="PG29" s="12"/>
      <c r="PH29" s="12"/>
      <c r="PI29" s="12"/>
      <c r="PJ29" s="12"/>
      <c r="PK29" s="12"/>
      <c r="PL29" s="12"/>
      <c r="PM29" s="12"/>
      <c r="PN29" s="12"/>
      <c r="PO29" s="12"/>
      <c r="PP29" s="12"/>
      <c r="PQ29" s="12"/>
      <c r="PR29" s="12"/>
      <c r="PS29" s="12"/>
      <c r="PT29" s="12"/>
      <c r="PU29" s="12"/>
      <c r="PV29" s="12"/>
      <c r="PW29" s="12"/>
      <c r="PX29" s="12"/>
      <c r="PY29" s="12"/>
      <c r="PZ29" s="12"/>
      <c r="QA29" s="12"/>
      <c r="QB29" s="12"/>
      <c r="QC29" s="12"/>
      <c r="QD29" s="12"/>
      <c r="QE29" s="12"/>
      <c r="QF29" s="12"/>
      <c r="QG29" s="12"/>
      <c r="QH29" s="12"/>
      <c r="QI29" s="12"/>
      <c r="QJ29" s="12"/>
      <c r="QK29" s="12"/>
      <c r="QL29" s="12"/>
      <c r="QM29" s="12"/>
      <c r="QN29" s="12"/>
      <c r="QO29" s="12"/>
      <c r="QP29" s="12"/>
      <c r="QQ29" s="12"/>
      <c r="QR29" s="12"/>
      <c r="QS29" s="12"/>
      <c r="QT29" s="12"/>
      <c r="QU29" s="12"/>
      <c r="QV29" s="12"/>
      <c r="QW29" s="12"/>
      <c r="QX29" s="12"/>
      <c r="QY29" s="12"/>
      <c r="QZ29" s="12"/>
      <c r="RA29" s="12"/>
      <c r="RB29" s="12"/>
      <c r="RC29" s="12"/>
      <c r="RD29" s="12"/>
      <c r="RE29" s="12"/>
      <c r="RF29" s="12"/>
      <c r="RG29" s="12"/>
      <c r="RH29" s="12"/>
      <c r="RI29" s="12"/>
      <c r="RJ29" s="12"/>
      <c r="RK29" s="12"/>
      <c r="RL29" s="12"/>
      <c r="RM29" s="12"/>
      <c r="RN29" s="12"/>
      <c r="RO29" s="12"/>
      <c r="RP29" s="12"/>
      <c r="RQ29" s="12"/>
      <c r="RR29" s="12"/>
      <c r="RS29" s="12"/>
      <c r="RT29" s="12"/>
      <c r="RU29" s="12"/>
      <c r="RV29" s="12"/>
      <c r="RW29" s="12"/>
      <c r="RX29" s="12"/>
      <c r="RY29" s="12"/>
      <c r="RZ29" s="12"/>
      <c r="SA29" s="12"/>
      <c r="SB29" s="12"/>
      <c r="SC29" s="12"/>
      <c r="SD29" s="12"/>
      <c r="SE29" s="12"/>
      <c r="SF29" s="12"/>
      <c r="SG29" s="12"/>
      <c r="SH29" s="12"/>
      <c r="SI29" s="12"/>
      <c r="SJ29" s="12"/>
      <c r="SK29" s="12"/>
      <c r="SL29" s="12"/>
      <c r="SM29" s="12"/>
      <c r="SN29" s="12"/>
      <c r="SO29" s="12"/>
      <c r="SP29" s="12"/>
      <c r="SQ29" s="12"/>
      <c r="SR29" s="12"/>
      <c r="SS29" s="12"/>
      <c r="ST29" s="12"/>
      <c r="SU29" s="12"/>
      <c r="SV29" s="12"/>
      <c r="SW29" s="12"/>
      <c r="SX29" s="12"/>
      <c r="SY29" s="12"/>
      <c r="SZ29" s="12"/>
      <c r="TA29" s="12"/>
      <c r="TB29" s="12"/>
      <c r="TC29" s="12"/>
      <c r="TD29" s="12"/>
      <c r="TE29" s="12"/>
      <c r="TF29" s="12"/>
      <c r="TG29" s="12"/>
      <c r="TH29" s="12"/>
      <c r="TI29" s="12"/>
      <c r="TJ29" s="12"/>
      <c r="TK29" s="12"/>
      <c r="TL29" s="12"/>
      <c r="TM29" s="12"/>
      <c r="TN29" s="12"/>
      <c r="TO29" s="12"/>
      <c r="TP29" s="12"/>
      <c r="TQ29" s="12"/>
      <c r="TR29" s="12"/>
      <c r="TS29" s="12"/>
      <c r="TT29" s="12"/>
      <c r="TU29" s="12"/>
      <c r="TV29" s="12"/>
      <c r="TW29" s="12"/>
      <c r="TX29" s="12"/>
      <c r="TY29" s="12"/>
      <c r="TZ29" s="12"/>
      <c r="UA29" s="12"/>
      <c r="UB29" s="12"/>
      <c r="UC29" s="12"/>
      <c r="UD29" s="12"/>
      <c r="UE29" s="12"/>
      <c r="UF29" s="12"/>
      <c r="UG29" s="12"/>
      <c r="UH29" s="12"/>
      <c r="UI29" s="12"/>
      <c r="UJ29" s="12"/>
      <c r="UK29" s="12"/>
      <c r="UL29" s="12"/>
      <c r="UM29" s="12"/>
      <c r="UN29" s="12"/>
      <c r="UO29" s="12"/>
      <c r="UP29" s="12"/>
      <c r="UQ29" s="12"/>
      <c r="UR29" s="12"/>
      <c r="US29" s="12"/>
      <c r="UT29" s="12"/>
      <c r="UU29" s="12"/>
      <c r="UV29" s="12"/>
      <c r="UW29" s="12"/>
      <c r="UX29" s="12"/>
      <c r="UY29" s="12"/>
      <c r="UZ29" s="12"/>
      <c r="VA29" s="12"/>
      <c r="VB29" s="12"/>
      <c r="VC29" s="12"/>
      <c r="VD29" s="12"/>
      <c r="VE29" s="12"/>
      <c r="VF29" s="12"/>
      <c r="VG29" s="12"/>
      <c r="VH29" s="12"/>
      <c r="VI29" s="12"/>
      <c r="VJ29" s="12"/>
      <c r="VK29" s="12"/>
      <c r="VL29" s="12"/>
      <c r="VM29" s="12"/>
      <c r="VN29" s="12"/>
      <c r="VO29" s="12"/>
      <c r="VP29" s="12"/>
      <c r="VQ29" s="12"/>
      <c r="VR29" s="12"/>
      <c r="VS29" s="12"/>
      <c r="VT29" s="12"/>
      <c r="VU29" s="12"/>
      <c r="VV29" s="12"/>
      <c r="VW29" s="12"/>
      <c r="VX29" s="12"/>
      <c r="VY29" s="12"/>
      <c r="VZ29" s="12"/>
      <c r="WA29" s="12"/>
      <c r="WB29" s="12"/>
      <c r="WC29" s="12"/>
      <c r="WD29" s="12"/>
      <c r="WE29" s="12"/>
      <c r="WF29" s="12"/>
      <c r="WG29" s="12"/>
      <c r="WH29" s="12"/>
      <c r="WI29" s="12"/>
      <c r="WJ29" s="12"/>
      <c r="WK29" s="12"/>
      <c r="WL29" s="12"/>
      <c r="WM29" s="12"/>
      <c r="WN29" s="12"/>
      <c r="WO29" s="12"/>
      <c r="WP29" s="12"/>
      <c r="WQ29" s="12"/>
      <c r="WR29" s="12"/>
      <c r="WS29" s="12"/>
      <c r="WT29" s="12"/>
      <c r="WU29" s="12"/>
      <c r="WV29" s="12"/>
      <c r="WW29" s="12"/>
      <c r="WX29" s="12"/>
      <c r="WY29" s="12"/>
      <c r="WZ29" s="12"/>
      <c r="XA29" s="12"/>
      <c r="XB29" s="12"/>
      <c r="XC29" s="12"/>
      <c r="XD29" s="12"/>
      <c r="XE29" s="12"/>
      <c r="XF29" s="12"/>
      <c r="XG29" s="12"/>
      <c r="XH29" s="12"/>
      <c r="XI29" s="12"/>
      <c r="XJ29" s="12"/>
      <c r="XK29" s="12"/>
      <c r="XL29" s="12"/>
      <c r="XM29" s="12"/>
      <c r="XN29" s="12"/>
      <c r="XO29" s="12"/>
      <c r="XP29" s="12"/>
      <c r="XQ29" s="12"/>
      <c r="XR29" s="12"/>
      <c r="XS29" s="12"/>
      <c r="XT29" s="12"/>
      <c r="XU29" s="12"/>
      <c r="XV29" s="12"/>
      <c r="XW29" s="12"/>
      <c r="XX29" s="12"/>
      <c r="XY29" s="12"/>
      <c r="XZ29" s="12"/>
      <c r="YA29" s="12"/>
      <c r="YB29" s="12"/>
      <c r="YC29" s="12"/>
      <c r="YD29" s="12"/>
      <c r="YE29" s="12"/>
      <c r="YF29" s="12"/>
      <c r="YG29" s="12"/>
      <c r="YH29" s="12"/>
      <c r="YI29" s="12"/>
      <c r="YJ29" s="12"/>
      <c r="YK29" s="12"/>
      <c r="YL29" s="12"/>
      <c r="YM29" s="12"/>
      <c r="YN29" s="12"/>
      <c r="YO29" s="12"/>
      <c r="YP29" s="12"/>
      <c r="YQ29" s="12"/>
      <c r="YR29" s="12"/>
      <c r="YS29" s="12"/>
      <c r="YT29" s="12"/>
      <c r="YU29" s="12"/>
      <c r="YV29" s="12"/>
      <c r="YW29" s="12"/>
      <c r="YX29" s="12"/>
      <c r="YY29" s="12"/>
      <c r="YZ29" s="12"/>
      <c r="ZA29" s="12"/>
      <c r="ZB29" s="12"/>
      <c r="ZC29" s="12"/>
      <c r="ZD29" s="12"/>
      <c r="ZE29" s="12"/>
      <c r="ZF29" s="12"/>
      <c r="ZG29" s="12"/>
      <c r="ZH29" s="12"/>
      <c r="ZI29" s="12"/>
      <c r="ZJ29" s="12"/>
      <c r="ZK29" s="12"/>
      <c r="ZL29" s="12"/>
      <c r="ZM29" s="12"/>
      <c r="ZN29" s="12"/>
      <c r="ZO29" s="12"/>
      <c r="ZP29" s="12"/>
      <c r="ZQ29" s="12"/>
      <c r="ZR29" s="12"/>
      <c r="ZS29" s="12"/>
      <c r="ZT29" s="12"/>
      <c r="ZU29" s="12"/>
      <c r="ZV29" s="12"/>
      <c r="ZW29" s="12"/>
      <c r="ZX29" s="12"/>
      <c r="ZY29" s="12"/>
      <c r="ZZ29" s="12"/>
      <c r="AAA29" s="12"/>
      <c r="AAB29" s="12"/>
      <c r="AAC29" s="12"/>
      <c r="AAD29" s="12"/>
      <c r="AAE29" s="12"/>
      <c r="AAF29" s="12"/>
      <c r="AAG29" s="12"/>
      <c r="AAH29" s="12"/>
      <c r="AAI29" s="12"/>
      <c r="AAJ29" s="12"/>
      <c r="AAK29" s="12"/>
      <c r="AAL29" s="12"/>
      <c r="AAM29" s="12"/>
      <c r="AAN29" s="12"/>
      <c r="AAO29" s="12"/>
      <c r="AAP29" s="12"/>
      <c r="AAQ29" s="12"/>
      <c r="AAR29" s="12"/>
      <c r="AAS29" s="12"/>
      <c r="AAT29" s="12"/>
      <c r="AAU29" s="12"/>
      <c r="AAV29" s="12"/>
      <c r="AAW29" s="12"/>
      <c r="AAX29" s="12"/>
      <c r="AAY29" s="12"/>
      <c r="AAZ29" s="12"/>
      <c r="ABA29" s="12"/>
      <c r="ABB29" s="12"/>
      <c r="ABC29" s="12"/>
      <c r="ABD29" s="12"/>
      <c r="ABE29" s="12"/>
      <c r="ABF29" s="12"/>
      <c r="ABG29" s="12"/>
      <c r="ABH29" s="12"/>
      <c r="ABI29" s="12"/>
      <c r="ABJ29" s="12"/>
      <c r="ABK29" s="12"/>
      <c r="ABL29" s="12"/>
      <c r="ABM29" s="12"/>
      <c r="ABN29" s="12"/>
      <c r="ABO29" s="12"/>
      <c r="ABP29" s="12"/>
      <c r="ABQ29" s="12"/>
      <c r="ABR29" s="12"/>
      <c r="ABS29" s="12"/>
      <c r="ABT29" s="12"/>
      <c r="ABU29" s="12"/>
      <c r="ABV29" s="12"/>
      <c r="ABW29" s="12"/>
      <c r="ABX29" s="12"/>
      <c r="ABY29" s="12"/>
      <c r="ABZ29" s="12"/>
      <c r="ACA29" s="12"/>
      <c r="ACB29" s="12"/>
      <c r="ACC29" s="12"/>
      <c r="ACD29" s="12"/>
      <c r="ACE29" s="12"/>
      <c r="ACF29" s="12"/>
      <c r="ACG29" s="12"/>
      <c r="ACH29" s="12"/>
      <c r="ACI29" s="12"/>
      <c r="ACJ29" s="12"/>
      <c r="ACK29" s="12"/>
      <c r="ACL29" s="12"/>
      <c r="ACM29" s="12"/>
      <c r="ACN29" s="12"/>
      <c r="ACO29" s="12"/>
      <c r="ACP29" s="12"/>
      <c r="ACQ29" s="12"/>
      <c r="ACR29" s="12"/>
      <c r="ACS29" s="12"/>
      <c r="ACT29" s="12"/>
      <c r="ACU29" s="12"/>
      <c r="ACV29" s="12"/>
      <c r="ACW29" s="12"/>
      <c r="ACX29" s="12"/>
      <c r="ACY29" s="12"/>
      <c r="ACZ29" s="12"/>
      <c r="ADA29" s="12"/>
      <c r="ADB29" s="12"/>
      <c r="ADC29" s="12"/>
      <c r="ADD29" s="12"/>
      <c r="ADE29" s="12"/>
      <c r="ADF29" s="12"/>
      <c r="ADG29" s="12"/>
      <c r="ADH29" s="12"/>
      <c r="ADI29" s="12"/>
      <c r="ADJ29" s="12"/>
      <c r="ADK29" s="12"/>
      <c r="ADL29" s="12"/>
      <c r="ADM29" s="12"/>
      <c r="ADN29" s="12"/>
      <c r="ADO29" s="12"/>
      <c r="ADP29" s="12"/>
      <c r="ADQ29" s="12"/>
      <c r="ADR29" s="12"/>
      <c r="ADS29" s="12"/>
      <c r="ADT29" s="12"/>
      <c r="ADU29" s="12"/>
      <c r="ADV29" s="12"/>
      <c r="ADW29" s="12"/>
      <c r="ADX29" s="12"/>
      <c r="ADY29" s="12"/>
      <c r="ADZ29" s="12"/>
      <c r="AEA29" s="12"/>
      <c r="AEB29" s="12"/>
      <c r="AEC29" s="12"/>
      <c r="AED29" s="12"/>
      <c r="AEE29" s="12"/>
      <c r="AEF29" s="12"/>
      <c r="AEG29" s="12"/>
      <c r="AEH29" s="12"/>
      <c r="AEI29" s="12"/>
      <c r="AEJ29" s="12"/>
      <c r="AEK29" s="12"/>
      <c r="AEL29" s="12"/>
      <c r="AEM29" s="12"/>
      <c r="AEN29" s="12"/>
      <c r="AEO29" s="12"/>
      <c r="AEP29" s="12"/>
      <c r="AEQ29" s="12"/>
      <c r="AER29" s="12"/>
      <c r="AES29" s="12"/>
      <c r="AET29" s="12"/>
      <c r="AEU29" s="12"/>
      <c r="AEV29" s="12"/>
    </row>
    <row r="30" spans="1:828" s="13" customFormat="1" ht="18" x14ac:dyDescent="0.2">
      <c r="A30" s="14"/>
      <c r="B30" s="16"/>
      <c r="C30" s="16"/>
      <c r="D30" s="11"/>
      <c r="E30" s="16"/>
      <c r="F30" s="16"/>
      <c r="H30" s="15"/>
      <c r="I30" s="16"/>
      <c r="J30" s="11"/>
      <c r="K30" s="15"/>
      <c r="L30" s="16"/>
      <c r="M30" s="11"/>
      <c r="N30" s="12"/>
      <c r="O30" s="12"/>
      <c r="P30"/>
      <c r="Q30"/>
      <c r="R30"/>
      <c r="S30"/>
      <c r="T30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2"/>
      <c r="FJ30" s="12"/>
      <c r="FK30" s="12"/>
      <c r="FL30" s="12"/>
      <c r="FM30" s="12"/>
      <c r="FN30" s="12"/>
      <c r="FO30" s="12"/>
      <c r="FP30" s="12"/>
      <c r="FQ30" s="12"/>
      <c r="FR30" s="12"/>
      <c r="FS30" s="12"/>
      <c r="FT30" s="12"/>
      <c r="FU30" s="12"/>
      <c r="FV30" s="12"/>
      <c r="FW30" s="12"/>
      <c r="FX30" s="12"/>
      <c r="FY30" s="12"/>
      <c r="FZ30" s="12"/>
      <c r="GA30" s="12"/>
      <c r="GB30" s="12"/>
      <c r="GC30" s="12"/>
      <c r="GD30" s="12"/>
      <c r="GE30" s="12"/>
      <c r="GF30" s="12"/>
      <c r="GG30" s="12"/>
      <c r="GH30" s="12"/>
      <c r="GI30" s="12"/>
      <c r="GJ30" s="12"/>
      <c r="GK30" s="12"/>
      <c r="GL30" s="12"/>
      <c r="GM30" s="12"/>
      <c r="GN30" s="12"/>
      <c r="GO30" s="12"/>
      <c r="GP30" s="12"/>
      <c r="GQ30" s="12"/>
      <c r="GR30" s="12"/>
      <c r="GS30" s="12"/>
      <c r="GT30" s="12"/>
      <c r="GU30" s="12"/>
      <c r="GV30" s="12"/>
      <c r="GW30" s="12"/>
      <c r="GX30" s="12"/>
      <c r="GY30" s="12"/>
      <c r="GZ30" s="12"/>
      <c r="HA30" s="12"/>
      <c r="HB30" s="12"/>
      <c r="HC30" s="12"/>
      <c r="HD30" s="12"/>
      <c r="HE30" s="12"/>
      <c r="HF30" s="12"/>
      <c r="HG30" s="12"/>
      <c r="HH30" s="12"/>
      <c r="HI30" s="12"/>
      <c r="HJ30" s="12"/>
      <c r="HK30" s="12"/>
      <c r="HL30" s="12"/>
      <c r="HM30" s="12"/>
      <c r="HN30" s="12"/>
      <c r="HO30" s="12"/>
      <c r="HP30" s="12"/>
      <c r="HQ30" s="12"/>
      <c r="HR30" s="12"/>
      <c r="HS30" s="12"/>
      <c r="HT30" s="12"/>
      <c r="HU30" s="12"/>
      <c r="HV30" s="12"/>
      <c r="HW30" s="12"/>
      <c r="HX30" s="12"/>
      <c r="HY30" s="12"/>
      <c r="HZ30" s="12"/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  <c r="IL30" s="12"/>
      <c r="IM30" s="12"/>
      <c r="IN30" s="12"/>
      <c r="IO30" s="12"/>
      <c r="IP30" s="12"/>
      <c r="IQ30" s="12"/>
      <c r="IR30" s="12"/>
      <c r="IS30" s="12"/>
      <c r="IT30" s="12"/>
      <c r="IU30" s="12"/>
      <c r="IV30" s="12"/>
      <c r="IW30" s="12"/>
      <c r="IX30" s="12"/>
      <c r="IY30" s="12"/>
      <c r="IZ30" s="12"/>
      <c r="JA30" s="12"/>
      <c r="JB30" s="12"/>
      <c r="JC30" s="12"/>
      <c r="JD30" s="12"/>
      <c r="JE30" s="12"/>
      <c r="JF30" s="12"/>
      <c r="JG30" s="12"/>
      <c r="JH30" s="12"/>
      <c r="JI30" s="12"/>
      <c r="JJ30" s="12"/>
      <c r="JK30" s="12"/>
      <c r="JL30" s="12"/>
      <c r="JM30" s="12"/>
      <c r="JN30" s="12"/>
      <c r="JO30" s="12"/>
      <c r="JP30" s="12"/>
      <c r="JQ30" s="12"/>
      <c r="JR30" s="12"/>
      <c r="JS30" s="12"/>
      <c r="JT30" s="12"/>
      <c r="JU30" s="12"/>
      <c r="JV30" s="12"/>
      <c r="JW30" s="12"/>
      <c r="JX30" s="12"/>
      <c r="JY30" s="12"/>
      <c r="JZ30" s="12"/>
      <c r="KA30" s="12"/>
      <c r="KB30" s="12"/>
      <c r="KC30" s="12"/>
      <c r="KD30" s="12"/>
      <c r="KE30" s="12"/>
      <c r="KF30" s="12"/>
      <c r="KG30" s="12"/>
      <c r="KH30" s="12"/>
      <c r="KI30" s="12"/>
      <c r="KJ30" s="12"/>
      <c r="KK30" s="12"/>
      <c r="KL30" s="12"/>
      <c r="KM30" s="12"/>
      <c r="KN30" s="12"/>
      <c r="KO30" s="12"/>
      <c r="KP30" s="12"/>
      <c r="KQ30" s="12"/>
      <c r="KR30" s="12"/>
      <c r="KS30" s="12"/>
      <c r="KT30" s="12"/>
      <c r="KU30" s="12"/>
      <c r="KV30" s="12"/>
      <c r="KW30" s="12"/>
      <c r="KX30" s="12"/>
      <c r="KY30" s="12"/>
      <c r="KZ30" s="12"/>
      <c r="LA30" s="12"/>
      <c r="LB30" s="12"/>
      <c r="LC30" s="12"/>
      <c r="LD30" s="12"/>
      <c r="LE30" s="12"/>
      <c r="LF30" s="12"/>
      <c r="LG30" s="12"/>
      <c r="LH30" s="12"/>
      <c r="LI30" s="12"/>
      <c r="LJ30" s="12"/>
      <c r="LK30" s="12"/>
      <c r="LL30" s="12"/>
      <c r="LM30" s="12"/>
      <c r="LN30" s="12"/>
      <c r="LO30" s="12"/>
      <c r="LP30" s="12"/>
      <c r="LQ30" s="12"/>
      <c r="LR30" s="12"/>
      <c r="LS30" s="12"/>
      <c r="LT30" s="12"/>
      <c r="LU30" s="12"/>
      <c r="LV30" s="12"/>
      <c r="LW30" s="12"/>
      <c r="LX30" s="12"/>
      <c r="LY30" s="12"/>
      <c r="LZ30" s="12"/>
      <c r="MA30" s="12"/>
      <c r="MB30" s="12"/>
      <c r="MC30" s="12"/>
      <c r="MD30" s="12"/>
      <c r="ME30" s="12"/>
      <c r="MF30" s="12"/>
      <c r="MG30" s="12"/>
      <c r="MH30" s="12"/>
      <c r="MI30" s="12"/>
      <c r="MJ30" s="12"/>
      <c r="MK30" s="12"/>
      <c r="ML30" s="12"/>
      <c r="MM30" s="12"/>
      <c r="MN30" s="12"/>
      <c r="MO30" s="12"/>
      <c r="MP30" s="12"/>
      <c r="MQ30" s="12"/>
      <c r="MR30" s="12"/>
      <c r="MS30" s="12"/>
      <c r="MT30" s="12"/>
      <c r="MU30" s="12"/>
      <c r="MV30" s="12"/>
      <c r="MW30" s="12"/>
      <c r="MX30" s="12"/>
      <c r="MY30" s="12"/>
      <c r="MZ30" s="12"/>
      <c r="NA30" s="12"/>
      <c r="NB30" s="12"/>
      <c r="NC30" s="12"/>
      <c r="ND30" s="12"/>
      <c r="NE30" s="12"/>
      <c r="NF30" s="12"/>
      <c r="NG30" s="12"/>
      <c r="NH30" s="12"/>
      <c r="NI30" s="12"/>
      <c r="NJ30" s="12"/>
      <c r="NK30" s="12"/>
      <c r="NL30" s="12"/>
      <c r="NM30" s="12"/>
      <c r="NN30" s="12"/>
      <c r="NO30" s="12"/>
      <c r="NP30" s="12"/>
      <c r="NQ30" s="12"/>
      <c r="NR30" s="12"/>
      <c r="NS30" s="12"/>
      <c r="NT30" s="12"/>
      <c r="NU30" s="12"/>
      <c r="NV30" s="12"/>
      <c r="NW30" s="12"/>
      <c r="NX30" s="12"/>
      <c r="NY30" s="12"/>
      <c r="NZ30" s="12"/>
      <c r="OA30" s="12"/>
      <c r="OB30" s="12"/>
      <c r="OC30" s="12"/>
      <c r="OD30" s="12"/>
      <c r="OE30" s="12"/>
      <c r="OF30" s="12"/>
      <c r="OG30" s="12"/>
      <c r="OH30" s="12"/>
      <c r="OI30" s="12"/>
      <c r="OJ30" s="12"/>
      <c r="OK30" s="12"/>
      <c r="OL30" s="12"/>
      <c r="OM30" s="12"/>
      <c r="ON30" s="12"/>
      <c r="OO30" s="12"/>
      <c r="OP30" s="12"/>
      <c r="OQ30" s="12"/>
      <c r="OR30" s="12"/>
      <c r="OS30" s="12"/>
      <c r="OT30" s="12"/>
      <c r="OU30" s="12"/>
      <c r="OV30" s="12"/>
      <c r="OW30" s="12"/>
      <c r="OX30" s="12"/>
      <c r="OY30" s="12"/>
      <c r="OZ30" s="12"/>
      <c r="PA30" s="12"/>
      <c r="PB30" s="12"/>
      <c r="PC30" s="12"/>
      <c r="PD30" s="12"/>
      <c r="PE30" s="12"/>
      <c r="PF30" s="12"/>
      <c r="PG30" s="12"/>
      <c r="PH30" s="12"/>
      <c r="PI30" s="12"/>
      <c r="PJ30" s="12"/>
      <c r="PK30" s="12"/>
      <c r="PL30" s="12"/>
      <c r="PM30" s="12"/>
      <c r="PN30" s="12"/>
      <c r="PO30" s="12"/>
      <c r="PP30" s="12"/>
      <c r="PQ30" s="12"/>
      <c r="PR30" s="12"/>
      <c r="PS30" s="12"/>
      <c r="PT30" s="12"/>
      <c r="PU30" s="12"/>
      <c r="PV30" s="12"/>
      <c r="PW30" s="12"/>
      <c r="PX30" s="12"/>
      <c r="PY30" s="12"/>
      <c r="PZ30" s="12"/>
      <c r="QA30" s="12"/>
      <c r="QB30" s="12"/>
      <c r="QC30" s="12"/>
      <c r="QD30" s="12"/>
      <c r="QE30" s="12"/>
      <c r="QF30" s="12"/>
      <c r="QG30" s="12"/>
      <c r="QH30" s="12"/>
      <c r="QI30" s="12"/>
      <c r="QJ30" s="12"/>
      <c r="QK30" s="12"/>
      <c r="QL30" s="12"/>
      <c r="QM30" s="12"/>
      <c r="QN30" s="12"/>
      <c r="QO30" s="12"/>
      <c r="QP30" s="12"/>
      <c r="QQ30" s="12"/>
      <c r="QR30" s="12"/>
      <c r="QS30" s="12"/>
      <c r="QT30" s="12"/>
      <c r="QU30" s="12"/>
      <c r="QV30" s="12"/>
      <c r="QW30" s="12"/>
      <c r="QX30" s="12"/>
      <c r="QY30" s="12"/>
      <c r="QZ30" s="12"/>
      <c r="RA30" s="12"/>
      <c r="RB30" s="12"/>
      <c r="RC30" s="12"/>
      <c r="RD30" s="12"/>
      <c r="RE30" s="12"/>
      <c r="RF30" s="12"/>
      <c r="RG30" s="12"/>
      <c r="RH30" s="12"/>
      <c r="RI30" s="12"/>
      <c r="RJ30" s="12"/>
      <c r="RK30" s="12"/>
      <c r="RL30" s="12"/>
      <c r="RM30" s="12"/>
      <c r="RN30" s="12"/>
      <c r="RO30" s="12"/>
      <c r="RP30" s="12"/>
      <c r="RQ30" s="12"/>
      <c r="RR30" s="12"/>
      <c r="RS30" s="12"/>
      <c r="RT30" s="12"/>
      <c r="RU30" s="12"/>
      <c r="RV30" s="12"/>
      <c r="RW30" s="12"/>
      <c r="RX30" s="12"/>
      <c r="RY30" s="12"/>
      <c r="RZ30" s="12"/>
      <c r="SA30" s="12"/>
      <c r="SB30" s="12"/>
      <c r="SC30" s="12"/>
      <c r="SD30" s="12"/>
      <c r="SE30" s="12"/>
      <c r="SF30" s="12"/>
      <c r="SG30" s="12"/>
      <c r="SH30" s="12"/>
      <c r="SI30" s="12"/>
      <c r="SJ30" s="12"/>
      <c r="SK30" s="12"/>
      <c r="SL30" s="12"/>
      <c r="SM30" s="12"/>
      <c r="SN30" s="12"/>
      <c r="SO30" s="12"/>
      <c r="SP30" s="12"/>
      <c r="SQ30" s="12"/>
      <c r="SR30" s="12"/>
      <c r="SS30" s="12"/>
      <c r="ST30" s="12"/>
      <c r="SU30" s="12"/>
      <c r="SV30" s="12"/>
      <c r="SW30" s="12"/>
      <c r="SX30" s="12"/>
      <c r="SY30" s="12"/>
      <c r="SZ30" s="12"/>
      <c r="TA30" s="12"/>
      <c r="TB30" s="12"/>
      <c r="TC30" s="12"/>
      <c r="TD30" s="12"/>
      <c r="TE30" s="12"/>
      <c r="TF30" s="12"/>
      <c r="TG30" s="12"/>
      <c r="TH30" s="12"/>
      <c r="TI30" s="12"/>
      <c r="TJ30" s="12"/>
      <c r="TK30" s="12"/>
      <c r="TL30" s="12"/>
      <c r="TM30" s="12"/>
      <c r="TN30" s="12"/>
      <c r="TO30" s="12"/>
      <c r="TP30" s="12"/>
      <c r="TQ30" s="12"/>
      <c r="TR30" s="12"/>
      <c r="TS30" s="12"/>
      <c r="TT30" s="12"/>
      <c r="TU30" s="12"/>
      <c r="TV30" s="12"/>
      <c r="TW30" s="12"/>
      <c r="TX30" s="12"/>
      <c r="TY30" s="12"/>
      <c r="TZ30" s="12"/>
      <c r="UA30" s="12"/>
      <c r="UB30" s="12"/>
      <c r="UC30" s="12"/>
      <c r="UD30" s="12"/>
      <c r="UE30" s="12"/>
      <c r="UF30" s="12"/>
      <c r="UG30" s="12"/>
      <c r="UH30" s="12"/>
      <c r="UI30" s="12"/>
      <c r="UJ30" s="12"/>
      <c r="UK30" s="12"/>
      <c r="UL30" s="12"/>
      <c r="UM30" s="12"/>
      <c r="UN30" s="12"/>
      <c r="UO30" s="12"/>
      <c r="UP30" s="12"/>
      <c r="UQ30" s="12"/>
      <c r="UR30" s="12"/>
      <c r="US30" s="12"/>
      <c r="UT30" s="12"/>
      <c r="UU30" s="12"/>
      <c r="UV30" s="12"/>
      <c r="UW30" s="12"/>
      <c r="UX30" s="12"/>
      <c r="UY30" s="12"/>
      <c r="UZ30" s="12"/>
      <c r="VA30" s="12"/>
      <c r="VB30" s="12"/>
      <c r="VC30" s="12"/>
      <c r="VD30" s="12"/>
      <c r="VE30" s="12"/>
      <c r="VF30" s="12"/>
      <c r="VG30" s="12"/>
      <c r="VH30" s="12"/>
      <c r="VI30" s="12"/>
      <c r="VJ30" s="12"/>
      <c r="VK30" s="12"/>
      <c r="VL30" s="12"/>
      <c r="VM30" s="12"/>
      <c r="VN30" s="12"/>
      <c r="VO30" s="12"/>
      <c r="VP30" s="12"/>
      <c r="VQ30" s="12"/>
      <c r="VR30" s="12"/>
      <c r="VS30" s="12"/>
      <c r="VT30" s="12"/>
      <c r="VU30" s="12"/>
      <c r="VV30" s="12"/>
      <c r="VW30" s="12"/>
      <c r="VX30" s="12"/>
      <c r="VY30" s="12"/>
      <c r="VZ30" s="12"/>
      <c r="WA30" s="12"/>
      <c r="WB30" s="12"/>
      <c r="WC30" s="12"/>
      <c r="WD30" s="12"/>
      <c r="WE30" s="12"/>
      <c r="WF30" s="12"/>
      <c r="WG30" s="12"/>
      <c r="WH30" s="12"/>
      <c r="WI30" s="12"/>
      <c r="WJ30" s="12"/>
      <c r="WK30" s="12"/>
      <c r="WL30" s="12"/>
      <c r="WM30" s="12"/>
      <c r="WN30" s="12"/>
      <c r="WO30" s="12"/>
      <c r="WP30" s="12"/>
      <c r="WQ30" s="12"/>
      <c r="WR30" s="12"/>
      <c r="WS30" s="12"/>
      <c r="WT30" s="12"/>
      <c r="WU30" s="12"/>
      <c r="WV30" s="12"/>
      <c r="WW30" s="12"/>
      <c r="WX30" s="12"/>
      <c r="WY30" s="12"/>
      <c r="WZ30" s="12"/>
      <c r="XA30" s="12"/>
      <c r="XB30" s="12"/>
      <c r="XC30" s="12"/>
      <c r="XD30" s="12"/>
      <c r="XE30" s="12"/>
      <c r="XF30" s="12"/>
      <c r="XG30" s="12"/>
      <c r="XH30" s="12"/>
      <c r="XI30" s="12"/>
      <c r="XJ30" s="12"/>
      <c r="XK30" s="12"/>
      <c r="XL30" s="12"/>
      <c r="XM30" s="12"/>
      <c r="XN30" s="12"/>
      <c r="XO30" s="12"/>
      <c r="XP30" s="12"/>
      <c r="XQ30" s="12"/>
      <c r="XR30" s="12"/>
      <c r="XS30" s="12"/>
      <c r="XT30" s="12"/>
      <c r="XU30" s="12"/>
      <c r="XV30" s="12"/>
      <c r="XW30" s="12"/>
      <c r="XX30" s="12"/>
      <c r="XY30" s="12"/>
      <c r="XZ30" s="12"/>
      <c r="YA30" s="12"/>
      <c r="YB30" s="12"/>
      <c r="YC30" s="12"/>
      <c r="YD30" s="12"/>
      <c r="YE30" s="12"/>
      <c r="YF30" s="12"/>
      <c r="YG30" s="12"/>
      <c r="YH30" s="12"/>
      <c r="YI30" s="12"/>
      <c r="YJ30" s="12"/>
      <c r="YK30" s="12"/>
      <c r="YL30" s="12"/>
      <c r="YM30" s="12"/>
      <c r="YN30" s="12"/>
      <c r="YO30" s="12"/>
      <c r="YP30" s="12"/>
      <c r="YQ30" s="12"/>
      <c r="YR30" s="12"/>
      <c r="YS30" s="12"/>
      <c r="YT30" s="12"/>
      <c r="YU30" s="12"/>
      <c r="YV30" s="12"/>
      <c r="YW30" s="12"/>
      <c r="YX30" s="12"/>
      <c r="YY30" s="12"/>
      <c r="YZ30" s="12"/>
      <c r="ZA30" s="12"/>
      <c r="ZB30" s="12"/>
      <c r="ZC30" s="12"/>
      <c r="ZD30" s="12"/>
      <c r="ZE30" s="12"/>
      <c r="ZF30" s="12"/>
      <c r="ZG30" s="12"/>
      <c r="ZH30" s="12"/>
      <c r="ZI30" s="12"/>
      <c r="ZJ30" s="12"/>
      <c r="ZK30" s="12"/>
      <c r="ZL30" s="12"/>
      <c r="ZM30" s="12"/>
      <c r="ZN30" s="12"/>
      <c r="ZO30" s="12"/>
      <c r="ZP30" s="12"/>
      <c r="ZQ30" s="12"/>
      <c r="ZR30" s="12"/>
      <c r="ZS30" s="12"/>
      <c r="ZT30" s="12"/>
      <c r="ZU30" s="12"/>
      <c r="ZV30" s="12"/>
      <c r="ZW30" s="12"/>
      <c r="ZX30" s="12"/>
      <c r="ZY30" s="12"/>
      <c r="ZZ30" s="12"/>
      <c r="AAA30" s="12"/>
      <c r="AAB30" s="12"/>
      <c r="AAC30" s="12"/>
      <c r="AAD30" s="12"/>
      <c r="AAE30" s="12"/>
      <c r="AAF30" s="12"/>
      <c r="AAG30" s="12"/>
      <c r="AAH30" s="12"/>
      <c r="AAI30" s="12"/>
      <c r="AAJ30" s="12"/>
      <c r="AAK30" s="12"/>
      <c r="AAL30" s="12"/>
      <c r="AAM30" s="12"/>
      <c r="AAN30" s="12"/>
      <c r="AAO30" s="12"/>
      <c r="AAP30" s="12"/>
      <c r="AAQ30" s="12"/>
      <c r="AAR30" s="12"/>
      <c r="AAS30" s="12"/>
      <c r="AAT30" s="12"/>
      <c r="AAU30" s="12"/>
      <c r="AAV30" s="12"/>
      <c r="AAW30" s="12"/>
      <c r="AAX30" s="12"/>
      <c r="AAY30" s="12"/>
      <c r="AAZ30" s="12"/>
      <c r="ABA30" s="12"/>
      <c r="ABB30" s="12"/>
      <c r="ABC30" s="12"/>
      <c r="ABD30" s="12"/>
      <c r="ABE30" s="12"/>
      <c r="ABF30" s="12"/>
      <c r="ABG30" s="12"/>
      <c r="ABH30" s="12"/>
      <c r="ABI30" s="12"/>
      <c r="ABJ30" s="12"/>
      <c r="ABK30" s="12"/>
      <c r="ABL30" s="12"/>
      <c r="ABM30" s="12"/>
      <c r="ABN30" s="12"/>
      <c r="ABO30" s="12"/>
      <c r="ABP30" s="12"/>
      <c r="ABQ30" s="12"/>
      <c r="ABR30" s="12"/>
      <c r="ABS30" s="12"/>
      <c r="ABT30" s="12"/>
      <c r="ABU30" s="12"/>
      <c r="ABV30" s="12"/>
      <c r="ABW30" s="12"/>
      <c r="ABX30" s="12"/>
      <c r="ABY30" s="12"/>
      <c r="ABZ30" s="12"/>
      <c r="ACA30" s="12"/>
      <c r="ACB30" s="12"/>
      <c r="ACC30" s="12"/>
      <c r="ACD30" s="12"/>
      <c r="ACE30" s="12"/>
      <c r="ACF30" s="12"/>
      <c r="ACG30" s="12"/>
      <c r="ACH30" s="12"/>
      <c r="ACI30" s="12"/>
      <c r="ACJ30" s="12"/>
      <c r="ACK30" s="12"/>
      <c r="ACL30" s="12"/>
      <c r="ACM30" s="12"/>
      <c r="ACN30" s="12"/>
      <c r="ACO30" s="12"/>
      <c r="ACP30" s="12"/>
      <c r="ACQ30" s="12"/>
      <c r="ACR30" s="12"/>
      <c r="ACS30" s="12"/>
      <c r="ACT30" s="12"/>
      <c r="ACU30" s="12"/>
      <c r="ACV30" s="12"/>
      <c r="ACW30" s="12"/>
      <c r="ACX30" s="12"/>
      <c r="ACY30" s="12"/>
      <c r="ACZ30" s="12"/>
      <c r="ADA30" s="12"/>
      <c r="ADB30" s="12"/>
      <c r="ADC30" s="12"/>
      <c r="ADD30" s="12"/>
      <c r="ADE30" s="12"/>
      <c r="ADF30" s="12"/>
      <c r="ADG30" s="12"/>
      <c r="ADH30" s="12"/>
      <c r="ADI30" s="12"/>
      <c r="ADJ30" s="12"/>
      <c r="ADK30" s="12"/>
      <c r="ADL30" s="12"/>
      <c r="ADM30" s="12"/>
      <c r="ADN30" s="12"/>
      <c r="ADO30" s="12"/>
      <c r="ADP30" s="12"/>
      <c r="ADQ30" s="12"/>
      <c r="ADR30" s="12"/>
      <c r="ADS30" s="12"/>
      <c r="ADT30" s="12"/>
      <c r="ADU30" s="12"/>
      <c r="ADV30" s="12"/>
      <c r="ADW30" s="12"/>
      <c r="ADX30" s="12"/>
      <c r="ADY30" s="12"/>
      <c r="ADZ30" s="12"/>
      <c r="AEA30" s="12"/>
      <c r="AEB30" s="12"/>
      <c r="AEC30" s="12"/>
      <c r="AED30" s="12"/>
      <c r="AEE30" s="12"/>
      <c r="AEF30" s="12"/>
      <c r="AEG30" s="12"/>
      <c r="AEH30" s="12"/>
      <c r="AEI30" s="12"/>
      <c r="AEJ30" s="12"/>
      <c r="AEK30" s="12"/>
      <c r="AEL30" s="12"/>
      <c r="AEM30" s="12"/>
      <c r="AEN30" s="12"/>
      <c r="AEO30" s="12"/>
      <c r="AEP30" s="12"/>
      <c r="AEQ30" s="12"/>
      <c r="AER30" s="12"/>
      <c r="AES30" s="12"/>
      <c r="AET30" s="12"/>
      <c r="AEU30" s="12"/>
      <c r="AEV30" s="12"/>
    </row>
    <row r="31" spans="1:828" s="13" customFormat="1" ht="18" x14ac:dyDescent="0.2">
      <c r="A31" s="14"/>
      <c r="B31" s="16"/>
      <c r="C31" s="16"/>
      <c r="D31" s="11"/>
      <c r="E31" s="16"/>
      <c r="F31" s="16"/>
      <c r="H31" s="15"/>
      <c r="I31" s="16"/>
      <c r="J31" s="11"/>
      <c r="K31" s="15"/>
      <c r="L31" s="16"/>
      <c r="M31" s="11"/>
      <c r="N31" s="12"/>
      <c r="O31" s="12"/>
      <c r="P31"/>
      <c r="Q31"/>
      <c r="R31"/>
      <c r="S31"/>
      <c r="T31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2"/>
      <c r="FJ31" s="12"/>
      <c r="FK31" s="12"/>
      <c r="FL31" s="12"/>
      <c r="FM31" s="12"/>
      <c r="FN31" s="12"/>
      <c r="FO31" s="12"/>
      <c r="FP31" s="12"/>
      <c r="FQ31" s="12"/>
      <c r="FR31" s="12"/>
      <c r="FS31" s="12"/>
      <c r="FT31" s="12"/>
      <c r="FU31" s="12"/>
      <c r="FV31" s="12"/>
      <c r="FW31" s="12"/>
      <c r="FX31" s="12"/>
      <c r="FY31" s="12"/>
      <c r="FZ31" s="12"/>
      <c r="GA31" s="12"/>
      <c r="GB31" s="12"/>
      <c r="GC31" s="12"/>
      <c r="GD31" s="12"/>
      <c r="GE31" s="12"/>
      <c r="GF31" s="12"/>
      <c r="GG31" s="12"/>
      <c r="GH31" s="12"/>
      <c r="GI31" s="12"/>
      <c r="GJ31" s="12"/>
      <c r="GK31" s="12"/>
      <c r="GL31" s="12"/>
      <c r="GM31" s="12"/>
      <c r="GN31" s="12"/>
      <c r="GO31" s="12"/>
      <c r="GP31" s="12"/>
      <c r="GQ31" s="12"/>
      <c r="GR31" s="12"/>
      <c r="GS31" s="12"/>
      <c r="GT31" s="12"/>
      <c r="GU31" s="12"/>
      <c r="GV31" s="12"/>
      <c r="GW31" s="12"/>
      <c r="GX31" s="12"/>
      <c r="GY31" s="12"/>
      <c r="GZ31" s="12"/>
      <c r="HA31" s="12"/>
      <c r="HB31" s="12"/>
      <c r="HC31" s="12"/>
      <c r="HD31" s="12"/>
      <c r="HE31" s="12"/>
      <c r="HF31" s="12"/>
      <c r="HG31" s="12"/>
      <c r="HH31" s="12"/>
      <c r="HI31" s="12"/>
      <c r="HJ31" s="12"/>
      <c r="HK31" s="12"/>
      <c r="HL31" s="12"/>
      <c r="HM31" s="12"/>
      <c r="HN31" s="12"/>
      <c r="HO31" s="12"/>
      <c r="HP31" s="12"/>
      <c r="HQ31" s="12"/>
      <c r="HR31" s="12"/>
      <c r="HS31" s="12"/>
      <c r="HT31" s="12"/>
      <c r="HU31" s="12"/>
      <c r="HV31" s="12"/>
      <c r="HW31" s="12"/>
      <c r="HX31" s="12"/>
      <c r="HY31" s="12"/>
      <c r="HZ31" s="12"/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  <c r="IL31" s="12"/>
      <c r="IM31" s="12"/>
      <c r="IN31" s="12"/>
      <c r="IO31" s="12"/>
      <c r="IP31" s="12"/>
      <c r="IQ31" s="12"/>
      <c r="IR31" s="12"/>
      <c r="IS31" s="12"/>
      <c r="IT31" s="12"/>
      <c r="IU31" s="12"/>
      <c r="IV31" s="12"/>
      <c r="IW31" s="12"/>
      <c r="IX31" s="12"/>
      <c r="IY31" s="12"/>
      <c r="IZ31" s="12"/>
      <c r="JA31" s="12"/>
      <c r="JB31" s="12"/>
      <c r="JC31" s="12"/>
      <c r="JD31" s="12"/>
      <c r="JE31" s="12"/>
      <c r="JF31" s="12"/>
      <c r="JG31" s="12"/>
      <c r="JH31" s="12"/>
      <c r="JI31" s="12"/>
      <c r="JJ31" s="12"/>
      <c r="JK31" s="12"/>
      <c r="JL31" s="12"/>
      <c r="JM31" s="12"/>
      <c r="JN31" s="12"/>
      <c r="JO31" s="12"/>
      <c r="JP31" s="12"/>
      <c r="JQ31" s="12"/>
      <c r="JR31" s="12"/>
      <c r="JS31" s="12"/>
      <c r="JT31" s="12"/>
      <c r="JU31" s="12"/>
      <c r="JV31" s="12"/>
      <c r="JW31" s="12"/>
      <c r="JX31" s="12"/>
      <c r="JY31" s="12"/>
      <c r="JZ31" s="12"/>
      <c r="KA31" s="12"/>
      <c r="KB31" s="12"/>
      <c r="KC31" s="12"/>
      <c r="KD31" s="12"/>
      <c r="KE31" s="12"/>
      <c r="KF31" s="12"/>
      <c r="KG31" s="12"/>
      <c r="KH31" s="12"/>
      <c r="KI31" s="12"/>
      <c r="KJ31" s="12"/>
      <c r="KK31" s="12"/>
      <c r="KL31" s="12"/>
      <c r="KM31" s="12"/>
      <c r="KN31" s="12"/>
      <c r="KO31" s="12"/>
      <c r="KP31" s="12"/>
      <c r="KQ31" s="12"/>
      <c r="KR31" s="12"/>
      <c r="KS31" s="12"/>
      <c r="KT31" s="12"/>
      <c r="KU31" s="12"/>
      <c r="KV31" s="12"/>
      <c r="KW31" s="12"/>
      <c r="KX31" s="12"/>
      <c r="KY31" s="12"/>
      <c r="KZ31" s="12"/>
      <c r="LA31" s="12"/>
      <c r="LB31" s="12"/>
      <c r="LC31" s="12"/>
      <c r="LD31" s="12"/>
      <c r="LE31" s="12"/>
      <c r="LF31" s="12"/>
      <c r="LG31" s="12"/>
      <c r="LH31" s="12"/>
      <c r="LI31" s="12"/>
      <c r="LJ31" s="12"/>
      <c r="LK31" s="12"/>
      <c r="LL31" s="12"/>
      <c r="LM31" s="12"/>
      <c r="LN31" s="12"/>
      <c r="LO31" s="12"/>
      <c r="LP31" s="12"/>
      <c r="LQ31" s="12"/>
      <c r="LR31" s="12"/>
      <c r="LS31" s="12"/>
      <c r="LT31" s="12"/>
      <c r="LU31" s="12"/>
      <c r="LV31" s="12"/>
      <c r="LW31" s="12"/>
      <c r="LX31" s="12"/>
      <c r="LY31" s="12"/>
      <c r="LZ31" s="12"/>
      <c r="MA31" s="12"/>
      <c r="MB31" s="12"/>
      <c r="MC31" s="12"/>
      <c r="MD31" s="12"/>
      <c r="ME31" s="12"/>
      <c r="MF31" s="12"/>
      <c r="MG31" s="12"/>
      <c r="MH31" s="12"/>
      <c r="MI31" s="12"/>
      <c r="MJ31" s="12"/>
      <c r="MK31" s="12"/>
      <c r="ML31" s="12"/>
      <c r="MM31" s="12"/>
      <c r="MN31" s="12"/>
      <c r="MO31" s="12"/>
      <c r="MP31" s="12"/>
      <c r="MQ31" s="12"/>
      <c r="MR31" s="12"/>
      <c r="MS31" s="12"/>
      <c r="MT31" s="12"/>
      <c r="MU31" s="12"/>
      <c r="MV31" s="12"/>
      <c r="MW31" s="12"/>
      <c r="MX31" s="12"/>
      <c r="MY31" s="12"/>
      <c r="MZ31" s="12"/>
      <c r="NA31" s="12"/>
      <c r="NB31" s="12"/>
      <c r="NC31" s="12"/>
      <c r="ND31" s="12"/>
      <c r="NE31" s="12"/>
      <c r="NF31" s="12"/>
      <c r="NG31" s="12"/>
      <c r="NH31" s="12"/>
      <c r="NI31" s="12"/>
      <c r="NJ31" s="12"/>
      <c r="NK31" s="12"/>
      <c r="NL31" s="12"/>
      <c r="NM31" s="12"/>
      <c r="NN31" s="12"/>
      <c r="NO31" s="12"/>
      <c r="NP31" s="12"/>
      <c r="NQ31" s="12"/>
      <c r="NR31" s="12"/>
      <c r="NS31" s="12"/>
      <c r="NT31" s="12"/>
      <c r="NU31" s="12"/>
      <c r="NV31" s="12"/>
      <c r="NW31" s="12"/>
      <c r="NX31" s="12"/>
      <c r="NY31" s="12"/>
      <c r="NZ31" s="12"/>
      <c r="OA31" s="12"/>
      <c r="OB31" s="12"/>
      <c r="OC31" s="12"/>
      <c r="OD31" s="12"/>
      <c r="OE31" s="12"/>
      <c r="OF31" s="12"/>
      <c r="OG31" s="12"/>
      <c r="OH31" s="12"/>
      <c r="OI31" s="12"/>
      <c r="OJ31" s="12"/>
      <c r="OK31" s="12"/>
      <c r="OL31" s="12"/>
      <c r="OM31" s="12"/>
      <c r="ON31" s="12"/>
      <c r="OO31" s="12"/>
      <c r="OP31" s="12"/>
      <c r="OQ31" s="12"/>
      <c r="OR31" s="12"/>
      <c r="OS31" s="12"/>
      <c r="OT31" s="12"/>
      <c r="OU31" s="12"/>
      <c r="OV31" s="12"/>
      <c r="OW31" s="12"/>
      <c r="OX31" s="12"/>
      <c r="OY31" s="12"/>
      <c r="OZ31" s="12"/>
      <c r="PA31" s="12"/>
      <c r="PB31" s="12"/>
      <c r="PC31" s="12"/>
      <c r="PD31" s="12"/>
      <c r="PE31" s="12"/>
      <c r="PF31" s="12"/>
      <c r="PG31" s="12"/>
      <c r="PH31" s="12"/>
      <c r="PI31" s="12"/>
      <c r="PJ31" s="12"/>
      <c r="PK31" s="12"/>
      <c r="PL31" s="12"/>
      <c r="PM31" s="12"/>
      <c r="PN31" s="12"/>
      <c r="PO31" s="12"/>
      <c r="PP31" s="12"/>
      <c r="PQ31" s="12"/>
      <c r="PR31" s="12"/>
      <c r="PS31" s="12"/>
      <c r="PT31" s="12"/>
      <c r="PU31" s="12"/>
      <c r="PV31" s="12"/>
      <c r="PW31" s="12"/>
      <c r="PX31" s="12"/>
      <c r="PY31" s="12"/>
      <c r="PZ31" s="12"/>
      <c r="QA31" s="12"/>
      <c r="QB31" s="12"/>
      <c r="QC31" s="12"/>
      <c r="QD31" s="12"/>
      <c r="QE31" s="12"/>
      <c r="QF31" s="12"/>
      <c r="QG31" s="12"/>
      <c r="QH31" s="12"/>
      <c r="QI31" s="12"/>
      <c r="QJ31" s="12"/>
      <c r="QK31" s="12"/>
      <c r="QL31" s="12"/>
      <c r="QM31" s="12"/>
      <c r="QN31" s="12"/>
      <c r="QO31" s="12"/>
      <c r="QP31" s="12"/>
      <c r="QQ31" s="12"/>
      <c r="QR31" s="12"/>
      <c r="QS31" s="12"/>
      <c r="QT31" s="12"/>
      <c r="QU31" s="12"/>
      <c r="QV31" s="12"/>
      <c r="QW31" s="12"/>
      <c r="QX31" s="12"/>
      <c r="QY31" s="12"/>
      <c r="QZ31" s="12"/>
      <c r="RA31" s="12"/>
      <c r="RB31" s="12"/>
      <c r="RC31" s="12"/>
      <c r="RD31" s="12"/>
      <c r="RE31" s="12"/>
      <c r="RF31" s="12"/>
      <c r="RG31" s="12"/>
      <c r="RH31" s="12"/>
      <c r="RI31" s="12"/>
      <c r="RJ31" s="12"/>
      <c r="RK31" s="12"/>
      <c r="RL31" s="12"/>
      <c r="RM31" s="12"/>
      <c r="RN31" s="12"/>
      <c r="RO31" s="12"/>
      <c r="RP31" s="12"/>
      <c r="RQ31" s="12"/>
      <c r="RR31" s="12"/>
      <c r="RS31" s="12"/>
      <c r="RT31" s="12"/>
      <c r="RU31" s="12"/>
      <c r="RV31" s="12"/>
      <c r="RW31" s="12"/>
      <c r="RX31" s="12"/>
      <c r="RY31" s="12"/>
      <c r="RZ31" s="12"/>
      <c r="SA31" s="12"/>
      <c r="SB31" s="12"/>
      <c r="SC31" s="12"/>
      <c r="SD31" s="12"/>
      <c r="SE31" s="12"/>
      <c r="SF31" s="12"/>
      <c r="SG31" s="12"/>
      <c r="SH31" s="12"/>
      <c r="SI31" s="12"/>
      <c r="SJ31" s="12"/>
      <c r="SK31" s="12"/>
      <c r="SL31" s="12"/>
      <c r="SM31" s="12"/>
      <c r="SN31" s="12"/>
      <c r="SO31" s="12"/>
      <c r="SP31" s="12"/>
      <c r="SQ31" s="12"/>
      <c r="SR31" s="12"/>
      <c r="SS31" s="12"/>
      <c r="ST31" s="12"/>
      <c r="SU31" s="12"/>
      <c r="SV31" s="12"/>
      <c r="SW31" s="12"/>
      <c r="SX31" s="12"/>
      <c r="SY31" s="12"/>
      <c r="SZ31" s="12"/>
      <c r="TA31" s="12"/>
      <c r="TB31" s="12"/>
      <c r="TC31" s="12"/>
      <c r="TD31" s="12"/>
      <c r="TE31" s="12"/>
      <c r="TF31" s="12"/>
      <c r="TG31" s="12"/>
      <c r="TH31" s="12"/>
      <c r="TI31" s="12"/>
      <c r="TJ31" s="12"/>
      <c r="TK31" s="12"/>
      <c r="TL31" s="12"/>
      <c r="TM31" s="12"/>
      <c r="TN31" s="12"/>
      <c r="TO31" s="12"/>
      <c r="TP31" s="12"/>
      <c r="TQ31" s="12"/>
      <c r="TR31" s="12"/>
      <c r="TS31" s="12"/>
      <c r="TT31" s="12"/>
      <c r="TU31" s="12"/>
      <c r="TV31" s="12"/>
      <c r="TW31" s="12"/>
      <c r="TX31" s="12"/>
      <c r="TY31" s="12"/>
      <c r="TZ31" s="12"/>
      <c r="UA31" s="12"/>
      <c r="UB31" s="12"/>
      <c r="UC31" s="12"/>
      <c r="UD31" s="12"/>
      <c r="UE31" s="12"/>
      <c r="UF31" s="12"/>
      <c r="UG31" s="12"/>
      <c r="UH31" s="12"/>
      <c r="UI31" s="12"/>
      <c r="UJ31" s="12"/>
      <c r="UK31" s="12"/>
      <c r="UL31" s="12"/>
      <c r="UM31" s="12"/>
      <c r="UN31" s="12"/>
      <c r="UO31" s="12"/>
      <c r="UP31" s="12"/>
      <c r="UQ31" s="12"/>
      <c r="UR31" s="12"/>
      <c r="US31" s="12"/>
      <c r="UT31" s="12"/>
      <c r="UU31" s="12"/>
      <c r="UV31" s="12"/>
      <c r="UW31" s="12"/>
      <c r="UX31" s="12"/>
      <c r="UY31" s="12"/>
      <c r="UZ31" s="12"/>
      <c r="VA31" s="12"/>
      <c r="VB31" s="12"/>
      <c r="VC31" s="12"/>
      <c r="VD31" s="12"/>
      <c r="VE31" s="12"/>
      <c r="VF31" s="12"/>
      <c r="VG31" s="12"/>
      <c r="VH31" s="12"/>
      <c r="VI31" s="12"/>
      <c r="VJ31" s="12"/>
      <c r="VK31" s="12"/>
      <c r="VL31" s="12"/>
      <c r="VM31" s="12"/>
      <c r="VN31" s="12"/>
      <c r="VO31" s="12"/>
      <c r="VP31" s="12"/>
      <c r="VQ31" s="12"/>
      <c r="VR31" s="12"/>
      <c r="VS31" s="12"/>
      <c r="VT31" s="12"/>
      <c r="VU31" s="12"/>
      <c r="VV31" s="12"/>
      <c r="VW31" s="12"/>
      <c r="VX31" s="12"/>
      <c r="VY31" s="12"/>
      <c r="VZ31" s="12"/>
      <c r="WA31" s="12"/>
      <c r="WB31" s="12"/>
      <c r="WC31" s="12"/>
      <c r="WD31" s="12"/>
      <c r="WE31" s="12"/>
      <c r="WF31" s="12"/>
      <c r="WG31" s="12"/>
      <c r="WH31" s="12"/>
      <c r="WI31" s="12"/>
      <c r="WJ31" s="12"/>
      <c r="WK31" s="12"/>
      <c r="WL31" s="12"/>
      <c r="WM31" s="12"/>
      <c r="WN31" s="12"/>
      <c r="WO31" s="12"/>
      <c r="WP31" s="12"/>
      <c r="WQ31" s="12"/>
      <c r="WR31" s="12"/>
      <c r="WS31" s="12"/>
      <c r="WT31" s="12"/>
      <c r="WU31" s="12"/>
      <c r="WV31" s="12"/>
      <c r="WW31" s="12"/>
      <c r="WX31" s="12"/>
      <c r="WY31" s="12"/>
      <c r="WZ31" s="12"/>
      <c r="XA31" s="12"/>
      <c r="XB31" s="12"/>
      <c r="XC31" s="12"/>
      <c r="XD31" s="12"/>
      <c r="XE31" s="12"/>
      <c r="XF31" s="12"/>
      <c r="XG31" s="12"/>
      <c r="XH31" s="12"/>
      <c r="XI31" s="12"/>
      <c r="XJ31" s="12"/>
      <c r="XK31" s="12"/>
      <c r="XL31" s="12"/>
      <c r="XM31" s="12"/>
      <c r="XN31" s="12"/>
      <c r="XO31" s="12"/>
      <c r="XP31" s="12"/>
      <c r="XQ31" s="12"/>
      <c r="XR31" s="12"/>
      <c r="XS31" s="12"/>
      <c r="XT31" s="12"/>
      <c r="XU31" s="12"/>
      <c r="XV31" s="12"/>
      <c r="XW31" s="12"/>
      <c r="XX31" s="12"/>
      <c r="XY31" s="12"/>
      <c r="XZ31" s="12"/>
      <c r="YA31" s="12"/>
      <c r="YB31" s="12"/>
      <c r="YC31" s="12"/>
      <c r="YD31" s="12"/>
      <c r="YE31" s="12"/>
      <c r="YF31" s="12"/>
      <c r="YG31" s="12"/>
      <c r="YH31" s="12"/>
      <c r="YI31" s="12"/>
      <c r="YJ31" s="12"/>
      <c r="YK31" s="12"/>
      <c r="YL31" s="12"/>
      <c r="YM31" s="12"/>
      <c r="YN31" s="12"/>
      <c r="YO31" s="12"/>
      <c r="YP31" s="12"/>
      <c r="YQ31" s="12"/>
      <c r="YR31" s="12"/>
      <c r="YS31" s="12"/>
      <c r="YT31" s="12"/>
      <c r="YU31" s="12"/>
      <c r="YV31" s="12"/>
      <c r="YW31" s="12"/>
      <c r="YX31" s="12"/>
      <c r="YY31" s="12"/>
      <c r="YZ31" s="12"/>
      <c r="ZA31" s="12"/>
      <c r="ZB31" s="12"/>
      <c r="ZC31" s="12"/>
      <c r="ZD31" s="12"/>
      <c r="ZE31" s="12"/>
      <c r="ZF31" s="12"/>
      <c r="ZG31" s="12"/>
      <c r="ZH31" s="12"/>
      <c r="ZI31" s="12"/>
      <c r="ZJ31" s="12"/>
      <c r="ZK31" s="12"/>
      <c r="ZL31" s="12"/>
      <c r="ZM31" s="12"/>
      <c r="ZN31" s="12"/>
      <c r="ZO31" s="12"/>
      <c r="ZP31" s="12"/>
      <c r="ZQ31" s="12"/>
      <c r="ZR31" s="12"/>
      <c r="ZS31" s="12"/>
      <c r="ZT31" s="12"/>
      <c r="ZU31" s="12"/>
      <c r="ZV31" s="12"/>
      <c r="ZW31" s="12"/>
      <c r="ZX31" s="12"/>
      <c r="ZY31" s="12"/>
      <c r="ZZ31" s="12"/>
      <c r="AAA31" s="12"/>
      <c r="AAB31" s="12"/>
      <c r="AAC31" s="12"/>
      <c r="AAD31" s="12"/>
      <c r="AAE31" s="12"/>
      <c r="AAF31" s="12"/>
      <c r="AAG31" s="12"/>
      <c r="AAH31" s="12"/>
      <c r="AAI31" s="12"/>
      <c r="AAJ31" s="12"/>
      <c r="AAK31" s="12"/>
      <c r="AAL31" s="12"/>
      <c r="AAM31" s="12"/>
      <c r="AAN31" s="12"/>
      <c r="AAO31" s="12"/>
      <c r="AAP31" s="12"/>
      <c r="AAQ31" s="12"/>
      <c r="AAR31" s="12"/>
      <c r="AAS31" s="12"/>
      <c r="AAT31" s="12"/>
      <c r="AAU31" s="12"/>
      <c r="AAV31" s="12"/>
      <c r="AAW31" s="12"/>
      <c r="AAX31" s="12"/>
      <c r="AAY31" s="12"/>
      <c r="AAZ31" s="12"/>
      <c r="ABA31" s="12"/>
      <c r="ABB31" s="12"/>
      <c r="ABC31" s="12"/>
      <c r="ABD31" s="12"/>
      <c r="ABE31" s="12"/>
      <c r="ABF31" s="12"/>
      <c r="ABG31" s="12"/>
      <c r="ABH31" s="12"/>
      <c r="ABI31" s="12"/>
      <c r="ABJ31" s="12"/>
      <c r="ABK31" s="12"/>
      <c r="ABL31" s="12"/>
      <c r="ABM31" s="12"/>
      <c r="ABN31" s="12"/>
      <c r="ABO31" s="12"/>
      <c r="ABP31" s="12"/>
      <c r="ABQ31" s="12"/>
      <c r="ABR31" s="12"/>
      <c r="ABS31" s="12"/>
      <c r="ABT31" s="12"/>
      <c r="ABU31" s="12"/>
      <c r="ABV31" s="12"/>
      <c r="ABW31" s="12"/>
      <c r="ABX31" s="12"/>
      <c r="ABY31" s="12"/>
      <c r="ABZ31" s="12"/>
      <c r="ACA31" s="12"/>
      <c r="ACB31" s="12"/>
      <c r="ACC31" s="12"/>
      <c r="ACD31" s="12"/>
      <c r="ACE31" s="12"/>
      <c r="ACF31" s="12"/>
      <c r="ACG31" s="12"/>
      <c r="ACH31" s="12"/>
      <c r="ACI31" s="12"/>
      <c r="ACJ31" s="12"/>
      <c r="ACK31" s="12"/>
      <c r="ACL31" s="12"/>
      <c r="ACM31" s="12"/>
      <c r="ACN31" s="12"/>
      <c r="ACO31" s="12"/>
      <c r="ACP31" s="12"/>
      <c r="ACQ31" s="12"/>
      <c r="ACR31" s="12"/>
      <c r="ACS31" s="12"/>
      <c r="ACT31" s="12"/>
      <c r="ACU31" s="12"/>
      <c r="ACV31" s="12"/>
      <c r="ACW31" s="12"/>
      <c r="ACX31" s="12"/>
      <c r="ACY31" s="12"/>
      <c r="ACZ31" s="12"/>
      <c r="ADA31" s="12"/>
      <c r="ADB31" s="12"/>
      <c r="ADC31" s="12"/>
      <c r="ADD31" s="12"/>
      <c r="ADE31" s="12"/>
      <c r="ADF31" s="12"/>
      <c r="ADG31" s="12"/>
      <c r="ADH31" s="12"/>
      <c r="ADI31" s="12"/>
      <c r="ADJ31" s="12"/>
      <c r="ADK31" s="12"/>
      <c r="ADL31" s="12"/>
      <c r="ADM31" s="12"/>
      <c r="ADN31" s="12"/>
      <c r="ADO31" s="12"/>
      <c r="ADP31" s="12"/>
      <c r="ADQ31" s="12"/>
      <c r="ADR31" s="12"/>
      <c r="ADS31" s="12"/>
      <c r="ADT31" s="12"/>
      <c r="ADU31" s="12"/>
      <c r="ADV31" s="12"/>
      <c r="ADW31" s="12"/>
      <c r="ADX31" s="12"/>
      <c r="ADY31" s="12"/>
      <c r="ADZ31" s="12"/>
      <c r="AEA31" s="12"/>
      <c r="AEB31" s="12"/>
      <c r="AEC31" s="12"/>
      <c r="AED31" s="12"/>
      <c r="AEE31" s="12"/>
      <c r="AEF31" s="12"/>
      <c r="AEG31" s="12"/>
      <c r="AEH31" s="12"/>
      <c r="AEI31" s="12"/>
      <c r="AEJ31" s="12"/>
      <c r="AEK31" s="12"/>
      <c r="AEL31" s="12"/>
      <c r="AEM31" s="12"/>
      <c r="AEN31" s="12"/>
      <c r="AEO31" s="12"/>
      <c r="AEP31" s="12"/>
      <c r="AEQ31" s="12"/>
      <c r="AER31" s="12"/>
      <c r="AES31" s="12"/>
      <c r="AET31" s="12"/>
      <c r="AEU31" s="12"/>
      <c r="AEV31" s="12"/>
    </row>
    <row r="32" spans="1:828" s="13" customFormat="1" ht="18" x14ac:dyDescent="0.2">
      <c r="A32" s="14"/>
      <c r="B32" s="16"/>
      <c r="C32" s="16"/>
      <c r="D32" s="11"/>
      <c r="E32" s="16"/>
      <c r="F32" s="16"/>
      <c r="H32" s="15"/>
      <c r="I32" s="16"/>
      <c r="J32" s="11"/>
      <c r="K32" s="15"/>
      <c r="L32" s="16"/>
      <c r="M32" s="11"/>
      <c r="N32" s="12"/>
      <c r="O32" s="12"/>
      <c r="P32"/>
      <c r="Q32"/>
      <c r="R32"/>
      <c r="S32"/>
      <c r="T3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2"/>
      <c r="EJ32" s="12"/>
      <c r="EK32" s="12"/>
      <c r="EL32" s="12"/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2"/>
      <c r="FJ32" s="12"/>
      <c r="FK32" s="12"/>
      <c r="FL32" s="12"/>
      <c r="FM32" s="12"/>
      <c r="FN32" s="12"/>
      <c r="FO32" s="12"/>
      <c r="FP32" s="12"/>
      <c r="FQ32" s="12"/>
      <c r="FR32" s="12"/>
      <c r="FS32" s="12"/>
      <c r="FT32" s="12"/>
      <c r="FU32" s="12"/>
      <c r="FV32" s="12"/>
      <c r="FW32" s="12"/>
      <c r="FX32" s="12"/>
      <c r="FY32" s="12"/>
      <c r="FZ32" s="12"/>
      <c r="GA32" s="12"/>
      <c r="GB32" s="12"/>
      <c r="GC32" s="12"/>
      <c r="GD32" s="12"/>
      <c r="GE32" s="12"/>
      <c r="GF32" s="12"/>
      <c r="GG32" s="12"/>
      <c r="GH32" s="12"/>
      <c r="GI32" s="12"/>
      <c r="GJ32" s="12"/>
      <c r="GK32" s="12"/>
      <c r="GL32" s="12"/>
      <c r="GM32" s="12"/>
      <c r="GN32" s="12"/>
      <c r="GO32" s="12"/>
      <c r="GP32" s="12"/>
      <c r="GQ32" s="12"/>
      <c r="GR32" s="12"/>
      <c r="GS32" s="12"/>
      <c r="GT32" s="12"/>
      <c r="GU32" s="12"/>
      <c r="GV32" s="12"/>
      <c r="GW32" s="12"/>
      <c r="GX32" s="12"/>
      <c r="GY32" s="12"/>
      <c r="GZ32" s="12"/>
      <c r="HA32" s="12"/>
      <c r="HB32" s="12"/>
      <c r="HC32" s="12"/>
      <c r="HD32" s="12"/>
      <c r="HE32" s="12"/>
      <c r="HF32" s="12"/>
      <c r="HG32" s="12"/>
      <c r="HH32" s="12"/>
      <c r="HI32" s="12"/>
      <c r="HJ32" s="12"/>
      <c r="HK32" s="12"/>
      <c r="HL32" s="12"/>
      <c r="HM32" s="12"/>
      <c r="HN32" s="12"/>
      <c r="HO32" s="12"/>
      <c r="HP32" s="12"/>
      <c r="HQ32" s="12"/>
      <c r="HR32" s="12"/>
      <c r="HS32" s="12"/>
      <c r="HT32" s="12"/>
      <c r="HU32" s="12"/>
      <c r="HV32" s="12"/>
      <c r="HW32" s="12"/>
      <c r="HX32" s="12"/>
      <c r="HY32" s="12"/>
      <c r="HZ32" s="12"/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  <c r="IL32" s="12"/>
      <c r="IM32" s="12"/>
      <c r="IN32" s="12"/>
      <c r="IO32" s="12"/>
      <c r="IP32" s="12"/>
      <c r="IQ32" s="12"/>
      <c r="IR32" s="12"/>
      <c r="IS32" s="12"/>
      <c r="IT32" s="12"/>
      <c r="IU32" s="12"/>
      <c r="IV32" s="12"/>
      <c r="IW32" s="12"/>
      <c r="IX32" s="12"/>
      <c r="IY32" s="12"/>
      <c r="IZ32" s="12"/>
      <c r="JA32" s="12"/>
      <c r="JB32" s="12"/>
      <c r="JC32" s="12"/>
      <c r="JD32" s="12"/>
      <c r="JE32" s="12"/>
      <c r="JF32" s="12"/>
      <c r="JG32" s="12"/>
      <c r="JH32" s="12"/>
      <c r="JI32" s="12"/>
      <c r="JJ32" s="12"/>
      <c r="JK32" s="12"/>
      <c r="JL32" s="12"/>
      <c r="JM32" s="12"/>
      <c r="JN32" s="12"/>
      <c r="JO32" s="12"/>
      <c r="JP32" s="12"/>
      <c r="JQ32" s="12"/>
      <c r="JR32" s="12"/>
      <c r="JS32" s="12"/>
      <c r="JT32" s="12"/>
      <c r="JU32" s="12"/>
      <c r="JV32" s="12"/>
      <c r="JW32" s="12"/>
      <c r="JX32" s="12"/>
      <c r="JY32" s="12"/>
      <c r="JZ32" s="12"/>
      <c r="KA32" s="12"/>
      <c r="KB32" s="12"/>
      <c r="KC32" s="12"/>
      <c r="KD32" s="12"/>
      <c r="KE32" s="12"/>
      <c r="KF32" s="12"/>
      <c r="KG32" s="12"/>
      <c r="KH32" s="12"/>
      <c r="KI32" s="12"/>
      <c r="KJ32" s="12"/>
      <c r="KK32" s="12"/>
      <c r="KL32" s="12"/>
      <c r="KM32" s="12"/>
      <c r="KN32" s="12"/>
      <c r="KO32" s="12"/>
      <c r="KP32" s="12"/>
      <c r="KQ32" s="12"/>
      <c r="KR32" s="12"/>
      <c r="KS32" s="12"/>
      <c r="KT32" s="12"/>
      <c r="KU32" s="12"/>
      <c r="KV32" s="12"/>
      <c r="KW32" s="12"/>
      <c r="KX32" s="12"/>
      <c r="KY32" s="12"/>
      <c r="KZ32" s="12"/>
      <c r="LA32" s="12"/>
      <c r="LB32" s="12"/>
      <c r="LC32" s="12"/>
      <c r="LD32" s="12"/>
      <c r="LE32" s="12"/>
      <c r="LF32" s="12"/>
      <c r="LG32" s="12"/>
      <c r="LH32" s="12"/>
      <c r="LI32" s="12"/>
      <c r="LJ32" s="12"/>
      <c r="LK32" s="12"/>
      <c r="LL32" s="12"/>
      <c r="LM32" s="12"/>
      <c r="LN32" s="12"/>
      <c r="LO32" s="12"/>
      <c r="LP32" s="12"/>
      <c r="LQ32" s="12"/>
      <c r="LR32" s="12"/>
      <c r="LS32" s="12"/>
      <c r="LT32" s="12"/>
      <c r="LU32" s="12"/>
      <c r="LV32" s="12"/>
      <c r="LW32" s="12"/>
      <c r="LX32" s="12"/>
      <c r="LY32" s="12"/>
      <c r="LZ32" s="12"/>
      <c r="MA32" s="12"/>
      <c r="MB32" s="12"/>
      <c r="MC32" s="12"/>
      <c r="MD32" s="12"/>
      <c r="ME32" s="12"/>
      <c r="MF32" s="12"/>
      <c r="MG32" s="12"/>
      <c r="MH32" s="12"/>
      <c r="MI32" s="12"/>
      <c r="MJ32" s="12"/>
      <c r="MK32" s="12"/>
      <c r="ML32" s="12"/>
      <c r="MM32" s="12"/>
      <c r="MN32" s="12"/>
      <c r="MO32" s="12"/>
      <c r="MP32" s="12"/>
      <c r="MQ32" s="12"/>
      <c r="MR32" s="12"/>
      <c r="MS32" s="12"/>
      <c r="MT32" s="12"/>
      <c r="MU32" s="12"/>
      <c r="MV32" s="12"/>
      <c r="MW32" s="12"/>
      <c r="MX32" s="12"/>
      <c r="MY32" s="12"/>
      <c r="MZ32" s="12"/>
      <c r="NA32" s="12"/>
      <c r="NB32" s="12"/>
      <c r="NC32" s="12"/>
      <c r="ND32" s="12"/>
      <c r="NE32" s="12"/>
      <c r="NF32" s="12"/>
      <c r="NG32" s="12"/>
      <c r="NH32" s="12"/>
      <c r="NI32" s="12"/>
      <c r="NJ32" s="12"/>
      <c r="NK32" s="12"/>
      <c r="NL32" s="12"/>
      <c r="NM32" s="12"/>
      <c r="NN32" s="12"/>
      <c r="NO32" s="12"/>
      <c r="NP32" s="12"/>
      <c r="NQ32" s="12"/>
      <c r="NR32" s="12"/>
      <c r="NS32" s="12"/>
      <c r="NT32" s="12"/>
      <c r="NU32" s="12"/>
      <c r="NV32" s="12"/>
      <c r="NW32" s="12"/>
      <c r="NX32" s="12"/>
      <c r="NY32" s="12"/>
      <c r="NZ32" s="12"/>
      <c r="OA32" s="12"/>
      <c r="OB32" s="12"/>
      <c r="OC32" s="12"/>
      <c r="OD32" s="12"/>
      <c r="OE32" s="12"/>
      <c r="OF32" s="12"/>
      <c r="OG32" s="12"/>
      <c r="OH32" s="12"/>
      <c r="OI32" s="12"/>
      <c r="OJ32" s="12"/>
      <c r="OK32" s="12"/>
      <c r="OL32" s="12"/>
      <c r="OM32" s="12"/>
      <c r="ON32" s="12"/>
      <c r="OO32" s="12"/>
      <c r="OP32" s="12"/>
      <c r="OQ32" s="12"/>
      <c r="OR32" s="12"/>
      <c r="OS32" s="12"/>
      <c r="OT32" s="12"/>
      <c r="OU32" s="12"/>
      <c r="OV32" s="12"/>
      <c r="OW32" s="12"/>
      <c r="OX32" s="12"/>
      <c r="OY32" s="12"/>
      <c r="OZ32" s="12"/>
      <c r="PA32" s="12"/>
      <c r="PB32" s="12"/>
      <c r="PC32" s="12"/>
      <c r="PD32" s="12"/>
      <c r="PE32" s="12"/>
      <c r="PF32" s="12"/>
      <c r="PG32" s="12"/>
      <c r="PH32" s="12"/>
      <c r="PI32" s="12"/>
      <c r="PJ32" s="12"/>
      <c r="PK32" s="12"/>
      <c r="PL32" s="12"/>
      <c r="PM32" s="12"/>
      <c r="PN32" s="12"/>
      <c r="PO32" s="12"/>
      <c r="PP32" s="12"/>
      <c r="PQ32" s="12"/>
      <c r="PR32" s="12"/>
      <c r="PS32" s="12"/>
      <c r="PT32" s="12"/>
      <c r="PU32" s="12"/>
      <c r="PV32" s="12"/>
      <c r="PW32" s="12"/>
      <c r="PX32" s="12"/>
      <c r="PY32" s="12"/>
      <c r="PZ32" s="12"/>
      <c r="QA32" s="12"/>
      <c r="QB32" s="12"/>
      <c r="QC32" s="12"/>
      <c r="QD32" s="12"/>
      <c r="QE32" s="12"/>
      <c r="QF32" s="12"/>
      <c r="QG32" s="12"/>
      <c r="QH32" s="12"/>
      <c r="QI32" s="12"/>
      <c r="QJ32" s="12"/>
      <c r="QK32" s="12"/>
      <c r="QL32" s="12"/>
      <c r="QM32" s="12"/>
      <c r="QN32" s="12"/>
      <c r="QO32" s="12"/>
      <c r="QP32" s="12"/>
      <c r="QQ32" s="12"/>
      <c r="QR32" s="12"/>
      <c r="QS32" s="12"/>
      <c r="QT32" s="12"/>
      <c r="QU32" s="12"/>
      <c r="QV32" s="12"/>
      <c r="QW32" s="12"/>
      <c r="QX32" s="12"/>
      <c r="QY32" s="12"/>
      <c r="QZ32" s="12"/>
      <c r="RA32" s="12"/>
      <c r="RB32" s="12"/>
      <c r="RC32" s="12"/>
      <c r="RD32" s="12"/>
      <c r="RE32" s="12"/>
      <c r="RF32" s="12"/>
      <c r="RG32" s="12"/>
      <c r="RH32" s="12"/>
      <c r="RI32" s="12"/>
      <c r="RJ32" s="12"/>
      <c r="RK32" s="12"/>
      <c r="RL32" s="12"/>
      <c r="RM32" s="12"/>
      <c r="RN32" s="12"/>
      <c r="RO32" s="12"/>
      <c r="RP32" s="12"/>
      <c r="RQ32" s="12"/>
      <c r="RR32" s="12"/>
      <c r="RS32" s="12"/>
      <c r="RT32" s="12"/>
      <c r="RU32" s="12"/>
      <c r="RV32" s="12"/>
      <c r="RW32" s="12"/>
      <c r="RX32" s="12"/>
      <c r="RY32" s="12"/>
      <c r="RZ32" s="12"/>
      <c r="SA32" s="12"/>
      <c r="SB32" s="12"/>
      <c r="SC32" s="12"/>
      <c r="SD32" s="12"/>
      <c r="SE32" s="12"/>
      <c r="SF32" s="12"/>
      <c r="SG32" s="12"/>
      <c r="SH32" s="12"/>
      <c r="SI32" s="12"/>
      <c r="SJ32" s="12"/>
      <c r="SK32" s="12"/>
      <c r="SL32" s="12"/>
      <c r="SM32" s="12"/>
      <c r="SN32" s="12"/>
      <c r="SO32" s="12"/>
      <c r="SP32" s="12"/>
      <c r="SQ32" s="12"/>
      <c r="SR32" s="12"/>
      <c r="SS32" s="12"/>
      <c r="ST32" s="12"/>
      <c r="SU32" s="12"/>
      <c r="SV32" s="12"/>
      <c r="SW32" s="12"/>
      <c r="SX32" s="12"/>
      <c r="SY32" s="12"/>
      <c r="SZ32" s="12"/>
      <c r="TA32" s="12"/>
      <c r="TB32" s="12"/>
      <c r="TC32" s="12"/>
      <c r="TD32" s="12"/>
      <c r="TE32" s="12"/>
      <c r="TF32" s="12"/>
      <c r="TG32" s="12"/>
      <c r="TH32" s="12"/>
      <c r="TI32" s="12"/>
      <c r="TJ32" s="12"/>
      <c r="TK32" s="12"/>
      <c r="TL32" s="12"/>
      <c r="TM32" s="12"/>
      <c r="TN32" s="12"/>
      <c r="TO32" s="12"/>
      <c r="TP32" s="12"/>
      <c r="TQ32" s="12"/>
      <c r="TR32" s="12"/>
      <c r="TS32" s="12"/>
      <c r="TT32" s="12"/>
      <c r="TU32" s="12"/>
      <c r="TV32" s="12"/>
      <c r="TW32" s="12"/>
      <c r="TX32" s="12"/>
      <c r="TY32" s="12"/>
      <c r="TZ32" s="12"/>
      <c r="UA32" s="12"/>
      <c r="UB32" s="12"/>
      <c r="UC32" s="12"/>
      <c r="UD32" s="12"/>
      <c r="UE32" s="12"/>
      <c r="UF32" s="12"/>
      <c r="UG32" s="12"/>
      <c r="UH32" s="12"/>
      <c r="UI32" s="12"/>
      <c r="UJ32" s="12"/>
      <c r="UK32" s="12"/>
      <c r="UL32" s="12"/>
      <c r="UM32" s="12"/>
      <c r="UN32" s="12"/>
      <c r="UO32" s="12"/>
      <c r="UP32" s="12"/>
      <c r="UQ32" s="12"/>
      <c r="UR32" s="12"/>
      <c r="US32" s="12"/>
      <c r="UT32" s="12"/>
      <c r="UU32" s="12"/>
      <c r="UV32" s="12"/>
      <c r="UW32" s="12"/>
      <c r="UX32" s="12"/>
      <c r="UY32" s="12"/>
      <c r="UZ32" s="12"/>
      <c r="VA32" s="12"/>
      <c r="VB32" s="12"/>
      <c r="VC32" s="12"/>
      <c r="VD32" s="12"/>
      <c r="VE32" s="12"/>
      <c r="VF32" s="12"/>
      <c r="VG32" s="12"/>
      <c r="VH32" s="12"/>
      <c r="VI32" s="12"/>
      <c r="VJ32" s="12"/>
      <c r="VK32" s="12"/>
      <c r="VL32" s="12"/>
      <c r="VM32" s="12"/>
      <c r="VN32" s="12"/>
      <c r="VO32" s="12"/>
      <c r="VP32" s="12"/>
      <c r="VQ32" s="12"/>
      <c r="VR32" s="12"/>
      <c r="VS32" s="12"/>
      <c r="VT32" s="12"/>
      <c r="VU32" s="12"/>
      <c r="VV32" s="12"/>
      <c r="VW32" s="12"/>
      <c r="VX32" s="12"/>
      <c r="VY32" s="12"/>
      <c r="VZ32" s="12"/>
      <c r="WA32" s="12"/>
      <c r="WB32" s="12"/>
      <c r="WC32" s="12"/>
      <c r="WD32" s="12"/>
      <c r="WE32" s="12"/>
      <c r="WF32" s="12"/>
      <c r="WG32" s="12"/>
      <c r="WH32" s="12"/>
      <c r="WI32" s="12"/>
      <c r="WJ32" s="12"/>
      <c r="WK32" s="12"/>
      <c r="WL32" s="12"/>
      <c r="WM32" s="12"/>
      <c r="WN32" s="12"/>
      <c r="WO32" s="12"/>
      <c r="WP32" s="12"/>
      <c r="WQ32" s="12"/>
      <c r="WR32" s="12"/>
      <c r="WS32" s="12"/>
      <c r="WT32" s="12"/>
      <c r="WU32" s="12"/>
      <c r="WV32" s="12"/>
      <c r="WW32" s="12"/>
      <c r="WX32" s="12"/>
      <c r="WY32" s="12"/>
      <c r="WZ32" s="12"/>
      <c r="XA32" s="12"/>
      <c r="XB32" s="12"/>
      <c r="XC32" s="12"/>
      <c r="XD32" s="12"/>
      <c r="XE32" s="12"/>
      <c r="XF32" s="12"/>
      <c r="XG32" s="12"/>
      <c r="XH32" s="12"/>
      <c r="XI32" s="12"/>
      <c r="XJ32" s="12"/>
      <c r="XK32" s="12"/>
      <c r="XL32" s="12"/>
      <c r="XM32" s="12"/>
      <c r="XN32" s="12"/>
      <c r="XO32" s="12"/>
      <c r="XP32" s="12"/>
      <c r="XQ32" s="12"/>
      <c r="XR32" s="12"/>
      <c r="XS32" s="12"/>
      <c r="XT32" s="12"/>
      <c r="XU32" s="12"/>
      <c r="XV32" s="12"/>
      <c r="XW32" s="12"/>
      <c r="XX32" s="12"/>
      <c r="XY32" s="12"/>
      <c r="XZ32" s="12"/>
      <c r="YA32" s="12"/>
      <c r="YB32" s="12"/>
      <c r="YC32" s="12"/>
      <c r="YD32" s="12"/>
      <c r="YE32" s="12"/>
      <c r="YF32" s="12"/>
      <c r="YG32" s="12"/>
      <c r="YH32" s="12"/>
      <c r="YI32" s="12"/>
      <c r="YJ32" s="12"/>
      <c r="YK32" s="12"/>
      <c r="YL32" s="12"/>
      <c r="YM32" s="12"/>
      <c r="YN32" s="12"/>
      <c r="YO32" s="12"/>
      <c r="YP32" s="12"/>
      <c r="YQ32" s="12"/>
      <c r="YR32" s="12"/>
      <c r="YS32" s="12"/>
      <c r="YT32" s="12"/>
      <c r="YU32" s="12"/>
      <c r="YV32" s="12"/>
      <c r="YW32" s="12"/>
      <c r="YX32" s="12"/>
      <c r="YY32" s="12"/>
      <c r="YZ32" s="12"/>
      <c r="ZA32" s="12"/>
      <c r="ZB32" s="12"/>
      <c r="ZC32" s="12"/>
      <c r="ZD32" s="12"/>
      <c r="ZE32" s="12"/>
      <c r="ZF32" s="12"/>
      <c r="ZG32" s="12"/>
      <c r="ZH32" s="12"/>
      <c r="ZI32" s="12"/>
      <c r="ZJ32" s="12"/>
      <c r="ZK32" s="12"/>
      <c r="ZL32" s="12"/>
      <c r="ZM32" s="12"/>
      <c r="ZN32" s="12"/>
      <c r="ZO32" s="12"/>
      <c r="ZP32" s="12"/>
      <c r="ZQ32" s="12"/>
      <c r="ZR32" s="12"/>
      <c r="ZS32" s="12"/>
      <c r="ZT32" s="12"/>
      <c r="ZU32" s="12"/>
      <c r="ZV32" s="12"/>
      <c r="ZW32" s="12"/>
      <c r="ZX32" s="12"/>
      <c r="ZY32" s="12"/>
      <c r="ZZ32" s="12"/>
      <c r="AAA32" s="12"/>
      <c r="AAB32" s="12"/>
      <c r="AAC32" s="12"/>
      <c r="AAD32" s="12"/>
      <c r="AAE32" s="12"/>
      <c r="AAF32" s="12"/>
      <c r="AAG32" s="12"/>
      <c r="AAH32" s="12"/>
      <c r="AAI32" s="12"/>
      <c r="AAJ32" s="12"/>
      <c r="AAK32" s="12"/>
      <c r="AAL32" s="12"/>
      <c r="AAM32" s="12"/>
      <c r="AAN32" s="12"/>
      <c r="AAO32" s="12"/>
      <c r="AAP32" s="12"/>
      <c r="AAQ32" s="12"/>
      <c r="AAR32" s="12"/>
      <c r="AAS32" s="12"/>
      <c r="AAT32" s="12"/>
      <c r="AAU32" s="12"/>
      <c r="AAV32" s="12"/>
      <c r="AAW32" s="12"/>
      <c r="AAX32" s="12"/>
      <c r="AAY32" s="12"/>
      <c r="AAZ32" s="12"/>
      <c r="ABA32" s="12"/>
      <c r="ABB32" s="12"/>
      <c r="ABC32" s="12"/>
      <c r="ABD32" s="12"/>
      <c r="ABE32" s="12"/>
      <c r="ABF32" s="12"/>
      <c r="ABG32" s="12"/>
      <c r="ABH32" s="12"/>
      <c r="ABI32" s="12"/>
      <c r="ABJ32" s="12"/>
      <c r="ABK32" s="12"/>
      <c r="ABL32" s="12"/>
      <c r="ABM32" s="12"/>
      <c r="ABN32" s="12"/>
      <c r="ABO32" s="12"/>
      <c r="ABP32" s="12"/>
      <c r="ABQ32" s="12"/>
      <c r="ABR32" s="12"/>
      <c r="ABS32" s="12"/>
      <c r="ABT32" s="12"/>
      <c r="ABU32" s="12"/>
      <c r="ABV32" s="12"/>
      <c r="ABW32" s="12"/>
      <c r="ABX32" s="12"/>
      <c r="ABY32" s="12"/>
      <c r="ABZ32" s="12"/>
      <c r="ACA32" s="12"/>
      <c r="ACB32" s="12"/>
      <c r="ACC32" s="12"/>
      <c r="ACD32" s="12"/>
      <c r="ACE32" s="12"/>
      <c r="ACF32" s="12"/>
      <c r="ACG32" s="12"/>
      <c r="ACH32" s="12"/>
      <c r="ACI32" s="12"/>
      <c r="ACJ32" s="12"/>
      <c r="ACK32" s="12"/>
      <c r="ACL32" s="12"/>
      <c r="ACM32" s="12"/>
      <c r="ACN32" s="12"/>
      <c r="ACO32" s="12"/>
      <c r="ACP32" s="12"/>
      <c r="ACQ32" s="12"/>
      <c r="ACR32" s="12"/>
      <c r="ACS32" s="12"/>
      <c r="ACT32" s="12"/>
      <c r="ACU32" s="12"/>
      <c r="ACV32" s="12"/>
      <c r="ACW32" s="12"/>
      <c r="ACX32" s="12"/>
      <c r="ACY32" s="12"/>
      <c r="ACZ32" s="12"/>
      <c r="ADA32" s="12"/>
      <c r="ADB32" s="12"/>
      <c r="ADC32" s="12"/>
      <c r="ADD32" s="12"/>
      <c r="ADE32" s="12"/>
      <c r="ADF32" s="12"/>
      <c r="ADG32" s="12"/>
      <c r="ADH32" s="12"/>
      <c r="ADI32" s="12"/>
      <c r="ADJ32" s="12"/>
      <c r="ADK32" s="12"/>
      <c r="ADL32" s="12"/>
      <c r="ADM32" s="12"/>
      <c r="ADN32" s="12"/>
      <c r="ADO32" s="12"/>
      <c r="ADP32" s="12"/>
      <c r="ADQ32" s="12"/>
      <c r="ADR32" s="12"/>
      <c r="ADS32" s="12"/>
      <c r="ADT32" s="12"/>
      <c r="ADU32" s="12"/>
      <c r="ADV32" s="12"/>
      <c r="ADW32" s="12"/>
      <c r="ADX32" s="12"/>
      <c r="ADY32" s="12"/>
      <c r="ADZ32" s="12"/>
      <c r="AEA32" s="12"/>
      <c r="AEB32" s="12"/>
      <c r="AEC32" s="12"/>
      <c r="AED32" s="12"/>
      <c r="AEE32" s="12"/>
      <c r="AEF32" s="12"/>
      <c r="AEG32" s="12"/>
      <c r="AEH32" s="12"/>
      <c r="AEI32" s="12"/>
      <c r="AEJ32" s="12"/>
      <c r="AEK32" s="12"/>
      <c r="AEL32" s="12"/>
      <c r="AEM32" s="12"/>
      <c r="AEN32" s="12"/>
      <c r="AEO32" s="12"/>
      <c r="AEP32" s="12"/>
      <c r="AEQ32" s="12"/>
      <c r="AER32" s="12"/>
      <c r="AES32" s="12"/>
      <c r="AET32" s="12"/>
      <c r="AEU32" s="12"/>
      <c r="AEV32" s="12"/>
    </row>
    <row r="33" spans="1:828" s="13" customFormat="1" ht="19" thickBot="1" x14ac:dyDescent="0.25">
      <c r="A33" s="17"/>
      <c r="B33" s="16"/>
      <c r="C33" s="19"/>
      <c r="D33" s="20"/>
      <c r="E33" s="19"/>
      <c r="F33" s="19"/>
      <c r="G33" s="19"/>
      <c r="H33" s="18"/>
      <c r="I33" s="19"/>
      <c r="J33" s="20"/>
      <c r="K33" s="18"/>
      <c r="L33" s="19"/>
      <c r="M33" s="20"/>
      <c r="N33" s="12"/>
      <c r="O33" s="12"/>
      <c r="P33"/>
      <c r="Q33"/>
      <c r="R33"/>
      <c r="S33"/>
      <c r="T33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2"/>
      <c r="EJ33" s="12"/>
      <c r="EK33" s="12"/>
      <c r="EL33" s="12"/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2"/>
      <c r="FJ33" s="12"/>
      <c r="FK33" s="12"/>
      <c r="FL33" s="12"/>
      <c r="FM33" s="12"/>
      <c r="FN33" s="12"/>
      <c r="FO33" s="12"/>
      <c r="FP33" s="12"/>
      <c r="FQ33" s="12"/>
      <c r="FR33" s="12"/>
      <c r="FS33" s="12"/>
      <c r="FT33" s="12"/>
      <c r="FU33" s="12"/>
      <c r="FV33" s="12"/>
      <c r="FW33" s="12"/>
      <c r="FX33" s="12"/>
      <c r="FY33" s="12"/>
      <c r="FZ33" s="12"/>
      <c r="GA33" s="12"/>
      <c r="GB33" s="12"/>
      <c r="GC33" s="12"/>
      <c r="GD33" s="12"/>
      <c r="GE33" s="12"/>
      <c r="GF33" s="12"/>
      <c r="GG33" s="12"/>
      <c r="GH33" s="12"/>
      <c r="GI33" s="12"/>
      <c r="GJ33" s="12"/>
      <c r="GK33" s="12"/>
      <c r="GL33" s="12"/>
      <c r="GM33" s="12"/>
      <c r="GN33" s="12"/>
      <c r="GO33" s="12"/>
      <c r="GP33" s="12"/>
      <c r="GQ33" s="12"/>
      <c r="GR33" s="12"/>
      <c r="GS33" s="12"/>
      <c r="GT33" s="12"/>
      <c r="GU33" s="12"/>
      <c r="GV33" s="12"/>
      <c r="GW33" s="12"/>
      <c r="GX33" s="12"/>
      <c r="GY33" s="12"/>
      <c r="GZ33" s="12"/>
      <c r="HA33" s="12"/>
      <c r="HB33" s="12"/>
      <c r="HC33" s="12"/>
      <c r="HD33" s="12"/>
      <c r="HE33" s="12"/>
      <c r="HF33" s="12"/>
      <c r="HG33" s="12"/>
      <c r="HH33" s="12"/>
      <c r="HI33" s="12"/>
      <c r="HJ33" s="12"/>
      <c r="HK33" s="12"/>
      <c r="HL33" s="12"/>
      <c r="HM33" s="12"/>
      <c r="HN33" s="12"/>
      <c r="HO33" s="12"/>
      <c r="HP33" s="12"/>
      <c r="HQ33" s="12"/>
      <c r="HR33" s="12"/>
      <c r="HS33" s="12"/>
      <c r="HT33" s="12"/>
      <c r="HU33" s="12"/>
      <c r="HV33" s="12"/>
      <c r="HW33" s="12"/>
      <c r="HX33" s="12"/>
      <c r="HY33" s="12"/>
      <c r="HZ33" s="12"/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  <c r="IL33" s="12"/>
      <c r="IM33" s="12"/>
      <c r="IN33" s="12"/>
      <c r="IO33" s="12"/>
      <c r="IP33" s="12"/>
      <c r="IQ33" s="12"/>
      <c r="IR33" s="12"/>
      <c r="IS33" s="12"/>
      <c r="IT33" s="12"/>
      <c r="IU33" s="12"/>
      <c r="IV33" s="12"/>
      <c r="IW33" s="12"/>
      <c r="IX33" s="12"/>
      <c r="IY33" s="12"/>
      <c r="IZ33" s="12"/>
      <c r="JA33" s="12"/>
      <c r="JB33" s="12"/>
      <c r="JC33" s="12"/>
      <c r="JD33" s="12"/>
      <c r="JE33" s="12"/>
      <c r="JF33" s="12"/>
      <c r="JG33" s="12"/>
      <c r="JH33" s="12"/>
      <c r="JI33" s="12"/>
      <c r="JJ33" s="12"/>
      <c r="JK33" s="12"/>
      <c r="JL33" s="12"/>
      <c r="JM33" s="12"/>
      <c r="JN33" s="12"/>
      <c r="JO33" s="12"/>
      <c r="JP33" s="12"/>
      <c r="JQ33" s="12"/>
      <c r="JR33" s="12"/>
      <c r="JS33" s="12"/>
      <c r="JT33" s="12"/>
      <c r="JU33" s="12"/>
      <c r="JV33" s="12"/>
      <c r="JW33" s="12"/>
      <c r="JX33" s="12"/>
      <c r="JY33" s="12"/>
      <c r="JZ33" s="12"/>
      <c r="KA33" s="12"/>
      <c r="KB33" s="12"/>
      <c r="KC33" s="12"/>
      <c r="KD33" s="12"/>
      <c r="KE33" s="12"/>
      <c r="KF33" s="12"/>
      <c r="KG33" s="12"/>
      <c r="KH33" s="12"/>
      <c r="KI33" s="12"/>
      <c r="KJ33" s="12"/>
      <c r="KK33" s="12"/>
      <c r="KL33" s="12"/>
      <c r="KM33" s="12"/>
      <c r="KN33" s="12"/>
      <c r="KO33" s="12"/>
      <c r="KP33" s="12"/>
      <c r="KQ33" s="12"/>
      <c r="KR33" s="12"/>
      <c r="KS33" s="12"/>
      <c r="KT33" s="12"/>
      <c r="KU33" s="12"/>
      <c r="KV33" s="12"/>
      <c r="KW33" s="12"/>
      <c r="KX33" s="12"/>
      <c r="KY33" s="12"/>
      <c r="KZ33" s="12"/>
      <c r="LA33" s="12"/>
      <c r="LB33" s="12"/>
      <c r="LC33" s="12"/>
      <c r="LD33" s="12"/>
      <c r="LE33" s="12"/>
      <c r="LF33" s="12"/>
      <c r="LG33" s="12"/>
      <c r="LH33" s="12"/>
      <c r="LI33" s="12"/>
      <c r="LJ33" s="12"/>
      <c r="LK33" s="12"/>
      <c r="LL33" s="12"/>
      <c r="LM33" s="12"/>
      <c r="LN33" s="12"/>
      <c r="LO33" s="12"/>
      <c r="LP33" s="12"/>
      <c r="LQ33" s="12"/>
      <c r="LR33" s="12"/>
      <c r="LS33" s="12"/>
      <c r="LT33" s="12"/>
      <c r="LU33" s="12"/>
      <c r="LV33" s="12"/>
      <c r="LW33" s="12"/>
      <c r="LX33" s="12"/>
      <c r="LY33" s="12"/>
      <c r="LZ33" s="12"/>
      <c r="MA33" s="12"/>
      <c r="MB33" s="12"/>
      <c r="MC33" s="12"/>
      <c r="MD33" s="12"/>
      <c r="ME33" s="12"/>
      <c r="MF33" s="12"/>
      <c r="MG33" s="12"/>
      <c r="MH33" s="12"/>
      <c r="MI33" s="12"/>
      <c r="MJ33" s="12"/>
      <c r="MK33" s="12"/>
      <c r="ML33" s="12"/>
      <c r="MM33" s="12"/>
      <c r="MN33" s="12"/>
      <c r="MO33" s="12"/>
      <c r="MP33" s="12"/>
      <c r="MQ33" s="12"/>
      <c r="MR33" s="12"/>
      <c r="MS33" s="12"/>
      <c r="MT33" s="12"/>
      <c r="MU33" s="12"/>
      <c r="MV33" s="12"/>
      <c r="MW33" s="12"/>
      <c r="MX33" s="12"/>
      <c r="MY33" s="12"/>
      <c r="MZ33" s="12"/>
      <c r="NA33" s="12"/>
      <c r="NB33" s="12"/>
      <c r="NC33" s="12"/>
      <c r="ND33" s="12"/>
      <c r="NE33" s="12"/>
      <c r="NF33" s="12"/>
      <c r="NG33" s="12"/>
      <c r="NH33" s="12"/>
      <c r="NI33" s="12"/>
      <c r="NJ33" s="12"/>
      <c r="NK33" s="12"/>
      <c r="NL33" s="12"/>
      <c r="NM33" s="12"/>
      <c r="NN33" s="12"/>
      <c r="NO33" s="12"/>
      <c r="NP33" s="12"/>
      <c r="NQ33" s="12"/>
      <c r="NR33" s="12"/>
      <c r="NS33" s="12"/>
      <c r="NT33" s="12"/>
      <c r="NU33" s="12"/>
      <c r="NV33" s="12"/>
      <c r="NW33" s="12"/>
      <c r="NX33" s="12"/>
      <c r="NY33" s="12"/>
      <c r="NZ33" s="12"/>
      <c r="OA33" s="12"/>
      <c r="OB33" s="12"/>
      <c r="OC33" s="12"/>
      <c r="OD33" s="12"/>
      <c r="OE33" s="12"/>
      <c r="OF33" s="12"/>
      <c r="OG33" s="12"/>
      <c r="OH33" s="12"/>
      <c r="OI33" s="12"/>
      <c r="OJ33" s="12"/>
      <c r="OK33" s="12"/>
      <c r="OL33" s="12"/>
      <c r="OM33" s="12"/>
      <c r="ON33" s="12"/>
      <c r="OO33" s="12"/>
      <c r="OP33" s="12"/>
      <c r="OQ33" s="12"/>
      <c r="OR33" s="12"/>
      <c r="OS33" s="12"/>
      <c r="OT33" s="12"/>
      <c r="OU33" s="12"/>
      <c r="OV33" s="12"/>
      <c r="OW33" s="12"/>
      <c r="OX33" s="12"/>
      <c r="OY33" s="12"/>
      <c r="OZ33" s="12"/>
      <c r="PA33" s="12"/>
      <c r="PB33" s="12"/>
      <c r="PC33" s="12"/>
      <c r="PD33" s="12"/>
      <c r="PE33" s="12"/>
      <c r="PF33" s="12"/>
      <c r="PG33" s="12"/>
      <c r="PH33" s="12"/>
      <c r="PI33" s="12"/>
      <c r="PJ33" s="12"/>
      <c r="PK33" s="12"/>
      <c r="PL33" s="12"/>
      <c r="PM33" s="12"/>
      <c r="PN33" s="12"/>
      <c r="PO33" s="12"/>
      <c r="PP33" s="12"/>
      <c r="PQ33" s="12"/>
      <c r="PR33" s="12"/>
      <c r="PS33" s="12"/>
      <c r="PT33" s="12"/>
      <c r="PU33" s="12"/>
      <c r="PV33" s="12"/>
      <c r="PW33" s="12"/>
      <c r="PX33" s="12"/>
      <c r="PY33" s="12"/>
      <c r="PZ33" s="12"/>
      <c r="QA33" s="12"/>
      <c r="QB33" s="12"/>
      <c r="QC33" s="12"/>
      <c r="QD33" s="12"/>
      <c r="QE33" s="12"/>
      <c r="QF33" s="12"/>
      <c r="QG33" s="12"/>
      <c r="QH33" s="12"/>
      <c r="QI33" s="12"/>
      <c r="QJ33" s="12"/>
      <c r="QK33" s="12"/>
      <c r="QL33" s="12"/>
      <c r="QM33" s="12"/>
      <c r="QN33" s="12"/>
      <c r="QO33" s="12"/>
      <c r="QP33" s="12"/>
      <c r="QQ33" s="12"/>
      <c r="QR33" s="12"/>
      <c r="QS33" s="12"/>
      <c r="QT33" s="12"/>
      <c r="QU33" s="12"/>
      <c r="QV33" s="12"/>
      <c r="QW33" s="12"/>
      <c r="QX33" s="12"/>
      <c r="QY33" s="12"/>
      <c r="QZ33" s="12"/>
      <c r="RA33" s="12"/>
      <c r="RB33" s="12"/>
      <c r="RC33" s="12"/>
      <c r="RD33" s="12"/>
      <c r="RE33" s="12"/>
      <c r="RF33" s="12"/>
      <c r="RG33" s="12"/>
      <c r="RH33" s="12"/>
      <c r="RI33" s="12"/>
      <c r="RJ33" s="12"/>
      <c r="RK33" s="12"/>
      <c r="RL33" s="12"/>
      <c r="RM33" s="12"/>
      <c r="RN33" s="12"/>
      <c r="RO33" s="12"/>
      <c r="RP33" s="12"/>
      <c r="RQ33" s="12"/>
      <c r="RR33" s="12"/>
      <c r="RS33" s="12"/>
      <c r="RT33" s="12"/>
      <c r="RU33" s="12"/>
      <c r="RV33" s="12"/>
      <c r="RW33" s="12"/>
      <c r="RX33" s="12"/>
      <c r="RY33" s="12"/>
      <c r="RZ33" s="12"/>
      <c r="SA33" s="12"/>
      <c r="SB33" s="12"/>
      <c r="SC33" s="12"/>
      <c r="SD33" s="12"/>
      <c r="SE33" s="12"/>
      <c r="SF33" s="12"/>
      <c r="SG33" s="12"/>
      <c r="SH33" s="12"/>
      <c r="SI33" s="12"/>
      <c r="SJ33" s="12"/>
      <c r="SK33" s="12"/>
      <c r="SL33" s="12"/>
      <c r="SM33" s="12"/>
      <c r="SN33" s="12"/>
      <c r="SO33" s="12"/>
      <c r="SP33" s="12"/>
      <c r="SQ33" s="12"/>
      <c r="SR33" s="12"/>
      <c r="SS33" s="12"/>
      <c r="ST33" s="12"/>
      <c r="SU33" s="12"/>
      <c r="SV33" s="12"/>
      <c r="SW33" s="12"/>
      <c r="SX33" s="12"/>
      <c r="SY33" s="12"/>
      <c r="SZ33" s="12"/>
      <c r="TA33" s="12"/>
      <c r="TB33" s="12"/>
      <c r="TC33" s="12"/>
      <c r="TD33" s="12"/>
      <c r="TE33" s="12"/>
      <c r="TF33" s="12"/>
      <c r="TG33" s="12"/>
      <c r="TH33" s="12"/>
      <c r="TI33" s="12"/>
      <c r="TJ33" s="12"/>
      <c r="TK33" s="12"/>
      <c r="TL33" s="12"/>
      <c r="TM33" s="12"/>
      <c r="TN33" s="12"/>
      <c r="TO33" s="12"/>
      <c r="TP33" s="12"/>
      <c r="TQ33" s="12"/>
      <c r="TR33" s="12"/>
      <c r="TS33" s="12"/>
      <c r="TT33" s="12"/>
      <c r="TU33" s="12"/>
      <c r="TV33" s="12"/>
      <c r="TW33" s="12"/>
      <c r="TX33" s="12"/>
      <c r="TY33" s="12"/>
      <c r="TZ33" s="12"/>
      <c r="UA33" s="12"/>
      <c r="UB33" s="12"/>
      <c r="UC33" s="12"/>
      <c r="UD33" s="12"/>
      <c r="UE33" s="12"/>
      <c r="UF33" s="12"/>
      <c r="UG33" s="12"/>
      <c r="UH33" s="12"/>
      <c r="UI33" s="12"/>
      <c r="UJ33" s="12"/>
      <c r="UK33" s="12"/>
      <c r="UL33" s="12"/>
      <c r="UM33" s="12"/>
      <c r="UN33" s="12"/>
      <c r="UO33" s="12"/>
      <c r="UP33" s="12"/>
      <c r="UQ33" s="12"/>
      <c r="UR33" s="12"/>
      <c r="US33" s="12"/>
      <c r="UT33" s="12"/>
      <c r="UU33" s="12"/>
      <c r="UV33" s="12"/>
      <c r="UW33" s="12"/>
      <c r="UX33" s="12"/>
      <c r="UY33" s="12"/>
      <c r="UZ33" s="12"/>
      <c r="VA33" s="12"/>
      <c r="VB33" s="12"/>
      <c r="VC33" s="12"/>
      <c r="VD33" s="12"/>
      <c r="VE33" s="12"/>
      <c r="VF33" s="12"/>
      <c r="VG33" s="12"/>
      <c r="VH33" s="12"/>
      <c r="VI33" s="12"/>
      <c r="VJ33" s="12"/>
      <c r="VK33" s="12"/>
      <c r="VL33" s="12"/>
      <c r="VM33" s="12"/>
      <c r="VN33" s="12"/>
      <c r="VO33" s="12"/>
      <c r="VP33" s="12"/>
      <c r="VQ33" s="12"/>
      <c r="VR33" s="12"/>
      <c r="VS33" s="12"/>
      <c r="VT33" s="12"/>
      <c r="VU33" s="12"/>
      <c r="VV33" s="12"/>
      <c r="VW33" s="12"/>
      <c r="VX33" s="12"/>
      <c r="VY33" s="12"/>
      <c r="VZ33" s="12"/>
      <c r="WA33" s="12"/>
      <c r="WB33" s="12"/>
      <c r="WC33" s="12"/>
      <c r="WD33" s="12"/>
      <c r="WE33" s="12"/>
      <c r="WF33" s="12"/>
      <c r="WG33" s="12"/>
      <c r="WH33" s="12"/>
      <c r="WI33" s="12"/>
      <c r="WJ33" s="12"/>
      <c r="WK33" s="12"/>
      <c r="WL33" s="12"/>
      <c r="WM33" s="12"/>
      <c r="WN33" s="12"/>
      <c r="WO33" s="12"/>
      <c r="WP33" s="12"/>
      <c r="WQ33" s="12"/>
      <c r="WR33" s="12"/>
      <c r="WS33" s="12"/>
      <c r="WT33" s="12"/>
      <c r="WU33" s="12"/>
      <c r="WV33" s="12"/>
      <c r="WW33" s="12"/>
      <c r="WX33" s="12"/>
      <c r="WY33" s="12"/>
      <c r="WZ33" s="12"/>
      <c r="XA33" s="12"/>
      <c r="XB33" s="12"/>
      <c r="XC33" s="12"/>
      <c r="XD33" s="12"/>
      <c r="XE33" s="12"/>
      <c r="XF33" s="12"/>
      <c r="XG33" s="12"/>
      <c r="XH33" s="12"/>
      <c r="XI33" s="12"/>
      <c r="XJ33" s="12"/>
      <c r="XK33" s="12"/>
      <c r="XL33" s="12"/>
      <c r="XM33" s="12"/>
      <c r="XN33" s="12"/>
      <c r="XO33" s="12"/>
      <c r="XP33" s="12"/>
      <c r="XQ33" s="12"/>
      <c r="XR33" s="12"/>
      <c r="XS33" s="12"/>
      <c r="XT33" s="12"/>
      <c r="XU33" s="12"/>
      <c r="XV33" s="12"/>
      <c r="XW33" s="12"/>
      <c r="XX33" s="12"/>
      <c r="XY33" s="12"/>
      <c r="XZ33" s="12"/>
      <c r="YA33" s="12"/>
      <c r="YB33" s="12"/>
      <c r="YC33" s="12"/>
      <c r="YD33" s="12"/>
      <c r="YE33" s="12"/>
      <c r="YF33" s="12"/>
      <c r="YG33" s="12"/>
      <c r="YH33" s="12"/>
      <c r="YI33" s="12"/>
      <c r="YJ33" s="12"/>
      <c r="YK33" s="12"/>
      <c r="YL33" s="12"/>
      <c r="YM33" s="12"/>
      <c r="YN33" s="12"/>
      <c r="YO33" s="12"/>
      <c r="YP33" s="12"/>
      <c r="YQ33" s="12"/>
      <c r="YR33" s="12"/>
      <c r="YS33" s="12"/>
      <c r="YT33" s="12"/>
      <c r="YU33" s="12"/>
      <c r="YV33" s="12"/>
      <c r="YW33" s="12"/>
      <c r="YX33" s="12"/>
      <c r="YY33" s="12"/>
      <c r="YZ33" s="12"/>
      <c r="ZA33" s="12"/>
      <c r="ZB33" s="12"/>
      <c r="ZC33" s="12"/>
      <c r="ZD33" s="12"/>
      <c r="ZE33" s="12"/>
      <c r="ZF33" s="12"/>
      <c r="ZG33" s="12"/>
      <c r="ZH33" s="12"/>
      <c r="ZI33" s="12"/>
      <c r="ZJ33" s="12"/>
      <c r="ZK33" s="12"/>
      <c r="ZL33" s="12"/>
      <c r="ZM33" s="12"/>
      <c r="ZN33" s="12"/>
      <c r="ZO33" s="12"/>
      <c r="ZP33" s="12"/>
      <c r="ZQ33" s="12"/>
      <c r="ZR33" s="12"/>
      <c r="ZS33" s="12"/>
      <c r="ZT33" s="12"/>
      <c r="ZU33" s="12"/>
      <c r="ZV33" s="12"/>
      <c r="ZW33" s="12"/>
      <c r="ZX33" s="12"/>
      <c r="ZY33" s="12"/>
      <c r="ZZ33" s="12"/>
      <c r="AAA33" s="12"/>
      <c r="AAB33" s="12"/>
      <c r="AAC33" s="12"/>
      <c r="AAD33" s="12"/>
      <c r="AAE33" s="12"/>
      <c r="AAF33" s="12"/>
      <c r="AAG33" s="12"/>
      <c r="AAH33" s="12"/>
      <c r="AAI33" s="12"/>
      <c r="AAJ33" s="12"/>
      <c r="AAK33" s="12"/>
      <c r="AAL33" s="12"/>
      <c r="AAM33" s="12"/>
      <c r="AAN33" s="12"/>
      <c r="AAO33" s="12"/>
      <c r="AAP33" s="12"/>
      <c r="AAQ33" s="12"/>
      <c r="AAR33" s="12"/>
      <c r="AAS33" s="12"/>
      <c r="AAT33" s="12"/>
      <c r="AAU33" s="12"/>
      <c r="AAV33" s="12"/>
      <c r="AAW33" s="12"/>
      <c r="AAX33" s="12"/>
      <c r="AAY33" s="12"/>
      <c r="AAZ33" s="12"/>
      <c r="ABA33" s="12"/>
      <c r="ABB33" s="12"/>
      <c r="ABC33" s="12"/>
      <c r="ABD33" s="12"/>
      <c r="ABE33" s="12"/>
      <c r="ABF33" s="12"/>
      <c r="ABG33" s="12"/>
      <c r="ABH33" s="12"/>
      <c r="ABI33" s="12"/>
      <c r="ABJ33" s="12"/>
      <c r="ABK33" s="12"/>
      <c r="ABL33" s="12"/>
      <c r="ABM33" s="12"/>
      <c r="ABN33" s="12"/>
      <c r="ABO33" s="12"/>
      <c r="ABP33" s="12"/>
      <c r="ABQ33" s="12"/>
      <c r="ABR33" s="12"/>
      <c r="ABS33" s="12"/>
      <c r="ABT33" s="12"/>
      <c r="ABU33" s="12"/>
      <c r="ABV33" s="12"/>
      <c r="ABW33" s="12"/>
      <c r="ABX33" s="12"/>
      <c r="ABY33" s="12"/>
      <c r="ABZ33" s="12"/>
      <c r="ACA33" s="12"/>
      <c r="ACB33" s="12"/>
      <c r="ACC33" s="12"/>
      <c r="ACD33" s="12"/>
      <c r="ACE33" s="12"/>
      <c r="ACF33" s="12"/>
      <c r="ACG33" s="12"/>
      <c r="ACH33" s="12"/>
      <c r="ACI33" s="12"/>
      <c r="ACJ33" s="12"/>
      <c r="ACK33" s="12"/>
      <c r="ACL33" s="12"/>
      <c r="ACM33" s="12"/>
      <c r="ACN33" s="12"/>
      <c r="ACO33" s="12"/>
      <c r="ACP33" s="12"/>
      <c r="ACQ33" s="12"/>
      <c r="ACR33" s="12"/>
      <c r="ACS33" s="12"/>
      <c r="ACT33" s="12"/>
      <c r="ACU33" s="12"/>
      <c r="ACV33" s="12"/>
      <c r="ACW33" s="12"/>
      <c r="ACX33" s="12"/>
      <c r="ACY33" s="12"/>
      <c r="ACZ33" s="12"/>
      <c r="ADA33" s="12"/>
      <c r="ADB33" s="12"/>
      <c r="ADC33" s="12"/>
      <c r="ADD33" s="12"/>
      <c r="ADE33" s="12"/>
      <c r="ADF33" s="12"/>
      <c r="ADG33" s="12"/>
      <c r="ADH33" s="12"/>
      <c r="ADI33" s="12"/>
      <c r="ADJ33" s="12"/>
      <c r="ADK33" s="12"/>
      <c r="ADL33" s="12"/>
      <c r="ADM33" s="12"/>
      <c r="ADN33" s="12"/>
      <c r="ADO33" s="12"/>
      <c r="ADP33" s="12"/>
      <c r="ADQ33" s="12"/>
      <c r="ADR33" s="12"/>
      <c r="ADS33" s="12"/>
      <c r="ADT33" s="12"/>
      <c r="ADU33" s="12"/>
      <c r="ADV33" s="12"/>
      <c r="ADW33" s="12"/>
      <c r="ADX33" s="12"/>
      <c r="ADY33" s="12"/>
      <c r="ADZ33" s="12"/>
      <c r="AEA33" s="12"/>
      <c r="AEB33" s="12"/>
      <c r="AEC33" s="12"/>
      <c r="AED33" s="12"/>
      <c r="AEE33" s="12"/>
      <c r="AEF33" s="12"/>
      <c r="AEG33" s="12"/>
      <c r="AEH33" s="12"/>
      <c r="AEI33" s="12"/>
      <c r="AEJ33" s="12"/>
      <c r="AEK33" s="12"/>
      <c r="AEL33" s="12"/>
      <c r="AEM33" s="12"/>
      <c r="AEN33" s="12"/>
      <c r="AEO33" s="12"/>
      <c r="AEP33" s="12"/>
      <c r="AEQ33" s="12"/>
      <c r="AER33" s="12"/>
      <c r="AES33" s="12"/>
      <c r="AET33" s="12"/>
      <c r="AEU33" s="12"/>
      <c r="AEV33" s="12"/>
    </row>
    <row r="34" spans="1:828" s="27" customFormat="1" ht="19" x14ac:dyDescent="0.2">
      <c r="A34" s="21" t="s">
        <v>27</v>
      </c>
      <c r="B34" s="46">
        <f t="shared" si="0"/>
        <v>5.7547048000258241E-2</v>
      </c>
      <c r="C34" s="25" t="s">
        <v>28</v>
      </c>
      <c r="D34" s="24">
        <f>3673+22+3436</f>
        <v>7131</v>
      </c>
      <c r="E34" s="46">
        <f>SUM(G34:G41)/D74</f>
        <v>0.19247716194841666</v>
      </c>
      <c r="F34" s="23" t="s">
        <v>67</v>
      </c>
      <c r="G34" s="29">
        <v>19979</v>
      </c>
      <c r="H34" s="26">
        <f>SUM(J34:J38)/J74</f>
        <v>1.0402004874866972E-2</v>
      </c>
      <c r="I34" s="25" t="s">
        <v>29</v>
      </c>
      <c r="J34" s="24">
        <v>1157</v>
      </c>
      <c r="K34" s="26">
        <f>SUM(M34:M42)/J74</f>
        <v>0.15784098321260601</v>
      </c>
      <c r="L34" s="25" t="s">
        <v>30</v>
      </c>
      <c r="M34" s="24">
        <v>640</v>
      </c>
      <c r="N34" s="47">
        <f>G34/$D$74</f>
        <v>0.16123018819200102</v>
      </c>
      <c r="O34" s="47">
        <f>M34/$J$74</f>
        <v>5.4928078547152323E-3</v>
      </c>
      <c r="P34" s="48"/>
      <c r="Q34"/>
      <c r="R34"/>
      <c r="S34"/>
      <c r="T34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2"/>
      <c r="FJ34" s="12"/>
      <c r="FK34" s="12"/>
      <c r="FL34" s="12"/>
      <c r="FM34" s="12"/>
      <c r="FN34" s="12"/>
      <c r="FO34" s="12"/>
      <c r="FP34" s="12"/>
      <c r="FQ34" s="12"/>
      <c r="FR34" s="12"/>
      <c r="FS34" s="12"/>
      <c r="FT34" s="12"/>
      <c r="FU34" s="12"/>
      <c r="FV34" s="12"/>
      <c r="FW34" s="12"/>
      <c r="FX34" s="12"/>
      <c r="FY34" s="12"/>
      <c r="FZ34" s="12"/>
      <c r="GA34" s="12"/>
      <c r="GB34" s="12"/>
      <c r="GC34" s="12"/>
      <c r="GD34" s="12"/>
      <c r="GE34" s="12"/>
      <c r="GF34" s="12"/>
      <c r="GG34" s="12"/>
      <c r="GH34" s="12"/>
      <c r="GI34" s="12"/>
      <c r="GJ34" s="12"/>
      <c r="GK34" s="12"/>
      <c r="GL34" s="12"/>
      <c r="GM34" s="12"/>
      <c r="GN34" s="12"/>
      <c r="GO34" s="12"/>
      <c r="GP34" s="12"/>
      <c r="GQ34" s="12"/>
      <c r="GR34" s="12"/>
      <c r="GS34" s="12"/>
      <c r="GT34" s="12"/>
      <c r="GU34" s="12"/>
      <c r="GV34" s="12"/>
      <c r="GW34" s="12"/>
      <c r="GX34" s="12"/>
      <c r="GY34" s="12"/>
      <c r="GZ34" s="12"/>
      <c r="HA34" s="12"/>
      <c r="HB34" s="12"/>
      <c r="HC34" s="12"/>
      <c r="HD34" s="12"/>
      <c r="HE34" s="12"/>
      <c r="HF34" s="12"/>
      <c r="HG34" s="12"/>
      <c r="HH34" s="12"/>
      <c r="HI34" s="12"/>
      <c r="HJ34" s="12"/>
      <c r="HK34" s="12"/>
      <c r="HL34" s="12"/>
      <c r="HM34" s="12"/>
      <c r="HN34" s="12"/>
      <c r="HO34" s="12"/>
      <c r="HP34" s="12"/>
      <c r="HQ34" s="12"/>
      <c r="HR34" s="12"/>
      <c r="HS34" s="12"/>
      <c r="HT34" s="12"/>
      <c r="HU34" s="12"/>
      <c r="HV34" s="12"/>
      <c r="HW34" s="12"/>
      <c r="HX34" s="12"/>
      <c r="HY34" s="12"/>
      <c r="HZ34" s="12"/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  <c r="IL34" s="12"/>
      <c r="IM34" s="12"/>
      <c r="IN34" s="12"/>
      <c r="IO34" s="12"/>
      <c r="IP34" s="12"/>
      <c r="IQ34" s="12"/>
      <c r="IR34" s="12"/>
      <c r="IS34" s="12"/>
      <c r="IT34" s="12"/>
      <c r="IU34" s="12"/>
      <c r="IV34" s="12"/>
      <c r="IW34" s="12"/>
      <c r="IX34" s="12"/>
      <c r="IY34" s="12"/>
      <c r="IZ34" s="12"/>
      <c r="JA34" s="12"/>
      <c r="JB34" s="12"/>
      <c r="JC34" s="12"/>
      <c r="JD34" s="12"/>
      <c r="JE34" s="12"/>
      <c r="JF34" s="12"/>
      <c r="JG34" s="12"/>
      <c r="JH34" s="12"/>
      <c r="JI34" s="12"/>
      <c r="JJ34" s="12"/>
      <c r="JK34" s="12"/>
      <c r="JL34" s="12"/>
      <c r="JM34" s="12"/>
      <c r="JN34" s="12"/>
      <c r="JO34" s="12"/>
      <c r="JP34" s="12"/>
      <c r="JQ34" s="12"/>
      <c r="JR34" s="12"/>
      <c r="JS34" s="12"/>
      <c r="JT34" s="12"/>
      <c r="JU34" s="12"/>
      <c r="JV34" s="12"/>
      <c r="JW34" s="12"/>
      <c r="JX34" s="12"/>
      <c r="JY34" s="12"/>
      <c r="JZ34" s="12"/>
      <c r="KA34" s="12"/>
      <c r="KB34" s="12"/>
      <c r="KC34" s="12"/>
      <c r="KD34" s="12"/>
      <c r="KE34" s="12"/>
      <c r="KF34" s="12"/>
      <c r="KG34" s="12"/>
      <c r="KH34" s="12"/>
      <c r="KI34" s="12"/>
      <c r="KJ34" s="12"/>
      <c r="KK34" s="12"/>
      <c r="KL34" s="12"/>
      <c r="KM34" s="12"/>
      <c r="KN34" s="12"/>
      <c r="KO34" s="12"/>
      <c r="KP34" s="12"/>
      <c r="KQ34" s="12"/>
      <c r="KR34" s="12"/>
      <c r="KS34" s="12"/>
      <c r="KT34" s="12"/>
      <c r="KU34" s="12"/>
      <c r="KV34" s="12"/>
      <c r="KW34" s="12"/>
      <c r="KX34" s="12"/>
      <c r="KY34" s="12"/>
      <c r="KZ34" s="12"/>
      <c r="LA34" s="12"/>
      <c r="LB34" s="12"/>
      <c r="LC34" s="12"/>
      <c r="LD34" s="12"/>
      <c r="LE34" s="12"/>
      <c r="LF34" s="12"/>
      <c r="LG34" s="12"/>
      <c r="LH34" s="12"/>
      <c r="LI34" s="12"/>
      <c r="LJ34" s="12"/>
      <c r="LK34" s="12"/>
      <c r="LL34" s="12"/>
      <c r="LM34" s="12"/>
      <c r="LN34" s="12"/>
      <c r="LO34" s="12"/>
      <c r="LP34" s="12"/>
      <c r="LQ34" s="12"/>
      <c r="LR34" s="12"/>
      <c r="LS34" s="12"/>
      <c r="LT34" s="12"/>
      <c r="LU34" s="12"/>
      <c r="LV34" s="12"/>
      <c r="LW34" s="12"/>
      <c r="LX34" s="12"/>
      <c r="LY34" s="12"/>
      <c r="LZ34" s="12"/>
      <c r="MA34" s="12"/>
      <c r="MB34" s="12"/>
      <c r="MC34" s="12"/>
      <c r="MD34" s="12"/>
      <c r="ME34" s="12"/>
      <c r="MF34" s="12"/>
      <c r="MG34" s="12"/>
      <c r="MH34" s="12"/>
      <c r="MI34" s="12"/>
      <c r="MJ34" s="12"/>
      <c r="MK34" s="12"/>
      <c r="ML34" s="12"/>
      <c r="MM34" s="12"/>
      <c r="MN34" s="12"/>
      <c r="MO34" s="12"/>
      <c r="MP34" s="12"/>
      <c r="MQ34" s="12"/>
      <c r="MR34" s="12"/>
      <c r="MS34" s="12"/>
      <c r="MT34" s="12"/>
      <c r="MU34" s="12"/>
      <c r="MV34" s="12"/>
      <c r="MW34" s="12"/>
      <c r="MX34" s="12"/>
      <c r="MY34" s="12"/>
      <c r="MZ34" s="12"/>
      <c r="NA34" s="12"/>
      <c r="NB34" s="12"/>
      <c r="NC34" s="12"/>
      <c r="ND34" s="12"/>
      <c r="NE34" s="12"/>
      <c r="NF34" s="12"/>
      <c r="NG34" s="12"/>
      <c r="NH34" s="12"/>
      <c r="NI34" s="12"/>
      <c r="NJ34" s="12"/>
      <c r="NK34" s="12"/>
      <c r="NL34" s="12"/>
      <c r="NM34" s="12"/>
      <c r="NN34" s="12"/>
      <c r="NO34" s="12"/>
      <c r="NP34" s="12"/>
      <c r="NQ34" s="12"/>
      <c r="NR34" s="12"/>
      <c r="NS34" s="12"/>
      <c r="NT34" s="12"/>
      <c r="NU34" s="12"/>
      <c r="NV34" s="12"/>
      <c r="NW34" s="12"/>
      <c r="NX34" s="12"/>
      <c r="NY34" s="12"/>
      <c r="NZ34" s="12"/>
      <c r="OA34" s="12"/>
      <c r="OB34" s="12"/>
      <c r="OC34" s="12"/>
      <c r="OD34" s="12"/>
      <c r="OE34" s="12"/>
      <c r="OF34" s="12"/>
      <c r="OG34" s="12"/>
      <c r="OH34" s="12"/>
      <c r="OI34" s="12"/>
      <c r="OJ34" s="12"/>
      <c r="OK34" s="12"/>
      <c r="OL34" s="12"/>
      <c r="OM34" s="12"/>
      <c r="ON34" s="12"/>
      <c r="OO34" s="12"/>
      <c r="OP34" s="12"/>
      <c r="OQ34" s="12"/>
      <c r="OR34" s="12"/>
      <c r="OS34" s="12"/>
      <c r="OT34" s="12"/>
      <c r="OU34" s="12"/>
      <c r="OV34" s="12"/>
      <c r="OW34" s="12"/>
      <c r="OX34" s="12"/>
      <c r="OY34" s="12"/>
      <c r="OZ34" s="12"/>
      <c r="PA34" s="12"/>
      <c r="PB34" s="12"/>
      <c r="PC34" s="12"/>
      <c r="PD34" s="12"/>
      <c r="PE34" s="12"/>
      <c r="PF34" s="12"/>
      <c r="PG34" s="12"/>
      <c r="PH34" s="12"/>
      <c r="PI34" s="12"/>
      <c r="PJ34" s="12"/>
      <c r="PK34" s="12"/>
      <c r="PL34" s="12"/>
      <c r="PM34" s="12"/>
      <c r="PN34" s="12"/>
      <c r="PO34" s="12"/>
      <c r="PP34" s="12"/>
      <c r="PQ34" s="12"/>
      <c r="PR34" s="12"/>
      <c r="PS34" s="12"/>
      <c r="PT34" s="12"/>
      <c r="PU34" s="12"/>
      <c r="PV34" s="12"/>
      <c r="PW34" s="12"/>
      <c r="PX34" s="12"/>
      <c r="PY34" s="12"/>
      <c r="PZ34" s="12"/>
      <c r="QA34" s="12"/>
      <c r="QB34" s="12"/>
      <c r="QC34" s="12"/>
      <c r="QD34" s="12"/>
      <c r="QE34" s="12"/>
      <c r="QF34" s="12"/>
      <c r="QG34" s="12"/>
      <c r="QH34" s="12"/>
      <c r="QI34" s="12"/>
      <c r="QJ34" s="12"/>
      <c r="QK34" s="12"/>
      <c r="QL34" s="12"/>
      <c r="QM34" s="12"/>
      <c r="QN34" s="12"/>
      <c r="QO34" s="12"/>
      <c r="QP34" s="12"/>
      <c r="QQ34" s="12"/>
      <c r="QR34" s="12"/>
      <c r="QS34" s="12"/>
      <c r="QT34" s="12"/>
      <c r="QU34" s="12"/>
      <c r="QV34" s="12"/>
      <c r="QW34" s="12"/>
      <c r="QX34" s="12"/>
      <c r="QY34" s="12"/>
      <c r="QZ34" s="12"/>
      <c r="RA34" s="12"/>
      <c r="RB34" s="12"/>
      <c r="RC34" s="12"/>
      <c r="RD34" s="12"/>
      <c r="RE34" s="12"/>
      <c r="RF34" s="12"/>
      <c r="RG34" s="12"/>
      <c r="RH34" s="12"/>
      <c r="RI34" s="12"/>
      <c r="RJ34" s="12"/>
      <c r="RK34" s="12"/>
      <c r="RL34" s="12"/>
      <c r="RM34" s="12"/>
      <c r="RN34" s="12"/>
      <c r="RO34" s="12"/>
      <c r="RP34" s="12"/>
      <c r="RQ34" s="12"/>
      <c r="RR34" s="12"/>
      <c r="RS34" s="12"/>
      <c r="RT34" s="12"/>
      <c r="RU34" s="12"/>
      <c r="RV34" s="12"/>
      <c r="RW34" s="12"/>
      <c r="RX34" s="12"/>
      <c r="RY34" s="12"/>
      <c r="RZ34" s="12"/>
      <c r="SA34" s="12"/>
      <c r="SB34" s="12"/>
      <c r="SC34" s="12"/>
      <c r="SD34" s="12"/>
      <c r="SE34" s="12"/>
      <c r="SF34" s="12"/>
      <c r="SG34" s="12"/>
      <c r="SH34" s="12"/>
      <c r="SI34" s="12"/>
      <c r="SJ34" s="12"/>
      <c r="SK34" s="12"/>
      <c r="SL34" s="12"/>
      <c r="SM34" s="12"/>
      <c r="SN34" s="12"/>
      <c r="SO34" s="12"/>
      <c r="SP34" s="12"/>
      <c r="SQ34" s="12"/>
      <c r="SR34" s="12"/>
      <c r="SS34" s="12"/>
      <c r="ST34" s="12"/>
      <c r="SU34" s="12"/>
      <c r="SV34" s="12"/>
      <c r="SW34" s="12"/>
      <c r="SX34" s="12"/>
      <c r="SY34" s="12"/>
      <c r="SZ34" s="12"/>
      <c r="TA34" s="12"/>
      <c r="TB34" s="12"/>
      <c r="TC34" s="12"/>
      <c r="TD34" s="12"/>
      <c r="TE34" s="12"/>
      <c r="TF34" s="12"/>
      <c r="TG34" s="12"/>
      <c r="TH34" s="12"/>
      <c r="TI34" s="12"/>
      <c r="TJ34" s="12"/>
      <c r="TK34" s="12"/>
      <c r="TL34" s="12"/>
      <c r="TM34" s="12"/>
      <c r="TN34" s="12"/>
      <c r="TO34" s="12"/>
      <c r="TP34" s="12"/>
      <c r="TQ34" s="12"/>
      <c r="TR34" s="12"/>
      <c r="TS34" s="12"/>
      <c r="TT34" s="12"/>
      <c r="TU34" s="12"/>
      <c r="TV34" s="12"/>
      <c r="TW34" s="12"/>
      <c r="TX34" s="12"/>
      <c r="TY34" s="12"/>
      <c r="TZ34" s="12"/>
      <c r="UA34" s="12"/>
      <c r="UB34" s="12"/>
      <c r="UC34" s="12"/>
      <c r="UD34" s="12"/>
      <c r="UE34" s="12"/>
      <c r="UF34" s="12"/>
      <c r="UG34" s="12"/>
      <c r="UH34" s="12"/>
      <c r="UI34" s="12"/>
      <c r="UJ34" s="12"/>
      <c r="UK34" s="12"/>
      <c r="UL34" s="12"/>
      <c r="UM34" s="12"/>
      <c r="UN34" s="12"/>
      <c r="UO34" s="12"/>
      <c r="UP34" s="12"/>
      <c r="UQ34" s="12"/>
      <c r="UR34" s="12"/>
      <c r="US34" s="12"/>
      <c r="UT34" s="12"/>
      <c r="UU34" s="12"/>
      <c r="UV34" s="12"/>
      <c r="UW34" s="12"/>
      <c r="UX34" s="12"/>
      <c r="UY34" s="12"/>
      <c r="UZ34" s="12"/>
      <c r="VA34" s="12"/>
      <c r="VB34" s="12"/>
      <c r="VC34" s="12"/>
      <c r="VD34" s="12"/>
      <c r="VE34" s="12"/>
      <c r="VF34" s="12"/>
      <c r="VG34" s="12"/>
      <c r="VH34" s="12"/>
      <c r="VI34" s="12"/>
      <c r="VJ34" s="12"/>
      <c r="VK34" s="12"/>
      <c r="VL34" s="12"/>
      <c r="VM34" s="12"/>
      <c r="VN34" s="12"/>
      <c r="VO34" s="12"/>
      <c r="VP34" s="12"/>
      <c r="VQ34" s="12"/>
      <c r="VR34" s="12"/>
      <c r="VS34" s="12"/>
      <c r="VT34" s="12"/>
      <c r="VU34" s="12"/>
      <c r="VV34" s="12"/>
      <c r="VW34" s="12"/>
      <c r="VX34" s="12"/>
      <c r="VY34" s="12"/>
      <c r="VZ34" s="12"/>
      <c r="WA34" s="12"/>
      <c r="WB34" s="12"/>
      <c r="WC34" s="12"/>
      <c r="WD34" s="12"/>
      <c r="WE34" s="12"/>
      <c r="WF34" s="12"/>
      <c r="WG34" s="12"/>
      <c r="WH34" s="12"/>
      <c r="WI34" s="12"/>
      <c r="WJ34" s="12"/>
      <c r="WK34" s="12"/>
      <c r="WL34" s="12"/>
      <c r="WM34" s="12"/>
      <c r="WN34" s="12"/>
      <c r="WO34" s="12"/>
      <c r="WP34" s="12"/>
      <c r="WQ34" s="12"/>
      <c r="WR34" s="12"/>
      <c r="WS34" s="12"/>
      <c r="WT34" s="12"/>
      <c r="WU34" s="12"/>
      <c r="WV34" s="12"/>
      <c r="WW34" s="12"/>
      <c r="WX34" s="12"/>
      <c r="WY34" s="12"/>
      <c r="WZ34" s="12"/>
      <c r="XA34" s="12"/>
      <c r="XB34" s="12"/>
      <c r="XC34" s="12"/>
      <c r="XD34" s="12"/>
      <c r="XE34" s="12"/>
      <c r="XF34" s="12"/>
      <c r="XG34" s="12"/>
      <c r="XH34" s="12"/>
      <c r="XI34" s="12"/>
      <c r="XJ34" s="12"/>
      <c r="XK34" s="12"/>
      <c r="XL34" s="12"/>
      <c r="XM34" s="12"/>
      <c r="XN34" s="12"/>
      <c r="XO34" s="12"/>
      <c r="XP34" s="12"/>
      <c r="XQ34" s="12"/>
      <c r="XR34" s="12"/>
      <c r="XS34" s="12"/>
      <c r="XT34" s="12"/>
      <c r="XU34" s="12"/>
      <c r="XV34" s="12"/>
      <c r="XW34" s="12"/>
      <c r="XX34" s="12"/>
      <c r="XY34" s="12"/>
      <c r="XZ34" s="12"/>
      <c r="YA34" s="12"/>
      <c r="YB34" s="12"/>
      <c r="YC34" s="12"/>
      <c r="YD34" s="12"/>
      <c r="YE34" s="12"/>
      <c r="YF34" s="12"/>
      <c r="YG34" s="12"/>
      <c r="YH34" s="12"/>
      <c r="YI34" s="12"/>
      <c r="YJ34" s="12"/>
      <c r="YK34" s="12"/>
      <c r="YL34" s="12"/>
      <c r="YM34" s="12"/>
      <c r="YN34" s="12"/>
      <c r="YO34" s="12"/>
      <c r="YP34" s="12"/>
      <c r="YQ34" s="12"/>
      <c r="YR34" s="12"/>
      <c r="YS34" s="12"/>
      <c r="YT34" s="12"/>
      <c r="YU34" s="12"/>
      <c r="YV34" s="12"/>
      <c r="YW34" s="12"/>
      <c r="YX34" s="12"/>
      <c r="YY34" s="12"/>
      <c r="YZ34" s="12"/>
      <c r="ZA34" s="12"/>
      <c r="ZB34" s="12"/>
      <c r="ZC34" s="12"/>
      <c r="ZD34" s="12"/>
      <c r="ZE34" s="12"/>
      <c r="ZF34" s="12"/>
      <c r="ZG34" s="12"/>
      <c r="ZH34" s="12"/>
      <c r="ZI34" s="12"/>
      <c r="ZJ34" s="12"/>
      <c r="ZK34" s="12"/>
      <c r="ZL34" s="12"/>
      <c r="ZM34" s="12"/>
      <c r="ZN34" s="12"/>
      <c r="ZO34" s="12"/>
      <c r="ZP34" s="12"/>
      <c r="ZQ34" s="12"/>
      <c r="ZR34" s="12"/>
      <c r="ZS34" s="12"/>
      <c r="ZT34" s="12"/>
      <c r="ZU34" s="12"/>
      <c r="ZV34" s="12"/>
      <c r="ZW34" s="12"/>
      <c r="ZX34" s="12"/>
      <c r="ZY34" s="12"/>
      <c r="ZZ34" s="12"/>
      <c r="AAA34" s="12"/>
      <c r="AAB34" s="12"/>
      <c r="AAC34" s="12"/>
      <c r="AAD34" s="12"/>
      <c r="AAE34" s="12"/>
      <c r="AAF34" s="12"/>
      <c r="AAG34" s="12"/>
      <c r="AAH34" s="12"/>
      <c r="AAI34" s="12"/>
      <c r="AAJ34" s="12"/>
      <c r="AAK34" s="12"/>
      <c r="AAL34" s="12"/>
      <c r="AAM34" s="12"/>
      <c r="AAN34" s="12"/>
      <c r="AAO34" s="12"/>
      <c r="AAP34" s="12"/>
      <c r="AAQ34" s="12"/>
      <c r="AAR34" s="12"/>
      <c r="AAS34" s="12"/>
      <c r="AAT34" s="12"/>
      <c r="AAU34" s="12"/>
      <c r="AAV34" s="12"/>
      <c r="AAW34" s="12"/>
      <c r="AAX34" s="12"/>
      <c r="AAY34" s="12"/>
      <c r="AAZ34" s="12"/>
      <c r="ABA34" s="12"/>
      <c r="ABB34" s="12"/>
      <c r="ABC34" s="12"/>
      <c r="ABD34" s="12"/>
      <c r="ABE34" s="12"/>
      <c r="ABF34" s="12"/>
      <c r="ABG34" s="12"/>
      <c r="ABH34" s="12"/>
      <c r="ABI34" s="12"/>
      <c r="ABJ34" s="12"/>
      <c r="ABK34" s="12"/>
      <c r="ABL34" s="12"/>
      <c r="ABM34" s="12"/>
      <c r="ABN34" s="12"/>
      <c r="ABO34" s="12"/>
      <c r="ABP34" s="12"/>
      <c r="ABQ34" s="12"/>
      <c r="ABR34" s="12"/>
      <c r="ABS34" s="12"/>
      <c r="ABT34" s="12"/>
      <c r="ABU34" s="12"/>
      <c r="ABV34" s="12"/>
      <c r="ABW34" s="12"/>
      <c r="ABX34" s="12"/>
      <c r="ABY34" s="12"/>
      <c r="ABZ34" s="12"/>
      <c r="ACA34" s="12"/>
      <c r="ACB34" s="12"/>
      <c r="ACC34" s="12"/>
      <c r="ACD34" s="12"/>
      <c r="ACE34" s="12"/>
      <c r="ACF34" s="12"/>
      <c r="ACG34" s="12"/>
      <c r="ACH34" s="12"/>
      <c r="ACI34" s="12"/>
      <c r="ACJ34" s="12"/>
      <c r="ACK34" s="12"/>
      <c r="ACL34" s="12"/>
      <c r="ACM34" s="12"/>
      <c r="ACN34" s="12"/>
      <c r="ACO34" s="12"/>
      <c r="ACP34" s="12"/>
      <c r="ACQ34" s="12"/>
      <c r="ACR34" s="12"/>
      <c r="ACS34" s="12"/>
      <c r="ACT34" s="12"/>
      <c r="ACU34" s="12"/>
      <c r="ACV34" s="12"/>
      <c r="ACW34" s="12"/>
      <c r="ACX34" s="12"/>
      <c r="ACY34" s="12"/>
      <c r="ACZ34" s="12"/>
      <c r="ADA34" s="12"/>
      <c r="ADB34" s="12"/>
      <c r="ADC34" s="12"/>
      <c r="ADD34" s="12"/>
      <c r="ADE34" s="12"/>
      <c r="ADF34" s="12"/>
      <c r="ADG34" s="12"/>
      <c r="ADH34" s="12"/>
      <c r="ADI34" s="12"/>
      <c r="ADJ34" s="12"/>
      <c r="ADK34" s="12"/>
      <c r="ADL34" s="12"/>
      <c r="ADM34" s="12"/>
      <c r="ADN34" s="12"/>
      <c r="ADO34" s="12"/>
      <c r="ADP34" s="12"/>
      <c r="ADQ34" s="12"/>
      <c r="ADR34" s="12"/>
      <c r="ADS34" s="12"/>
      <c r="ADT34" s="12"/>
      <c r="ADU34" s="12"/>
      <c r="ADV34" s="12"/>
      <c r="ADW34" s="12"/>
      <c r="ADX34" s="12"/>
      <c r="ADY34" s="12"/>
      <c r="ADZ34" s="12"/>
      <c r="AEA34" s="12"/>
      <c r="AEB34" s="12"/>
      <c r="AEC34" s="12"/>
      <c r="AED34" s="12"/>
      <c r="AEE34" s="12"/>
      <c r="AEF34" s="12"/>
      <c r="AEG34" s="12"/>
      <c r="AEH34" s="12"/>
      <c r="AEI34" s="12"/>
      <c r="AEJ34" s="12"/>
      <c r="AEK34" s="12"/>
      <c r="AEL34" s="12"/>
      <c r="AEM34" s="12"/>
      <c r="AEN34" s="12"/>
      <c r="AEO34" s="12"/>
      <c r="AEP34" s="12"/>
      <c r="AEQ34" s="12"/>
      <c r="AER34" s="12"/>
      <c r="AES34" s="12"/>
      <c r="AET34" s="12"/>
      <c r="AEU34" s="12"/>
      <c r="AEV34" s="12"/>
    </row>
    <row r="35" spans="1:828" s="27" customFormat="1" ht="18" x14ac:dyDescent="0.2">
      <c r="A35" s="49"/>
      <c r="D35" s="29"/>
      <c r="E35" s="23"/>
      <c r="F35" s="23" t="s">
        <v>69</v>
      </c>
      <c r="G35" s="29">
        <v>1704</v>
      </c>
      <c r="H35" s="50"/>
      <c r="I35" s="23"/>
      <c r="J35" s="29"/>
      <c r="K35" s="50"/>
      <c r="L35" s="23" t="s">
        <v>31</v>
      </c>
      <c r="M35" s="29">
        <v>15150</v>
      </c>
      <c r="N35" s="47">
        <f t="shared" ref="N35:N66" si="1">G35/$D$74</f>
        <v>1.3751250847348203E-2</v>
      </c>
      <c r="O35" s="47">
        <f t="shared" ref="O35:O66" si="2">M35/$J$74</f>
        <v>0.13002506093583713</v>
      </c>
      <c r="P35" s="48"/>
      <c r="Q35"/>
      <c r="R35"/>
      <c r="S35"/>
      <c r="T35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  <c r="IL35" s="12"/>
      <c r="IM35" s="12"/>
      <c r="IN35" s="12"/>
      <c r="IO35" s="12"/>
      <c r="IP35" s="12"/>
      <c r="IQ35" s="12"/>
      <c r="IR35" s="12"/>
      <c r="IS35" s="12"/>
      <c r="IT35" s="12"/>
      <c r="IU35" s="12"/>
      <c r="IV35" s="12"/>
      <c r="IW35" s="12"/>
      <c r="IX35" s="12"/>
      <c r="IY35" s="12"/>
      <c r="IZ35" s="12"/>
      <c r="JA35" s="12"/>
      <c r="JB35" s="12"/>
      <c r="JC35" s="12"/>
      <c r="JD35" s="12"/>
      <c r="JE35" s="12"/>
      <c r="JF35" s="12"/>
      <c r="JG35" s="12"/>
      <c r="JH35" s="12"/>
      <c r="JI35" s="12"/>
      <c r="JJ35" s="12"/>
      <c r="JK35" s="12"/>
      <c r="JL35" s="12"/>
      <c r="JM35" s="12"/>
      <c r="JN35" s="12"/>
      <c r="JO35" s="12"/>
      <c r="JP35" s="12"/>
      <c r="JQ35" s="12"/>
      <c r="JR35" s="12"/>
      <c r="JS35" s="12"/>
      <c r="JT35" s="12"/>
      <c r="JU35" s="12"/>
      <c r="JV35" s="12"/>
      <c r="JW35" s="12"/>
      <c r="JX35" s="12"/>
      <c r="JY35" s="12"/>
      <c r="JZ35" s="12"/>
      <c r="KA35" s="12"/>
      <c r="KB35" s="12"/>
      <c r="KC35" s="12"/>
      <c r="KD35" s="12"/>
      <c r="KE35" s="12"/>
      <c r="KF35" s="12"/>
      <c r="KG35" s="12"/>
      <c r="KH35" s="12"/>
      <c r="KI35" s="12"/>
      <c r="KJ35" s="12"/>
      <c r="KK35" s="12"/>
      <c r="KL35" s="12"/>
      <c r="KM35" s="12"/>
      <c r="KN35" s="12"/>
      <c r="KO35" s="12"/>
      <c r="KP35" s="12"/>
      <c r="KQ35" s="12"/>
      <c r="KR35" s="12"/>
      <c r="KS35" s="12"/>
      <c r="KT35" s="12"/>
      <c r="KU35" s="12"/>
      <c r="KV35" s="12"/>
      <c r="KW35" s="12"/>
      <c r="KX35" s="12"/>
      <c r="KY35" s="12"/>
      <c r="KZ35" s="12"/>
      <c r="LA35" s="12"/>
      <c r="LB35" s="12"/>
      <c r="LC35" s="12"/>
      <c r="LD35" s="12"/>
      <c r="LE35" s="12"/>
      <c r="LF35" s="12"/>
      <c r="LG35" s="12"/>
      <c r="LH35" s="12"/>
      <c r="LI35" s="12"/>
      <c r="LJ35" s="12"/>
      <c r="LK35" s="12"/>
      <c r="LL35" s="12"/>
      <c r="LM35" s="12"/>
      <c r="LN35" s="12"/>
      <c r="LO35" s="12"/>
      <c r="LP35" s="12"/>
      <c r="LQ35" s="12"/>
      <c r="LR35" s="12"/>
      <c r="LS35" s="12"/>
      <c r="LT35" s="12"/>
      <c r="LU35" s="12"/>
      <c r="LV35" s="12"/>
      <c r="LW35" s="12"/>
      <c r="LX35" s="12"/>
      <c r="LY35" s="12"/>
      <c r="LZ35" s="12"/>
      <c r="MA35" s="12"/>
      <c r="MB35" s="12"/>
      <c r="MC35" s="12"/>
      <c r="MD35" s="12"/>
      <c r="ME35" s="12"/>
      <c r="MF35" s="12"/>
      <c r="MG35" s="12"/>
      <c r="MH35" s="12"/>
      <c r="MI35" s="12"/>
      <c r="MJ35" s="12"/>
      <c r="MK35" s="12"/>
      <c r="ML35" s="12"/>
      <c r="MM35" s="12"/>
      <c r="MN35" s="12"/>
      <c r="MO35" s="12"/>
      <c r="MP35" s="12"/>
      <c r="MQ35" s="12"/>
      <c r="MR35" s="12"/>
      <c r="MS35" s="12"/>
      <c r="MT35" s="12"/>
      <c r="MU35" s="12"/>
      <c r="MV35" s="12"/>
      <c r="MW35" s="12"/>
      <c r="MX35" s="12"/>
      <c r="MY35" s="12"/>
      <c r="MZ35" s="12"/>
      <c r="NA35" s="12"/>
      <c r="NB35" s="12"/>
      <c r="NC35" s="12"/>
      <c r="ND35" s="12"/>
      <c r="NE35" s="12"/>
      <c r="NF35" s="12"/>
      <c r="NG35" s="12"/>
      <c r="NH35" s="12"/>
      <c r="NI35" s="12"/>
      <c r="NJ35" s="12"/>
      <c r="NK35" s="12"/>
      <c r="NL35" s="12"/>
      <c r="NM35" s="12"/>
      <c r="NN35" s="12"/>
      <c r="NO35" s="12"/>
      <c r="NP35" s="12"/>
      <c r="NQ35" s="12"/>
      <c r="NR35" s="12"/>
      <c r="NS35" s="12"/>
      <c r="NT35" s="12"/>
      <c r="NU35" s="12"/>
      <c r="NV35" s="12"/>
      <c r="NW35" s="12"/>
      <c r="NX35" s="12"/>
      <c r="NY35" s="12"/>
      <c r="NZ35" s="12"/>
      <c r="OA35" s="12"/>
      <c r="OB35" s="12"/>
      <c r="OC35" s="12"/>
      <c r="OD35" s="12"/>
      <c r="OE35" s="12"/>
      <c r="OF35" s="12"/>
      <c r="OG35" s="12"/>
      <c r="OH35" s="12"/>
      <c r="OI35" s="12"/>
      <c r="OJ35" s="12"/>
      <c r="OK35" s="12"/>
      <c r="OL35" s="12"/>
      <c r="OM35" s="12"/>
      <c r="ON35" s="12"/>
      <c r="OO35" s="12"/>
      <c r="OP35" s="12"/>
      <c r="OQ35" s="12"/>
      <c r="OR35" s="12"/>
      <c r="OS35" s="12"/>
      <c r="OT35" s="12"/>
      <c r="OU35" s="12"/>
      <c r="OV35" s="12"/>
      <c r="OW35" s="12"/>
      <c r="OX35" s="12"/>
      <c r="OY35" s="12"/>
      <c r="OZ35" s="12"/>
      <c r="PA35" s="12"/>
      <c r="PB35" s="12"/>
      <c r="PC35" s="12"/>
      <c r="PD35" s="12"/>
      <c r="PE35" s="12"/>
      <c r="PF35" s="12"/>
      <c r="PG35" s="12"/>
      <c r="PH35" s="12"/>
      <c r="PI35" s="12"/>
      <c r="PJ35" s="12"/>
      <c r="PK35" s="12"/>
      <c r="PL35" s="12"/>
      <c r="PM35" s="12"/>
      <c r="PN35" s="12"/>
      <c r="PO35" s="12"/>
      <c r="PP35" s="12"/>
      <c r="PQ35" s="12"/>
      <c r="PR35" s="12"/>
      <c r="PS35" s="12"/>
      <c r="PT35" s="12"/>
      <c r="PU35" s="12"/>
      <c r="PV35" s="12"/>
      <c r="PW35" s="12"/>
      <c r="PX35" s="12"/>
      <c r="PY35" s="12"/>
      <c r="PZ35" s="12"/>
      <c r="QA35" s="12"/>
      <c r="QB35" s="12"/>
      <c r="QC35" s="12"/>
      <c r="QD35" s="12"/>
      <c r="QE35" s="12"/>
      <c r="QF35" s="12"/>
      <c r="QG35" s="12"/>
      <c r="QH35" s="12"/>
      <c r="QI35" s="12"/>
      <c r="QJ35" s="12"/>
      <c r="QK35" s="12"/>
      <c r="QL35" s="12"/>
      <c r="QM35" s="12"/>
      <c r="QN35" s="12"/>
      <c r="QO35" s="12"/>
      <c r="QP35" s="12"/>
      <c r="QQ35" s="12"/>
      <c r="QR35" s="12"/>
      <c r="QS35" s="12"/>
      <c r="QT35" s="12"/>
      <c r="QU35" s="12"/>
      <c r="QV35" s="12"/>
      <c r="QW35" s="12"/>
      <c r="QX35" s="12"/>
      <c r="QY35" s="12"/>
      <c r="QZ35" s="12"/>
      <c r="RA35" s="12"/>
      <c r="RB35" s="12"/>
      <c r="RC35" s="12"/>
      <c r="RD35" s="12"/>
      <c r="RE35" s="12"/>
      <c r="RF35" s="12"/>
      <c r="RG35" s="12"/>
      <c r="RH35" s="12"/>
      <c r="RI35" s="12"/>
      <c r="RJ35" s="12"/>
      <c r="RK35" s="12"/>
      <c r="RL35" s="12"/>
      <c r="RM35" s="12"/>
      <c r="RN35" s="12"/>
      <c r="RO35" s="12"/>
      <c r="RP35" s="12"/>
      <c r="RQ35" s="12"/>
      <c r="RR35" s="12"/>
      <c r="RS35" s="12"/>
      <c r="RT35" s="12"/>
      <c r="RU35" s="12"/>
      <c r="RV35" s="12"/>
      <c r="RW35" s="12"/>
      <c r="RX35" s="12"/>
      <c r="RY35" s="12"/>
      <c r="RZ35" s="12"/>
      <c r="SA35" s="12"/>
      <c r="SB35" s="12"/>
      <c r="SC35" s="12"/>
      <c r="SD35" s="12"/>
      <c r="SE35" s="12"/>
      <c r="SF35" s="12"/>
      <c r="SG35" s="12"/>
      <c r="SH35" s="12"/>
      <c r="SI35" s="12"/>
      <c r="SJ35" s="12"/>
      <c r="SK35" s="12"/>
      <c r="SL35" s="12"/>
      <c r="SM35" s="12"/>
      <c r="SN35" s="12"/>
      <c r="SO35" s="12"/>
      <c r="SP35" s="12"/>
      <c r="SQ35" s="12"/>
      <c r="SR35" s="12"/>
      <c r="SS35" s="12"/>
      <c r="ST35" s="12"/>
      <c r="SU35" s="12"/>
      <c r="SV35" s="12"/>
      <c r="SW35" s="12"/>
      <c r="SX35" s="12"/>
      <c r="SY35" s="12"/>
      <c r="SZ35" s="12"/>
      <c r="TA35" s="12"/>
      <c r="TB35" s="12"/>
      <c r="TC35" s="12"/>
      <c r="TD35" s="12"/>
      <c r="TE35" s="12"/>
      <c r="TF35" s="12"/>
      <c r="TG35" s="12"/>
      <c r="TH35" s="12"/>
      <c r="TI35" s="12"/>
      <c r="TJ35" s="12"/>
      <c r="TK35" s="12"/>
      <c r="TL35" s="12"/>
      <c r="TM35" s="12"/>
      <c r="TN35" s="12"/>
      <c r="TO35" s="12"/>
      <c r="TP35" s="12"/>
      <c r="TQ35" s="12"/>
      <c r="TR35" s="12"/>
      <c r="TS35" s="12"/>
      <c r="TT35" s="12"/>
      <c r="TU35" s="12"/>
      <c r="TV35" s="12"/>
      <c r="TW35" s="12"/>
      <c r="TX35" s="12"/>
      <c r="TY35" s="12"/>
      <c r="TZ35" s="12"/>
      <c r="UA35" s="12"/>
      <c r="UB35" s="12"/>
      <c r="UC35" s="12"/>
      <c r="UD35" s="12"/>
      <c r="UE35" s="12"/>
      <c r="UF35" s="12"/>
      <c r="UG35" s="12"/>
      <c r="UH35" s="12"/>
      <c r="UI35" s="12"/>
      <c r="UJ35" s="12"/>
      <c r="UK35" s="12"/>
      <c r="UL35" s="12"/>
      <c r="UM35" s="12"/>
      <c r="UN35" s="12"/>
      <c r="UO35" s="12"/>
      <c r="UP35" s="12"/>
      <c r="UQ35" s="12"/>
      <c r="UR35" s="12"/>
      <c r="US35" s="12"/>
      <c r="UT35" s="12"/>
      <c r="UU35" s="12"/>
      <c r="UV35" s="12"/>
      <c r="UW35" s="12"/>
      <c r="UX35" s="12"/>
      <c r="UY35" s="12"/>
      <c r="UZ35" s="12"/>
      <c r="VA35" s="12"/>
      <c r="VB35" s="12"/>
      <c r="VC35" s="12"/>
      <c r="VD35" s="12"/>
      <c r="VE35" s="12"/>
      <c r="VF35" s="12"/>
      <c r="VG35" s="12"/>
      <c r="VH35" s="12"/>
      <c r="VI35" s="12"/>
      <c r="VJ35" s="12"/>
      <c r="VK35" s="12"/>
      <c r="VL35" s="12"/>
      <c r="VM35" s="12"/>
      <c r="VN35" s="12"/>
      <c r="VO35" s="12"/>
      <c r="VP35" s="12"/>
      <c r="VQ35" s="12"/>
      <c r="VR35" s="12"/>
      <c r="VS35" s="12"/>
      <c r="VT35" s="12"/>
      <c r="VU35" s="12"/>
      <c r="VV35" s="12"/>
      <c r="VW35" s="12"/>
      <c r="VX35" s="12"/>
      <c r="VY35" s="12"/>
      <c r="VZ35" s="12"/>
      <c r="WA35" s="12"/>
      <c r="WB35" s="12"/>
      <c r="WC35" s="12"/>
      <c r="WD35" s="12"/>
      <c r="WE35" s="12"/>
      <c r="WF35" s="12"/>
      <c r="WG35" s="12"/>
      <c r="WH35" s="12"/>
      <c r="WI35" s="12"/>
      <c r="WJ35" s="12"/>
      <c r="WK35" s="12"/>
      <c r="WL35" s="12"/>
      <c r="WM35" s="12"/>
      <c r="WN35" s="12"/>
      <c r="WO35" s="12"/>
      <c r="WP35" s="12"/>
      <c r="WQ35" s="12"/>
      <c r="WR35" s="12"/>
      <c r="WS35" s="12"/>
      <c r="WT35" s="12"/>
      <c r="WU35" s="12"/>
      <c r="WV35" s="12"/>
      <c r="WW35" s="12"/>
      <c r="WX35" s="12"/>
      <c r="WY35" s="12"/>
      <c r="WZ35" s="12"/>
      <c r="XA35" s="12"/>
      <c r="XB35" s="12"/>
      <c r="XC35" s="12"/>
      <c r="XD35" s="12"/>
      <c r="XE35" s="12"/>
      <c r="XF35" s="12"/>
      <c r="XG35" s="12"/>
      <c r="XH35" s="12"/>
      <c r="XI35" s="12"/>
      <c r="XJ35" s="12"/>
      <c r="XK35" s="12"/>
      <c r="XL35" s="12"/>
      <c r="XM35" s="12"/>
      <c r="XN35" s="12"/>
      <c r="XO35" s="12"/>
      <c r="XP35" s="12"/>
      <c r="XQ35" s="12"/>
      <c r="XR35" s="12"/>
      <c r="XS35" s="12"/>
      <c r="XT35" s="12"/>
      <c r="XU35" s="12"/>
      <c r="XV35" s="12"/>
      <c r="XW35" s="12"/>
      <c r="XX35" s="12"/>
      <c r="XY35" s="12"/>
      <c r="XZ35" s="12"/>
      <c r="YA35" s="12"/>
      <c r="YB35" s="12"/>
      <c r="YC35" s="12"/>
      <c r="YD35" s="12"/>
      <c r="YE35" s="12"/>
      <c r="YF35" s="12"/>
      <c r="YG35" s="12"/>
      <c r="YH35" s="12"/>
      <c r="YI35" s="12"/>
      <c r="YJ35" s="12"/>
      <c r="YK35" s="12"/>
      <c r="YL35" s="12"/>
      <c r="YM35" s="12"/>
      <c r="YN35" s="12"/>
      <c r="YO35" s="12"/>
      <c r="YP35" s="12"/>
      <c r="YQ35" s="12"/>
      <c r="YR35" s="12"/>
      <c r="YS35" s="12"/>
      <c r="YT35" s="12"/>
      <c r="YU35" s="12"/>
      <c r="YV35" s="12"/>
      <c r="YW35" s="12"/>
      <c r="YX35" s="12"/>
      <c r="YY35" s="12"/>
      <c r="YZ35" s="12"/>
      <c r="ZA35" s="12"/>
      <c r="ZB35" s="12"/>
      <c r="ZC35" s="12"/>
      <c r="ZD35" s="12"/>
      <c r="ZE35" s="12"/>
      <c r="ZF35" s="12"/>
      <c r="ZG35" s="12"/>
      <c r="ZH35" s="12"/>
      <c r="ZI35" s="12"/>
      <c r="ZJ35" s="12"/>
      <c r="ZK35" s="12"/>
      <c r="ZL35" s="12"/>
      <c r="ZM35" s="12"/>
      <c r="ZN35" s="12"/>
      <c r="ZO35" s="12"/>
      <c r="ZP35" s="12"/>
      <c r="ZQ35" s="12"/>
      <c r="ZR35" s="12"/>
      <c r="ZS35" s="12"/>
      <c r="ZT35" s="12"/>
      <c r="ZU35" s="12"/>
      <c r="ZV35" s="12"/>
      <c r="ZW35" s="12"/>
      <c r="ZX35" s="12"/>
      <c r="ZY35" s="12"/>
      <c r="ZZ35" s="12"/>
      <c r="AAA35" s="12"/>
      <c r="AAB35" s="12"/>
      <c r="AAC35" s="12"/>
      <c r="AAD35" s="12"/>
      <c r="AAE35" s="12"/>
      <c r="AAF35" s="12"/>
      <c r="AAG35" s="12"/>
      <c r="AAH35" s="12"/>
      <c r="AAI35" s="12"/>
      <c r="AAJ35" s="12"/>
      <c r="AAK35" s="12"/>
      <c r="AAL35" s="12"/>
      <c r="AAM35" s="12"/>
      <c r="AAN35" s="12"/>
      <c r="AAO35" s="12"/>
      <c r="AAP35" s="12"/>
      <c r="AAQ35" s="12"/>
      <c r="AAR35" s="12"/>
      <c r="AAS35" s="12"/>
      <c r="AAT35" s="12"/>
      <c r="AAU35" s="12"/>
      <c r="AAV35" s="12"/>
      <c r="AAW35" s="12"/>
      <c r="AAX35" s="12"/>
      <c r="AAY35" s="12"/>
      <c r="AAZ35" s="12"/>
      <c r="ABA35" s="12"/>
      <c r="ABB35" s="12"/>
      <c r="ABC35" s="12"/>
      <c r="ABD35" s="12"/>
      <c r="ABE35" s="12"/>
      <c r="ABF35" s="12"/>
      <c r="ABG35" s="12"/>
      <c r="ABH35" s="12"/>
      <c r="ABI35" s="12"/>
      <c r="ABJ35" s="12"/>
      <c r="ABK35" s="12"/>
      <c r="ABL35" s="12"/>
      <c r="ABM35" s="12"/>
      <c r="ABN35" s="12"/>
      <c r="ABO35" s="12"/>
      <c r="ABP35" s="12"/>
      <c r="ABQ35" s="12"/>
      <c r="ABR35" s="12"/>
      <c r="ABS35" s="12"/>
      <c r="ABT35" s="12"/>
      <c r="ABU35" s="12"/>
      <c r="ABV35" s="12"/>
      <c r="ABW35" s="12"/>
      <c r="ABX35" s="12"/>
      <c r="ABY35" s="12"/>
      <c r="ABZ35" s="12"/>
      <c r="ACA35" s="12"/>
      <c r="ACB35" s="12"/>
      <c r="ACC35" s="12"/>
      <c r="ACD35" s="12"/>
      <c r="ACE35" s="12"/>
      <c r="ACF35" s="12"/>
      <c r="ACG35" s="12"/>
      <c r="ACH35" s="12"/>
      <c r="ACI35" s="12"/>
      <c r="ACJ35" s="12"/>
      <c r="ACK35" s="12"/>
      <c r="ACL35" s="12"/>
      <c r="ACM35" s="12"/>
      <c r="ACN35" s="12"/>
      <c r="ACO35" s="12"/>
      <c r="ACP35" s="12"/>
      <c r="ACQ35" s="12"/>
      <c r="ACR35" s="12"/>
      <c r="ACS35" s="12"/>
      <c r="ACT35" s="12"/>
      <c r="ACU35" s="12"/>
      <c r="ACV35" s="12"/>
      <c r="ACW35" s="12"/>
      <c r="ACX35" s="12"/>
      <c r="ACY35" s="12"/>
      <c r="ACZ35" s="12"/>
      <c r="ADA35" s="12"/>
      <c r="ADB35" s="12"/>
      <c r="ADC35" s="12"/>
      <c r="ADD35" s="12"/>
      <c r="ADE35" s="12"/>
      <c r="ADF35" s="12"/>
      <c r="ADG35" s="12"/>
      <c r="ADH35" s="12"/>
      <c r="ADI35" s="12"/>
      <c r="ADJ35" s="12"/>
      <c r="ADK35" s="12"/>
      <c r="ADL35" s="12"/>
      <c r="ADM35" s="12"/>
      <c r="ADN35" s="12"/>
      <c r="ADO35" s="12"/>
      <c r="ADP35" s="12"/>
      <c r="ADQ35" s="12"/>
      <c r="ADR35" s="12"/>
      <c r="ADS35" s="12"/>
      <c r="ADT35" s="12"/>
      <c r="ADU35" s="12"/>
      <c r="ADV35" s="12"/>
      <c r="ADW35" s="12"/>
      <c r="ADX35" s="12"/>
      <c r="ADY35" s="12"/>
      <c r="ADZ35" s="12"/>
      <c r="AEA35" s="12"/>
      <c r="AEB35" s="12"/>
      <c r="AEC35" s="12"/>
      <c r="AED35" s="12"/>
      <c r="AEE35" s="12"/>
      <c r="AEF35" s="12"/>
      <c r="AEG35" s="12"/>
      <c r="AEH35" s="12"/>
      <c r="AEI35" s="12"/>
      <c r="AEJ35" s="12"/>
      <c r="AEK35" s="12"/>
      <c r="AEL35" s="12"/>
      <c r="AEM35" s="12"/>
      <c r="AEN35" s="12"/>
      <c r="AEO35" s="12"/>
      <c r="AEP35" s="12"/>
      <c r="AEQ35" s="12"/>
      <c r="AER35" s="12"/>
      <c r="AES35" s="12"/>
      <c r="AET35" s="12"/>
      <c r="AEU35" s="12"/>
      <c r="AEV35" s="12"/>
    </row>
    <row r="36" spans="1:828" s="27" customFormat="1" ht="18" x14ac:dyDescent="0.2">
      <c r="A36" s="28"/>
      <c r="D36" s="29"/>
      <c r="E36" s="23"/>
      <c r="F36" s="23" t="s">
        <v>71</v>
      </c>
      <c r="G36" s="29">
        <v>906</v>
      </c>
      <c r="H36" s="30"/>
      <c r="I36" s="23" t="s">
        <v>32</v>
      </c>
      <c r="J36" s="29">
        <v>0</v>
      </c>
      <c r="K36" s="30"/>
      <c r="L36" s="23" t="s">
        <v>33</v>
      </c>
      <c r="M36" s="29">
        <v>64</v>
      </c>
      <c r="N36" s="47">
        <f t="shared" si="1"/>
        <v>7.31140449982246E-3</v>
      </c>
      <c r="O36" s="47">
        <f t="shared" si="2"/>
        <v>5.4928078547152319E-4</v>
      </c>
      <c r="P36" s="48"/>
      <c r="Q36"/>
      <c r="R36"/>
      <c r="S36"/>
      <c r="T36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/>
      <c r="FL36" s="12"/>
      <c r="FM36" s="12"/>
      <c r="FN36" s="12"/>
      <c r="FO36" s="12"/>
      <c r="FP36" s="12"/>
      <c r="FQ36" s="12"/>
      <c r="FR36" s="12"/>
      <c r="FS36" s="12"/>
      <c r="FT36" s="12"/>
      <c r="FU36" s="12"/>
      <c r="FV36" s="12"/>
      <c r="FW36" s="12"/>
      <c r="FX36" s="12"/>
      <c r="FY36" s="12"/>
      <c r="FZ36" s="12"/>
      <c r="GA36" s="12"/>
      <c r="GB36" s="12"/>
      <c r="GC36" s="12"/>
      <c r="GD36" s="12"/>
      <c r="GE36" s="12"/>
      <c r="GF36" s="12"/>
      <c r="GG36" s="12"/>
      <c r="GH36" s="12"/>
      <c r="GI36" s="12"/>
      <c r="GJ36" s="12"/>
      <c r="GK36" s="12"/>
      <c r="GL36" s="12"/>
      <c r="GM36" s="12"/>
      <c r="GN36" s="12"/>
      <c r="GO36" s="12"/>
      <c r="GP36" s="12"/>
      <c r="GQ36" s="12"/>
      <c r="GR36" s="12"/>
      <c r="GS36" s="12"/>
      <c r="GT36" s="12"/>
      <c r="GU36" s="12"/>
      <c r="GV36" s="12"/>
      <c r="GW36" s="12"/>
      <c r="GX36" s="12"/>
      <c r="GY36" s="12"/>
      <c r="GZ36" s="12"/>
      <c r="HA36" s="12"/>
      <c r="HB36" s="12"/>
      <c r="HC36" s="12"/>
      <c r="HD36" s="12"/>
      <c r="HE36" s="12"/>
      <c r="HF36" s="12"/>
      <c r="HG36" s="12"/>
      <c r="HH36" s="12"/>
      <c r="HI36" s="12"/>
      <c r="HJ36" s="12"/>
      <c r="HK36" s="12"/>
      <c r="HL36" s="12"/>
      <c r="HM36" s="12"/>
      <c r="HN36" s="12"/>
      <c r="HO36" s="12"/>
      <c r="HP36" s="12"/>
      <c r="HQ36" s="12"/>
      <c r="HR36" s="12"/>
      <c r="HS36" s="12"/>
      <c r="HT36" s="12"/>
      <c r="HU36" s="12"/>
      <c r="HV36" s="12"/>
      <c r="HW36" s="12"/>
      <c r="HX36" s="12"/>
      <c r="HY36" s="12"/>
      <c r="HZ36" s="12"/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  <c r="IL36" s="12"/>
      <c r="IM36" s="12"/>
      <c r="IN36" s="12"/>
      <c r="IO36" s="12"/>
      <c r="IP36" s="12"/>
      <c r="IQ36" s="12"/>
      <c r="IR36" s="12"/>
      <c r="IS36" s="12"/>
      <c r="IT36" s="12"/>
      <c r="IU36" s="12"/>
      <c r="IV36" s="12"/>
      <c r="IW36" s="12"/>
      <c r="IX36" s="12"/>
      <c r="IY36" s="12"/>
      <c r="IZ36" s="12"/>
      <c r="JA36" s="12"/>
      <c r="JB36" s="12"/>
      <c r="JC36" s="12"/>
      <c r="JD36" s="12"/>
      <c r="JE36" s="12"/>
      <c r="JF36" s="12"/>
      <c r="JG36" s="12"/>
      <c r="JH36" s="12"/>
      <c r="JI36" s="12"/>
      <c r="JJ36" s="12"/>
      <c r="JK36" s="12"/>
      <c r="JL36" s="12"/>
      <c r="JM36" s="12"/>
      <c r="JN36" s="12"/>
      <c r="JO36" s="12"/>
      <c r="JP36" s="12"/>
      <c r="JQ36" s="12"/>
      <c r="JR36" s="12"/>
      <c r="JS36" s="12"/>
      <c r="JT36" s="12"/>
      <c r="JU36" s="12"/>
      <c r="JV36" s="12"/>
      <c r="JW36" s="12"/>
      <c r="JX36" s="12"/>
      <c r="JY36" s="12"/>
      <c r="JZ36" s="12"/>
      <c r="KA36" s="12"/>
      <c r="KB36" s="12"/>
      <c r="KC36" s="12"/>
      <c r="KD36" s="12"/>
      <c r="KE36" s="12"/>
      <c r="KF36" s="12"/>
      <c r="KG36" s="12"/>
      <c r="KH36" s="12"/>
      <c r="KI36" s="12"/>
      <c r="KJ36" s="12"/>
      <c r="KK36" s="12"/>
      <c r="KL36" s="12"/>
      <c r="KM36" s="12"/>
      <c r="KN36" s="12"/>
      <c r="KO36" s="12"/>
      <c r="KP36" s="12"/>
      <c r="KQ36" s="12"/>
      <c r="KR36" s="12"/>
      <c r="KS36" s="12"/>
      <c r="KT36" s="12"/>
      <c r="KU36" s="12"/>
      <c r="KV36" s="12"/>
      <c r="KW36" s="12"/>
      <c r="KX36" s="12"/>
      <c r="KY36" s="12"/>
      <c r="KZ36" s="12"/>
      <c r="LA36" s="12"/>
      <c r="LB36" s="12"/>
      <c r="LC36" s="12"/>
      <c r="LD36" s="12"/>
      <c r="LE36" s="12"/>
      <c r="LF36" s="12"/>
      <c r="LG36" s="12"/>
      <c r="LH36" s="12"/>
      <c r="LI36" s="12"/>
      <c r="LJ36" s="12"/>
      <c r="LK36" s="12"/>
      <c r="LL36" s="12"/>
      <c r="LM36" s="12"/>
      <c r="LN36" s="12"/>
      <c r="LO36" s="12"/>
      <c r="LP36" s="12"/>
      <c r="LQ36" s="12"/>
      <c r="LR36" s="12"/>
      <c r="LS36" s="12"/>
      <c r="LT36" s="12"/>
      <c r="LU36" s="12"/>
      <c r="LV36" s="12"/>
      <c r="LW36" s="12"/>
      <c r="LX36" s="12"/>
      <c r="LY36" s="12"/>
      <c r="LZ36" s="12"/>
      <c r="MA36" s="12"/>
      <c r="MB36" s="12"/>
      <c r="MC36" s="12"/>
      <c r="MD36" s="12"/>
      <c r="ME36" s="12"/>
      <c r="MF36" s="12"/>
      <c r="MG36" s="12"/>
      <c r="MH36" s="12"/>
      <c r="MI36" s="12"/>
      <c r="MJ36" s="12"/>
      <c r="MK36" s="12"/>
      <c r="ML36" s="12"/>
      <c r="MM36" s="12"/>
      <c r="MN36" s="12"/>
      <c r="MO36" s="12"/>
      <c r="MP36" s="12"/>
      <c r="MQ36" s="12"/>
      <c r="MR36" s="12"/>
      <c r="MS36" s="12"/>
      <c r="MT36" s="12"/>
      <c r="MU36" s="12"/>
      <c r="MV36" s="12"/>
      <c r="MW36" s="12"/>
      <c r="MX36" s="12"/>
      <c r="MY36" s="12"/>
      <c r="MZ36" s="12"/>
      <c r="NA36" s="12"/>
      <c r="NB36" s="12"/>
      <c r="NC36" s="12"/>
      <c r="ND36" s="12"/>
      <c r="NE36" s="12"/>
      <c r="NF36" s="12"/>
      <c r="NG36" s="12"/>
      <c r="NH36" s="12"/>
      <c r="NI36" s="12"/>
      <c r="NJ36" s="12"/>
      <c r="NK36" s="12"/>
      <c r="NL36" s="12"/>
      <c r="NM36" s="12"/>
      <c r="NN36" s="12"/>
      <c r="NO36" s="12"/>
      <c r="NP36" s="12"/>
      <c r="NQ36" s="12"/>
      <c r="NR36" s="12"/>
      <c r="NS36" s="12"/>
      <c r="NT36" s="12"/>
      <c r="NU36" s="12"/>
      <c r="NV36" s="12"/>
      <c r="NW36" s="12"/>
      <c r="NX36" s="12"/>
      <c r="NY36" s="12"/>
      <c r="NZ36" s="12"/>
      <c r="OA36" s="12"/>
      <c r="OB36" s="12"/>
      <c r="OC36" s="12"/>
      <c r="OD36" s="12"/>
      <c r="OE36" s="12"/>
      <c r="OF36" s="12"/>
      <c r="OG36" s="12"/>
      <c r="OH36" s="12"/>
      <c r="OI36" s="12"/>
      <c r="OJ36" s="12"/>
      <c r="OK36" s="12"/>
      <c r="OL36" s="12"/>
      <c r="OM36" s="12"/>
      <c r="ON36" s="12"/>
      <c r="OO36" s="12"/>
      <c r="OP36" s="12"/>
      <c r="OQ36" s="12"/>
      <c r="OR36" s="12"/>
      <c r="OS36" s="12"/>
      <c r="OT36" s="12"/>
      <c r="OU36" s="12"/>
      <c r="OV36" s="12"/>
      <c r="OW36" s="12"/>
      <c r="OX36" s="12"/>
      <c r="OY36" s="12"/>
      <c r="OZ36" s="12"/>
      <c r="PA36" s="12"/>
      <c r="PB36" s="12"/>
      <c r="PC36" s="12"/>
      <c r="PD36" s="12"/>
      <c r="PE36" s="12"/>
      <c r="PF36" s="12"/>
      <c r="PG36" s="12"/>
      <c r="PH36" s="12"/>
      <c r="PI36" s="12"/>
      <c r="PJ36" s="12"/>
      <c r="PK36" s="12"/>
      <c r="PL36" s="12"/>
      <c r="PM36" s="12"/>
      <c r="PN36" s="12"/>
      <c r="PO36" s="12"/>
      <c r="PP36" s="12"/>
      <c r="PQ36" s="12"/>
      <c r="PR36" s="12"/>
      <c r="PS36" s="12"/>
      <c r="PT36" s="12"/>
      <c r="PU36" s="12"/>
      <c r="PV36" s="12"/>
      <c r="PW36" s="12"/>
      <c r="PX36" s="12"/>
      <c r="PY36" s="12"/>
      <c r="PZ36" s="12"/>
      <c r="QA36" s="12"/>
      <c r="QB36" s="12"/>
      <c r="QC36" s="12"/>
      <c r="QD36" s="12"/>
      <c r="QE36" s="12"/>
      <c r="QF36" s="12"/>
      <c r="QG36" s="12"/>
      <c r="QH36" s="12"/>
      <c r="QI36" s="12"/>
      <c r="QJ36" s="12"/>
      <c r="QK36" s="12"/>
      <c r="QL36" s="12"/>
      <c r="QM36" s="12"/>
      <c r="QN36" s="12"/>
      <c r="QO36" s="12"/>
      <c r="QP36" s="12"/>
      <c r="QQ36" s="12"/>
      <c r="QR36" s="12"/>
      <c r="QS36" s="12"/>
      <c r="QT36" s="12"/>
      <c r="QU36" s="12"/>
      <c r="QV36" s="12"/>
      <c r="QW36" s="12"/>
      <c r="QX36" s="12"/>
      <c r="QY36" s="12"/>
      <c r="QZ36" s="12"/>
      <c r="RA36" s="12"/>
      <c r="RB36" s="12"/>
      <c r="RC36" s="12"/>
      <c r="RD36" s="12"/>
      <c r="RE36" s="12"/>
      <c r="RF36" s="12"/>
      <c r="RG36" s="12"/>
      <c r="RH36" s="12"/>
      <c r="RI36" s="12"/>
      <c r="RJ36" s="12"/>
      <c r="RK36" s="12"/>
      <c r="RL36" s="12"/>
      <c r="RM36" s="12"/>
      <c r="RN36" s="12"/>
      <c r="RO36" s="12"/>
      <c r="RP36" s="12"/>
      <c r="RQ36" s="12"/>
      <c r="RR36" s="12"/>
      <c r="RS36" s="12"/>
      <c r="RT36" s="12"/>
      <c r="RU36" s="12"/>
      <c r="RV36" s="12"/>
      <c r="RW36" s="12"/>
      <c r="RX36" s="12"/>
      <c r="RY36" s="12"/>
      <c r="RZ36" s="12"/>
      <c r="SA36" s="12"/>
      <c r="SB36" s="12"/>
      <c r="SC36" s="12"/>
      <c r="SD36" s="12"/>
      <c r="SE36" s="12"/>
      <c r="SF36" s="12"/>
      <c r="SG36" s="12"/>
      <c r="SH36" s="12"/>
      <c r="SI36" s="12"/>
      <c r="SJ36" s="12"/>
      <c r="SK36" s="12"/>
      <c r="SL36" s="12"/>
      <c r="SM36" s="12"/>
      <c r="SN36" s="12"/>
      <c r="SO36" s="12"/>
      <c r="SP36" s="12"/>
      <c r="SQ36" s="12"/>
      <c r="SR36" s="12"/>
      <c r="SS36" s="12"/>
      <c r="ST36" s="12"/>
      <c r="SU36" s="12"/>
      <c r="SV36" s="12"/>
      <c r="SW36" s="12"/>
      <c r="SX36" s="12"/>
      <c r="SY36" s="12"/>
      <c r="SZ36" s="12"/>
      <c r="TA36" s="12"/>
      <c r="TB36" s="12"/>
      <c r="TC36" s="12"/>
      <c r="TD36" s="12"/>
      <c r="TE36" s="12"/>
      <c r="TF36" s="12"/>
      <c r="TG36" s="12"/>
      <c r="TH36" s="12"/>
      <c r="TI36" s="12"/>
      <c r="TJ36" s="12"/>
      <c r="TK36" s="12"/>
      <c r="TL36" s="12"/>
      <c r="TM36" s="12"/>
      <c r="TN36" s="12"/>
      <c r="TO36" s="12"/>
      <c r="TP36" s="12"/>
      <c r="TQ36" s="12"/>
      <c r="TR36" s="12"/>
      <c r="TS36" s="12"/>
      <c r="TT36" s="12"/>
      <c r="TU36" s="12"/>
      <c r="TV36" s="12"/>
      <c r="TW36" s="12"/>
      <c r="TX36" s="12"/>
      <c r="TY36" s="12"/>
      <c r="TZ36" s="12"/>
      <c r="UA36" s="12"/>
      <c r="UB36" s="12"/>
      <c r="UC36" s="12"/>
      <c r="UD36" s="12"/>
      <c r="UE36" s="12"/>
      <c r="UF36" s="12"/>
      <c r="UG36" s="12"/>
      <c r="UH36" s="12"/>
      <c r="UI36" s="12"/>
      <c r="UJ36" s="12"/>
      <c r="UK36" s="12"/>
      <c r="UL36" s="12"/>
      <c r="UM36" s="12"/>
      <c r="UN36" s="12"/>
      <c r="UO36" s="12"/>
      <c r="UP36" s="12"/>
      <c r="UQ36" s="12"/>
      <c r="UR36" s="12"/>
      <c r="US36" s="12"/>
      <c r="UT36" s="12"/>
      <c r="UU36" s="12"/>
      <c r="UV36" s="12"/>
      <c r="UW36" s="12"/>
      <c r="UX36" s="12"/>
      <c r="UY36" s="12"/>
      <c r="UZ36" s="12"/>
      <c r="VA36" s="12"/>
      <c r="VB36" s="12"/>
      <c r="VC36" s="12"/>
      <c r="VD36" s="12"/>
      <c r="VE36" s="12"/>
      <c r="VF36" s="12"/>
      <c r="VG36" s="12"/>
      <c r="VH36" s="12"/>
      <c r="VI36" s="12"/>
      <c r="VJ36" s="12"/>
      <c r="VK36" s="12"/>
      <c r="VL36" s="12"/>
      <c r="VM36" s="12"/>
      <c r="VN36" s="12"/>
      <c r="VO36" s="12"/>
      <c r="VP36" s="12"/>
      <c r="VQ36" s="12"/>
      <c r="VR36" s="12"/>
      <c r="VS36" s="12"/>
      <c r="VT36" s="12"/>
      <c r="VU36" s="12"/>
      <c r="VV36" s="12"/>
      <c r="VW36" s="12"/>
      <c r="VX36" s="12"/>
      <c r="VY36" s="12"/>
      <c r="VZ36" s="12"/>
      <c r="WA36" s="12"/>
      <c r="WB36" s="12"/>
      <c r="WC36" s="12"/>
      <c r="WD36" s="12"/>
      <c r="WE36" s="12"/>
      <c r="WF36" s="12"/>
      <c r="WG36" s="12"/>
      <c r="WH36" s="12"/>
      <c r="WI36" s="12"/>
      <c r="WJ36" s="12"/>
      <c r="WK36" s="12"/>
      <c r="WL36" s="12"/>
      <c r="WM36" s="12"/>
      <c r="WN36" s="12"/>
      <c r="WO36" s="12"/>
      <c r="WP36" s="12"/>
      <c r="WQ36" s="12"/>
      <c r="WR36" s="12"/>
      <c r="WS36" s="12"/>
      <c r="WT36" s="12"/>
      <c r="WU36" s="12"/>
      <c r="WV36" s="12"/>
      <c r="WW36" s="12"/>
      <c r="WX36" s="12"/>
      <c r="WY36" s="12"/>
      <c r="WZ36" s="12"/>
      <c r="XA36" s="12"/>
      <c r="XB36" s="12"/>
      <c r="XC36" s="12"/>
      <c r="XD36" s="12"/>
      <c r="XE36" s="12"/>
      <c r="XF36" s="12"/>
      <c r="XG36" s="12"/>
      <c r="XH36" s="12"/>
      <c r="XI36" s="12"/>
      <c r="XJ36" s="12"/>
      <c r="XK36" s="12"/>
      <c r="XL36" s="12"/>
      <c r="XM36" s="12"/>
      <c r="XN36" s="12"/>
      <c r="XO36" s="12"/>
      <c r="XP36" s="12"/>
      <c r="XQ36" s="12"/>
      <c r="XR36" s="12"/>
      <c r="XS36" s="12"/>
      <c r="XT36" s="12"/>
      <c r="XU36" s="12"/>
      <c r="XV36" s="12"/>
      <c r="XW36" s="12"/>
      <c r="XX36" s="12"/>
      <c r="XY36" s="12"/>
      <c r="XZ36" s="12"/>
      <c r="YA36" s="12"/>
      <c r="YB36" s="12"/>
      <c r="YC36" s="12"/>
      <c r="YD36" s="12"/>
      <c r="YE36" s="12"/>
      <c r="YF36" s="12"/>
      <c r="YG36" s="12"/>
      <c r="YH36" s="12"/>
      <c r="YI36" s="12"/>
      <c r="YJ36" s="12"/>
      <c r="YK36" s="12"/>
      <c r="YL36" s="12"/>
      <c r="YM36" s="12"/>
      <c r="YN36" s="12"/>
      <c r="YO36" s="12"/>
      <c r="YP36" s="12"/>
      <c r="YQ36" s="12"/>
      <c r="YR36" s="12"/>
      <c r="YS36" s="12"/>
      <c r="YT36" s="12"/>
      <c r="YU36" s="12"/>
      <c r="YV36" s="12"/>
      <c r="YW36" s="12"/>
      <c r="YX36" s="12"/>
      <c r="YY36" s="12"/>
      <c r="YZ36" s="12"/>
      <c r="ZA36" s="12"/>
      <c r="ZB36" s="12"/>
      <c r="ZC36" s="12"/>
      <c r="ZD36" s="12"/>
      <c r="ZE36" s="12"/>
      <c r="ZF36" s="12"/>
      <c r="ZG36" s="12"/>
      <c r="ZH36" s="12"/>
      <c r="ZI36" s="12"/>
      <c r="ZJ36" s="12"/>
      <c r="ZK36" s="12"/>
      <c r="ZL36" s="12"/>
      <c r="ZM36" s="12"/>
      <c r="ZN36" s="12"/>
      <c r="ZO36" s="12"/>
      <c r="ZP36" s="12"/>
      <c r="ZQ36" s="12"/>
      <c r="ZR36" s="12"/>
      <c r="ZS36" s="12"/>
      <c r="ZT36" s="12"/>
      <c r="ZU36" s="12"/>
      <c r="ZV36" s="12"/>
      <c r="ZW36" s="12"/>
      <c r="ZX36" s="12"/>
      <c r="ZY36" s="12"/>
      <c r="ZZ36" s="12"/>
      <c r="AAA36" s="12"/>
      <c r="AAB36" s="12"/>
      <c r="AAC36" s="12"/>
      <c r="AAD36" s="12"/>
      <c r="AAE36" s="12"/>
      <c r="AAF36" s="12"/>
      <c r="AAG36" s="12"/>
      <c r="AAH36" s="12"/>
      <c r="AAI36" s="12"/>
      <c r="AAJ36" s="12"/>
      <c r="AAK36" s="12"/>
      <c r="AAL36" s="12"/>
      <c r="AAM36" s="12"/>
      <c r="AAN36" s="12"/>
      <c r="AAO36" s="12"/>
      <c r="AAP36" s="12"/>
      <c r="AAQ36" s="12"/>
      <c r="AAR36" s="12"/>
      <c r="AAS36" s="12"/>
      <c r="AAT36" s="12"/>
      <c r="AAU36" s="12"/>
      <c r="AAV36" s="12"/>
      <c r="AAW36" s="12"/>
      <c r="AAX36" s="12"/>
      <c r="AAY36" s="12"/>
      <c r="AAZ36" s="12"/>
      <c r="ABA36" s="12"/>
      <c r="ABB36" s="12"/>
      <c r="ABC36" s="12"/>
      <c r="ABD36" s="12"/>
      <c r="ABE36" s="12"/>
      <c r="ABF36" s="12"/>
      <c r="ABG36" s="12"/>
      <c r="ABH36" s="12"/>
      <c r="ABI36" s="12"/>
      <c r="ABJ36" s="12"/>
      <c r="ABK36" s="12"/>
      <c r="ABL36" s="12"/>
      <c r="ABM36" s="12"/>
      <c r="ABN36" s="12"/>
      <c r="ABO36" s="12"/>
      <c r="ABP36" s="12"/>
      <c r="ABQ36" s="12"/>
      <c r="ABR36" s="12"/>
      <c r="ABS36" s="12"/>
      <c r="ABT36" s="12"/>
      <c r="ABU36" s="12"/>
      <c r="ABV36" s="12"/>
      <c r="ABW36" s="12"/>
      <c r="ABX36" s="12"/>
      <c r="ABY36" s="12"/>
      <c r="ABZ36" s="12"/>
      <c r="ACA36" s="12"/>
      <c r="ACB36" s="12"/>
      <c r="ACC36" s="12"/>
      <c r="ACD36" s="12"/>
      <c r="ACE36" s="12"/>
      <c r="ACF36" s="12"/>
      <c r="ACG36" s="12"/>
      <c r="ACH36" s="12"/>
      <c r="ACI36" s="12"/>
      <c r="ACJ36" s="12"/>
      <c r="ACK36" s="12"/>
      <c r="ACL36" s="12"/>
      <c r="ACM36" s="12"/>
      <c r="ACN36" s="12"/>
      <c r="ACO36" s="12"/>
      <c r="ACP36" s="12"/>
      <c r="ACQ36" s="12"/>
      <c r="ACR36" s="12"/>
      <c r="ACS36" s="12"/>
      <c r="ACT36" s="12"/>
      <c r="ACU36" s="12"/>
      <c r="ACV36" s="12"/>
      <c r="ACW36" s="12"/>
      <c r="ACX36" s="12"/>
      <c r="ACY36" s="12"/>
      <c r="ACZ36" s="12"/>
      <c r="ADA36" s="12"/>
      <c r="ADB36" s="12"/>
      <c r="ADC36" s="12"/>
      <c r="ADD36" s="12"/>
      <c r="ADE36" s="12"/>
      <c r="ADF36" s="12"/>
      <c r="ADG36" s="12"/>
      <c r="ADH36" s="12"/>
      <c r="ADI36" s="12"/>
      <c r="ADJ36" s="12"/>
      <c r="ADK36" s="12"/>
      <c r="ADL36" s="12"/>
      <c r="ADM36" s="12"/>
      <c r="ADN36" s="12"/>
      <c r="ADO36" s="12"/>
      <c r="ADP36" s="12"/>
      <c r="ADQ36" s="12"/>
      <c r="ADR36" s="12"/>
      <c r="ADS36" s="12"/>
      <c r="ADT36" s="12"/>
      <c r="ADU36" s="12"/>
      <c r="ADV36" s="12"/>
      <c r="ADW36" s="12"/>
      <c r="ADX36" s="12"/>
      <c r="ADY36" s="12"/>
      <c r="ADZ36" s="12"/>
      <c r="AEA36" s="12"/>
      <c r="AEB36" s="12"/>
      <c r="AEC36" s="12"/>
      <c r="AED36" s="12"/>
      <c r="AEE36" s="12"/>
      <c r="AEF36" s="12"/>
      <c r="AEG36" s="12"/>
      <c r="AEH36" s="12"/>
      <c r="AEI36" s="12"/>
      <c r="AEJ36" s="12"/>
      <c r="AEK36" s="12"/>
      <c r="AEL36" s="12"/>
      <c r="AEM36" s="12"/>
      <c r="AEN36" s="12"/>
      <c r="AEO36" s="12"/>
      <c r="AEP36" s="12"/>
      <c r="AEQ36" s="12"/>
      <c r="AER36" s="12"/>
      <c r="AES36" s="12"/>
      <c r="AET36" s="12"/>
      <c r="AEU36" s="12"/>
      <c r="AEV36" s="12"/>
    </row>
    <row r="37" spans="1:828" s="27" customFormat="1" ht="18" x14ac:dyDescent="0.2">
      <c r="A37" s="28"/>
      <c r="D37" s="29"/>
      <c r="E37" s="23"/>
      <c r="F37" s="23" t="s">
        <v>72</v>
      </c>
      <c r="G37" s="29">
        <v>826</v>
      </c>
      <c r="H37" s="30"/>
      <c r="I37" s="23" t="s">
        <v>34</v>
      </c>
      <c r="J37" s="29">
        <v>37</v>
      </c>
      <c r="K37" s="30"/>
      <c r="L37" s="23"/>
      <c r="M37" s="29"/>
      <c r="N37" s="47">
        <f t="shared" si="1"/>
        <v>6.6658058684915585E-3</v>
      </c>
      <c r="O37" s="47">
        <f t="shared" si="2"/>
        <v>0</v>
      </c>
      <c r="P37" s="48"/>
      <c r="Q37" s="51"/>
      <c r="R37"/>
      <c r="S37"/>
      <c r="T37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2"/>
      <c r="FJ37" s="12"/>
      <c r="FK37" s="12"/>
      <c r="FL37" s="12"/>
      <c r="FM37" s="12"/>
      <c r="FN37" s="12"/>
      <c r="FO37" s="12"/>
      <c r="FP37" s="12"/>
      <c r="FQ37" s="12"/>
      <c r="FR37" s="12"/>
      <c r="FS37" s="12"/>
      <c r="FT37" s="12"/>
      <c r="FU37" s="12"/>
      <c r="FV37" s="12"/>
      <c r="FW37" s="12"/>
      <c r="FX37" s="12"/>
      <c r="FY37" s="12"/>
      <c r="FZ37" s="12"/>
      <c r="GA37" s="12"/>
      <c r="GB37" s="12"/>
      <c r="GC37" s="12"/>
      <c r="GD37" s="12"/>
      <c r="GE37" s="12"/>
      <c r="GF37" s="12"/>
      <c r="GG37" s="12"/>
      <c r="GH37" s="12"/>
      <c r="GI37" s="12"/>
      <c r="GJ37" s="12"/>
      <c r="GK37" s="12"/>
      <c r="GL37" s="12"/>
      <c r="GM37" s="12"/>
      <c r="GN37" s="12"/>
      <c r="GO37" s="12"/>
      <c r="GP37" s="12"/>
      <c r="GQ37" s="12"/>
      <c r="GR37" s="12"/>
      <c r="GS37" s="12"/>
      <c r="GT37" s="12"/>
      <c r="GU37" s="12"/>
      <c r="GV37" s="12"/>
      <c r="GW37" s="12"/>
      <c r="GX37" s="12"/>
      <c r="GY37" s="12"/>
      <c r="GZ37" s="12"/>
      <c r="HA37" s="12"/>
      <c r="HB37" s="12"/>
      <c r="HC37" s="12"/>
      <c r="HD37" s="12"/>
      <c r="HE37" s="12"/>
      <c r="HF37" s="12"/>
      <c r="HG37" s="12"/>
      <c r="HH37" s="12"/>
      <c r="HI37" s="12"/>
      <c r="HJ37" s="12"/>
      <c r="HK37" s="12"/>
      <c r="HL37" s="12"/>
      <c r="HM37" s="12"/>
      <c r="HN37" s="12"/>
      <c r="HO37" s="12"/>
      <c r="HP37" s="12"/>
      <c r="HQ37" s="12"/>
      <c r="HR37" s="12"/>
      <c r="HS37" s="12"/>
      <c r="HT37" s="12"/>
      <c r="HU37" s="12"/>
      <c r="HV37" s="12"/>
      <c r="HW37" s="12"/>
      <c r="HX37" s="12"/>
      <c r="HY37" s="12"/>
      <c r="HZ37" s="12"/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  <c r="IL37" s="12"/>
      <c r="IM37" s="12"/>
      <c r="IN37" s="12"/>
      <c r="IO37" s="12"/>
      <c r="IP37" s="12"/>
      <c r="IQ37" s="12"/>
      <c r="IR37" s="12"/>
      <c r="IS37" s="12"/>
      <c r="IT37" s="12"/>
      <c r="IU37" s="12"/>
      <c r="IV37" s="12"/>
      <c r="IW37" s="12"/>
      <c r="IX37" s="12"/>
      <c r="IY37" s="12"/>
      <c r="IZ37" s="12"/>
      <c r="JA37" s="12"/>
      <c r="JB37" s="12"/>
      <c r="JC37" s="12"/>
      <c r="JD37" s="12"/>
      <c r="JE37" s="12"/>
      <c r="JF37" s="12"/>
      <c r="JG37" s="12"/>
      <c r="JH37" s="12"/>
      <c r="JI37" s="12"/>
      <c r="JJ37" s="12"/>
      <c r="JK37" s="12"/>
      <c r="JL37" s="12"/>
      <c r="JM37" s="12"/>
      <c r="JN37" s="12"/>
      <c r="JO37" s="12"/>
      <c r="JP37" s="12"/>
      <c r="JQ37" s="12"/>
      <c r="JR37" s="12"/>
      <c r="JS37" s="12"/>
      <c r="JT37" s="12"/>
      <c r="JU37" s="12"/>
      <c r="JV37" s="12"/>
      <c r="JW37" s="12"/>
      <c r="JX37" s="12"/>
      <c r="JY37" s="12"/>
      <c r="JZ37" s="12"/>
      <c r="KA37" s="12"/>
      <c r="KB37" s="12"/>
      <c r="KC37" s="12"/>
      <c r="KD37" s="12"/>
      <c r="KE37" s="12"/>
      <c r="KF37" s="12"/>
      <c r="KG37" s="12"/>
      <c r="KH37" s="12"/>
      <c r="KI37" s="12"/>
      <c r="KJ37" s="12"/>
      <c r="KK37" s="12"/>
      <c r="KL37" s="12"/>
      <c r="KM37" s="12"/>
      <c r="KN37" s="12"/>
      <c r="KO37" s="12"/>
      <c r="KP37" s="12"/>
      <c r="KQ37" s="12"/>
      <c r="KR37" s="12"/>
      <c r="KS37" s="12"/>
      <c r="KT37" s="12"/>
      <c r="KU37" s="12"/>
      <c r="KV37" s="12"/>
      <c r="KW37" s="12"/>
      <c r="KX37" s="12"/>
      <c r="KY37" s="12"/>
      <c r="KZ37" s="12"/>
      <c r="LA37" s="12"/>
      <c r="LB37" s="12"/>
      <c r="LC37" s="12"/>
      <c r="LD37" s="12"/>
      <c r="LE37" s="12"/>
      <c r="LF37" s="12"/>
      <c r="LG37" s="12"/>
      <c r="LH37" s="12"/>
      <c r="LI37" s="12"/>
      <c r="LJ37" s="12"/>
      <c r="LK37" s="12"/>
      <c r="LL37" s="12"/>
      <c r="LM37" s="12"/>
      <c r="LN37" s="12"/>
      <c r="LO37" s="12"/>
      <c r="LP37" s="12"/>
      <c r="LQ37" s="12"/>
      <c r="LR37" s="12"/>
      <c r="LS37" s="12"/>
      <c r="LT37" s="12"/>
      <c r="LU37" s="12"/>
      <c r="LV37" s="12"/>
      <c r="LW37" s="12"/>
      <c r="LX37" s="12"/>
      <c r="LY37" s="12"/>
      <c r="LZ37" s="12"/>
      <c r="MA37" s="12"/>
      <c r="MB37" s="12"/>
      <c r="MC37" s="12"/>
      <c r="MD37" s="12"/>
      <c r="ME37" s="12"/>
      <c r="MF37" s="12"/>
      <c r="MG37" s="12"/>
      <c r="MH37" s="12"/>
      <c r="MI37" s="12"/>
      <c r="MJ37" s="12"/>
      <c r="MK37" s="12"/>
      <c r="ML37" s="12"/>
      <c r="MM37" s="12"/>
      <c r="MN37" s="12"/>
      <c r="MO37" s="12"/>
      <c r="MP37" s="12"/>
      <c r="MQ37" s="12"/>
      <c r="MR37" s="12"/>
      <c r="MS37" s="12"/>
      <c r="MT37" s="12"/>
      <c r="MU37" s="12"/>
      <c r="MV37" s="12"/>
      <c r="MW37" s="12"/>
      <c r="MX37" s="12"/>
      <c r="MY37" s="12"/>
      <c r="MZ37" s="12"/>
      <c r="NA37" s="12"/>
      <c r="NB37" s="12"/>
      <c r="NC37" s="12"/>
      <c r="ND37" s="12"/>
      <c r="NE37" s="12"/>
      <c r="NF37" s="12"/>
      <c r="NG37" s="12"/>
      <c r="NH37" s="12"/>
      <c r="NI37" s="12"/>
      <c r="NJ37" s="12"/>
      <c r="NK37" s="12"/>
      <c r="NL37" s="12"/>
      <c r="NM37" s="12"/>
      <c r="NN37" s="12"/>
      <c r="NO37" s="12"/>
      <c r="NP37" s="12"/>
      <c r="NQ37" s="12"/>
      <c r="NR37" s="12"/>
      <c r="NS37" s="12"/>
      <c r="NT37" s="12"/>
      <c r="NU37" s="12"/>
      <c r="NV37" s="12"/>
      <c r="NW37" s="12"/>
      <c r="NX37" s="12"/>
      <c r="NY37" s="12"/>
      <c r="NZ37" s="12"/>
      <c r="OA37" s="12"/>
      <c r="OB37" s="12"/>
      <c r="OC37" s="12"/>
      <c r="OD37" s="12"/>
      <c r="OE37" s="12"/>
      <c r="OF37" s="12"/>
      <c r="OG37" s="12"/>
      <c r="OH37" s="12"/>
      <c r="OI37" s="12"/>
      <c r="OJ37" s="12"/>
      <c r="OK37" s="12"/>
      <c r="OL37" s="12"/>
      <c r="OM37" s="12"/>
      <c r="ON37" s="12"/>
      <c r="OO37" s="12"/>
      <c r="OP37" s="12"/>
      <c r="OQ37" s="12"/>
      <c r="OR37" s="12"/>
      <c r="OS37" s="12"/>
      <c r="OT37" s="12"/>
      <c r="OU37" s="12"/>
      <c r="OV37" s="12"/>
      <c r="OW37" s="12"/>
      <c r="OX37" s="12"/>
      <c r="OY37" s="12"/>
      <c r="OZ37" s="12"/>
      <c r="PA37" s="12"/>
      <c r="PB37" s="12"/>
      <c r="PC37" s="12"/>
      <c r="PD37" s="12"/>
      <c r="PE37" s="12"/>
      <c r="PF37" s="12"/>
      <c r="PG37" s="12"/>
      <c r="PH37" s="12"/>
      <c r="PI37" s="12"/>
      <c r="PJ37" s="12"/>
      <c r="PK37" s="12"/>
      <c r="PL37" s="12"/>
      <c r="PM37" s="12"/>
      <c r="PN37" s="12"/>
      <c r="PO37" s="12"/>
      <c r="PP37" s="12"/>
      <c r="PQ37" s="12"/>
      <c r="PR37" s="12"/>
      <c r="PS37" s="12"/>
      <c r="PT37" s="12"/>
      <c r="PU37" s="12"/>
      <c r="PV37" s="12"/>
      <c r="PW37" s="12"/>
      <c r="PX37" s="12"/>
      <c r="PY37" s="12"/>
      <c r="PZ37" s="12"/>
      <c r="QA37" s="12"/>
      <c r="QB37" s="12"/>
      <c r="QC37" s="12"/>
      <c r="QD37" s="12"/>
      <c r="QE37" s="12"/>
      <c r="QF37" s="12"/>
      <c r="QG37" s="12"/>
      <c r="QH37" s="12"/>
      <c r="QI37" s="12"/>
      <c r="QJ37" s="12"/>
      <c r="QK37" s="12"/>
      <c r="QL37" s="12"/>
      <c r="QM37" s="12"/>
      <c r="QN37" s="12"/>
      <c r="QO37" s="12"/>
      <c r="QP37" s="12"/>
      <c r="QQ37" s="12"/>
      <c r="QR37" s="12"/>
      <c r="QS37" s="12"/>
      <c r="QT37" s="12"/>
      <c r="QU37" s="12"/>
      <c r="QV37" s="12"/>
      <c r="QW37" s="12"/>
      <c r="QX37" s="12"/>
      <c r="QY37" s="12"/>
      <c r="QZ37" s="12"/>
      <c r="RA37" s="12"/>
      <c r="RB37" s="12"/>
      <c r="RC37" s="12"/>
      <c r="RD37" s="12"/>
      <c r="RE37" s="12"/>
      <c r="RF37" s="12"/>
      <c r="RG37" s="12"/>
      <c r="RH37" s="12"/>
      <c r="RI37" s="12"/>
      <c r="RJ37" s="12"/>
      <c r="RK37" s="12"/>
      <c r="RL37" s="12"/>
      <c r="RM37" s="12"/>
      <c r="RN37" s="12"/>
      <c r="RO37" s="12"/>
      <c r="RP37" s="12"/>
      <c r="RQ37" s="12"/>
      <c r="RR37" s="12"/>
      <c r="RS37" s="12"/>
      <c r="RT37" s="12"/>
      <c r="RU37" s="12"/>
      <c r="RV37" s="12"/>
      <c r="RW37" s="12"/>
      <c r="RX37" s="12"/>
      <c r="RY37" s="12"/>
      <c r="RZ37" s="12"/>
      <c r="SA37" s="12"/>
      <c r="SB37" s="12"/>
      <c r="SC37" s="12"/>
      <c r="SD37" s="12"/>
      <c r="SE37" s="12"/>
      <c r="SF37" s="12"/>
      <c r="SG37" s="12"/>
      <c r="SH37" s="12"/>
      <c r="SI37" s="12"/>
      <c r="SJ37" s="12"/>
      <c r="SK37" s="12"/>
      <c r="SL37" s="12"/>
      <c r="SM37" s="12"/>
      <c r="SN37" s="12"/>
      <c r="SO37" s="12"/>
      <c r="SP37" s="12"/>
      <c r="SQ37" s="12"/>
      <c r="SR37" s="12"/>
      <c r="SS37" s="12"/>
      <c r="ST37" s="12"/>
      <c r="SU37" s="12"/>
      <c r="SV37" s="12"/>
      <c r="SW37" s="12"/>
      <c r="SX37" s="12"/>
      <c r="SY37" s="12"/>
      <c r="SZ37" s="12"/>
      <c r="TA37" s="12"/>
      <c r="TB37" s="12"/>
      <c r="TC37" s="12"/>
      <c r="TD37" s="12"/>
      <c r="TE37" s="12"/>
      <c r="TF37" s="12"/>
      <c r="TG37" s="12"/>
      <c r="TH37" s="12"/>
      <c r="TI37" s="12"/>
      <c r="TJ37" s="12"/>
      <c r="TK37" s="12"/>
      <c r="TL37" s="12"/>
      <c r="TM37" s="12"/>
      <c r="TN37" s="12"/>
      <c r="TO37" s="12"/>
      <c r="TP37" s="12"/>
      <c r="TQ37" s="12"/>
      <c r="TR37" s="12"/>
      <c r="TS37" s="12"/>
      <c r="TT37" s="12"/>
      <c r="TU37" s="12"/>
      <c r="TV37" s="12"/>
      <c r="TW37" s="12"/>
      <c r="TX37" s="12"/>
      <c r="TY37" s="12"/>
      <c r="TZ37" s="12"/>
      <c r="UA37" s="12"/>
      <c r="UB37" s="12"/>
      <c r="UC37" s="12"/>
      <c r="UD37" s="12"/>
      <c r="UE37" s="12"/>
      <c r="UF37" s="12"/>
      <c r="UG37" s="12"/>
      <c r="UH37" s="12"/>
      <c r="UI37" s="12"/>
      <c r="UJ37" s="12"/>
      <c r="UK37" s="12"/>
      <c r="UL37" s="12"/>
      <c r="UM37" s="12"/>
      <c r="UN37" s="12"/>
      <c r="UO37" s="12"/>
      <c r="UP37" s="12"/>
      <c r="UQ37" s="12"/>
      <c r="UR37" s="12"/>
      <c r="US37" s="12"/>
      <c r="UT37" s="12"/>
      <c r="UU37" s="12"/>
      <c r="UV37" s="12"/>
      <c r="UW37" s="12"/>
      <c r="UX37" s="12"/>
      <c r="UY37" s="12"/>
      <c r="UZ37" s="12"/>
      <c r="VA37" s="12"/>
      <c r="VB37" s="12"/>
      <c r="VC37" s="12"/>
      <c r="VD37" s="12"/>
      <c r="VE37" s="12"/>
      <c r="VF37" s="12"/>
      <c r="VG37" s="12"/>
      <c r="VH37" s="12"/>
      <c r="VI37" s="12"/>
      <c r="VJ37" s="12"/>
      <c r="VK37" s="12"/>
      <c r="VL37" s="12"/>
      <c r="VM37" s="12"/>
      <c r="VN37" s="12"/>
      <c r="VO37" s="12"/>
      <c r="VP37" s="12"/>
      <c r="VQ37" s="12"/>
      <c r="VR37" s="12"/>
      <c r="VS37" s="12"/>
      <c r="VT37" s="12"/>
      <c r="VU37" s="12"/>
      <c r="VV37" s="12"/>
      <c r="VW37" s="12"/>
      <c r="VX37" s="12"/>
      <c r="VY37" s="12"/>
      <c r="VZ37" s="12"/>
      <c r="WA37" s="12"/>
      <c r="WB37" s="12"/>
      <c r="WC37" s="12"/>
      <c r="WD37" s="12"/>
      <c r="WE37" s="12"/>
      <c r="WF37" s="12"/>
      <c r="WG37" s="12"/>
      <c r="WH37" s="12"/>
      <c r="WI37" s="12"/>
      <c r="WJ37" s="12"/>
      <c r="WK37" s="12"/>
      <c r="WL37" s="12"/>
      <c r="WM37" s="12"/>
      <c r="WN37" s="12"/>
      <c r="WO37" s="12"/>
      <c r="WP37" s="12"/>
      <c r="WQ37" s="12"/>
      <c r="WR37" s="12"/>
      <c r="WS37" s="12"/>
      <c r="WT37" s="12"/>
      <c r="WU37" s="12"/>
      <c r="WV37" s="12"/>
      <c r="WW37" s="12"/>
      <c r="WX37" s="12"/>
      <c r="WY37" s="12"/>
      <c r="WZ37" s="12"/>
      <c r="XA37" s="12"/>
      <c r="XB37" s="12"/>
      <c r="XC37" s="12"/>
      <c r="XD37" s="12"/>
      <c r="XE37" s="12"/>
      <c r="XF37" s="12"/>
      <c r="XG37" s="12"/>
      <c r="XH37" s="12"/>
      <c r="XI37" s="12"/>
      <c r="XJ37" s="12"/>
      <c r="XK37" s="12"/>
      <c r="XL37" s="12"/>
      <c r="XM37" s="12"/>
      <c r="XN37" s="12"/>
      <c r="XO37" s="12"/>
      <c r="XP37" s="12"/>
      <c r="XQ37" s="12"/>
      <c r="XR37" s="12"/>
      <c r="XS37" s="12"/>
      <c r="XT37" s="12"/>
      <c r="XU37" s="12"/>
      <c r="XV37" s="12"/>
      <c r="XW37" s="12"/>
      <c r="XX37" s="12"/>
      <c r="XY37" s="12"/>
      <c r="XZ37" s="12"/>
      <c r="YA37" s="12"/>
      <c r="YB37" s="12"/>
      <c r="YC37" s="12"/>
      <c r="YD37" s="12"/>
      <c r="YE37" s="12"/>
      <c r="YF37" s="12"/>
      <c r="YG37" s="12"/>
      <c r="YH37" s="12"/>
      <c r="YI37" s="12"/>
      <c r="YJ37" s="12"/>
      <c r="YK37" s="12"/>
      <c r="YL37" s="12"/>
      <c r="YM37" s="12"/>
      <c r="YN37" s="12"/>
      <c r="YO37" s="12"/>
      <c r="YP37" s="12"/>
      <c r="YQ37" s="12"/>
      <c r="YR37" s="12"/>
      <c r="YS37" s="12"/>
      <c r="YT37" s="12"/>
      <c r="YU37" s="12"/>
      <c r="YV37" s="12"/>
      <c r="YW37" s="12"/>
      <c r="YX37" s="12"/>
      <c r="YY37" s="12"/>
      <c r="YZ37" s="12"/>
      <c r="ZA37" s="12"/>
      <c r="ZB37" s="12"/>
      <c r="ZC37" s="12"/>
      <c r="ZD37" s="12"/>
      <c r="ZE37" s="12"/>
      <c r="ZF37" s="12"/>
      <c r="ZG37" s="12"/>
      <c r="ZH37" s="12"/>
      <c r="ZI37" s="12"/>
      <c r="ZJ37" s="12"/>
      <c r="ZK37" s="12"/>
      <c r="ZL37" s="12"/>
      <c r="ZM37" s="12"/>
      <c r="ZN37" s="12"/>
      <c r="ZO37" s="12"/>
      <c r="ZP37" s="12"/>
      <c r="ZQ37" s="12"/>
      <c r="ZR37" s="12"/>
      <c r="ZS37" s="12"/>
      <c r="ZT37" s="12"/>
      <c r="ZU37" s="12"/>
      <c r="ZV37" s="12"/>
      <c r="ZW37" s="12"/>
      <c r="ZX37" s="12"/>
      <c r="ZY37" s="12"/>
      <c r="ZZ37" s="12"/>
      <c r="AAA37" s="12"/>
      <c r="AAB37" s="12"/>
      <c r="AAC37" s="12"/>
      <c r="AAD37" s="12"/>
      <c r="AAE37" s="12"/>
      <c r="AAF37" s="12"/>
      <c r="AAG37" s="12"/>
      <c r="AAH37" s="12"/>
      <c r="AAI37" s="12"/>
      <c r="AAJ37" s="12"/>
      <c r="AAK37" s="12"/>
      <c r="AAL37" s="12"/>
      <c r="AAM37" s="12"/>
      <c r="AAN37" s="12"/>
      <c r="AAO37" s="12"/>
      <c r="AAP37" s="12"/>
      <c r="AAQ37" s="12"/>
      <c r="AAR37" s="12"/>
      <c r="AAS37" s="12"/>
      <c r="AAT37" s="12"/>
      <c r="AAU37" s="12"/>
      <c r="AAV37" s="12"/>
      <c r="AAW37" s="12"/>
      <c r="AAX37" s="12"/>
      <c r="AAY37" s="12"/>
      <c r="AAZ37" s="12"/>
      <c r="ABA37" s="12"/>
      <c r="ABB37" s="12"/>
      <c r="ABC37" s="12"/>
      <c r="ABD37" s="12"/>
      <c r="ABE37" s="12"/>
      <c r="ABF37" s="12"/>
      <c r="ABG37" s="12"/>
      <c r="ABH37" s="12"/>
      <c r="ABI37" s="12"/>
      <c r="ABJ37" s="12"/>
      <c r="ABK37" s="12"/>
      <c r="ABL37" s="12"/>
      <c r="ABM37" s="12"/>
      <c r="ABN37" s="12"/>
      <c r="ABO37" s="12"/>
      <c r="ABP37" s="12"/>
      <c r="ABQ37" s="12"/>
      <c r="ABR37" s="12"/>
      <c r="ABS37" s="12"/>
      <c r="ABT37" s="12"/>
      <c r="ABU37" s="12"/>
      <c r="ABV37" s="12"/>
      <c r="ABW37" s="12"/>
      <c r="ABX37" s="12"/>
      <c r="ABY37" s="12"/>
      <c r="ABZ37" s="12"/>
      <c r="ACA37" s="12"/>
      <c r="ACB37" s="12"/>
      <c r="ACC37" s="12"/>
      <c r="ACD37" s="12"/>
      <c r="ACE37" s="12"/>
      <c r="ACF37" s="12"/>
      <c r="ACG37" s="12"/>
      <c r="ACH37" s="12"/>
      <c r="ACI37" s="12"/>
      <c r="ACJ37" s="12"/>
      <c r="ACK37" s="12"/>
      <c r="ACL37" s="12"/>
      <c r="ACM37" s="12"/>
      <c r="ACN37" s="12"/>
      <c r="ACO37" s="12"/>
      <c r="ACP37" s="12"/>
      <c r="ACQ37" s="12"/>
      <c r="ACR37" s="12"/>
      <c r="ACS37" s="12"/>
      <c r="ACT37" s="12"/>
      <c r="ACU37" s="12"/>
      <c r="ACV37" s="12"/>
      <c r="ACW37" s="12"/>
      <c r="ACX37" s="12"/>
      <c r="ACY37" s="12"/>
      <c r="ACZ37" s="12"/>
      <c r="ADA37" s="12"/>
      <c r="ADB37" s="12"/>
      <c r="ADC37" s="12"/>
      <c r="ADD37" s="12"/>
      <c r="ADE37" s="12"/>
      <c r="ADF37" s="12"/>
      <c r="ADG37" s="12"/>
      <c r="ADH37" s="12"/>
      <c r="ADI37" s="12"/>
      <c r="ADJ37" s="12"/>
      <c r="ADK37" s="12"/>
      <c r="ADL37" s="12"/>
      <c r="ADM37" s="12"/>
      <c r="ADN37" s="12"/>
      <c r="ADO37" s="12"/>
      <c r="ADP37" s="12"/>
      <c r="ADQ37" s="12"/>
      <c r="ADR37" s="12"/>
      <c r="ADS37" s="12"/>
      <c r="ADT37" s="12"/>
      <c r="ADU37" s="12"/>
      <c r="ADV37" s="12"/>
      <c r="ADW37" s="12"/>
      <c r="ADX37" s="12"/>
      <c r="ADY37" s="12"/>
      <c r="ADZ37" s="12"/>
      <c r="AEA37" s="12"/>
      <c r="AEB37" s="12"/>
      <c r="AEC37" s="12"/>
      <c r="AED37" s="12"/>
      <c r="AEE37" s="12"/>
      <c r="AEF37" s="12"/>
      <c r="AEG37" s="12"/>
      <c r="AEH37" s="12"/>
      <c r="AEI37" s="12"/>
      <c r="AEJ37" s="12"/>
      <c r="AEK37" s="12"/>
      <c r="AEL37" s="12"/>
      <c r="AEM37" s="12"/>
      <c r="AEN37" s="12"/>
      <c r="AEO37" s="12"/>
      <c r="AEP37" s="12"/>
      <c r="AEQ37" s="12"/>
      <c r="AER37" s="12"/>
      <c r="AES37" s="12"/>
      <c r="AET37" s="12"/>
      <c r="AEU37" s="12"/>
      <c r="AEV37" s="12"/>
    </row>
    <row r="38" spans="1:828" s="27" customFormat="1" ht="18" x14ac:dyDescent="0.2">
      <c r="A38" s="28"/>
      <c r="D38" s="29"/>
      <c r="E38" s="23"/>
      <c r="F38" s="27" t="s">
        <v>35</v>
      </c>
      <c r="G38" s="29">
        <v>265</v>
      </c>
      <c r="H38" s="30"/>
      <c r="I38" s="23" t="s">
        <v>36</v>
      </c>
      <c r="J38" s="29">
        <v>18</v>
      </c>
      <c r="K38" s="30"/>
      <c r="L38" s="23" t="s">
        <v>37</v>
      </c>
      <c r="M38" s="29">
        <v>603</v>
      </c>
      <c r="N38" s="47">
        <f t="shared" si="1"/>
        <v>2.1385454662836115E-3</v>
      </c>
      <c r="O38" s="47">
        <f t="shared" si="2"/>
        <v>5.1752549006145081E-3</v>
      </c>
      <c r="P38" s="48"/>
      <c r="Q38"/>
      <c r="R38"/>
      <c r="S38"/>
      <c r="T38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/>
      <c r="FL38" s="12"/>
      <c r="FM38" s="12"/>
      <c r="FN38" s="12"/>
      <c r="FO38" s="12"/>
      <c r="FP38" s="12"/>
      <c r="FQ38" s="12"/>
      <c r="FR38" s="12"/>
      <c r="FS38" s="12"/>
      <c r="FT38" s="12"/>
      <c r="FU38" s="12"/>
      <c r="FV38" s="12"/>
      <c r="FW38" s="12"/>
      <c r="FX38" s="12"/>
      <c r="FY38" s="12"/>
      <c r="FZ38" s="12"/>
      <c r="GA38" s="12"/>
      <c r="GB38" s="12"/>
      <c r="GC38" s="12"/>
      <c r="GD38" s="12"/>
      <c r="GE38" s="12"/>
      <c r="GF38" s="12"/>
      <c r="GG38" s="12"/>
      <c r="GH38" s="12"/>
      <c r="GI38" s="12"/>
      <c r="GJ38" s="12"/>
      <c r="GK38" s="12"/>
      <c r="GL38" s="12"/>
      <c r="GM38" s="12"/>
      <c r="GN38" s="12"/>
      <c r="GO38" s="12"/>
      <c r="GP38" s="12"/>
      <c r="GQ38" s="12"/>
      <c r="GR38" s="12"/>
      <c r="GS38" s="12"/>
      <c r="GT38" s="12"/>
      <c r="GU38" s="12"/>
      <c r="GV38" s="12"/>
      <c r="GW38" s="12"/>
      <c r="GX38" s="12"/>
      <c r="GY38" s="12"/>
      <c r="GZ38" s="12"/>
      <c r="HA38" s="12"/>
      <c r="HB38" s="12"/>
      <c r="HC38" s="12"/>
      <c r="HD38" s="12"/>
      <c r="HE38" s="12"/>
      <c r="HF38" s="12"/>
      <c r="HG38" s="12"/>
      <c r="HH38" s="12"/>
      <c r="HI38" s="12"/>
      <c r="HJ38" s="12"/>
      <c r="HK38" s="12"/>
      <c r="HL38" s="12"/>
      <c r="HM38" s="12"/>
      <c r="HN38" s="12"/>
      <c r="HO38" s="12"/>
      <c r="HP38" s="12"/>
      <c r="HQ38" s="12"/>
      <c r="HR38" s="12"/>
      <c r="HS38" s="12"/>
      <c r="HT38" s="12"/>
      <c r="HU38" s="12"/>
      <c r="HV38" s="12"/>
      <c r="HW38" s="12"/>
      <c r="HX38" s="12"/>
      <c r="HY38" s="12"/>
      <c r="HZ38" s="12"/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  <c r="IL38" s="12"/>
      <c r="IM38" s="12"/>
      <c r="IN38" s="12"/>
      <c r="IO38" s="12"/>
      <c r="IP38" s="12"/>
      <c r="IQ38" s="12"/>
      <c r="IR38" s="12"/>
      <c r="IS38" s="12"/>
      <c r="IT38" s="12"/>
      <c r="IU38" s="12"/>
      <c r="IV38" s="12"/>
      <c r="IW38" s="12"/>
      <c r="IX38" s="12"/>
      <c r="IY38" s="12"/>
      <c r="IZ38" s="12"/>
      <c r="JA38" s="12"/>
      <c r="JB38" s="12"/>
      <c r="JC38" s="12"/>
      <c r="JD38" s="12"/>
      <c r="JE38" s="12"/>
      <c r="JF38" s="12"/>
      <c r="JG38" s="12"/>
      <c r="JH38" s="12"/>
      <c r="JI38" s="12"/>
      <c r="JJ38" s="12"/>
      <c r="JK38" s="12"/>
      <c r="JL38" s="12"/>
      <c r="JM38" s="12"/>
      <c r="JN38" s="12"/>
      <c r="JO38" s="12"/>
      <c r="JP38" s="12"/>
      <c r="JQ38" s="12"/>
      <c r="JR38" s="12"/>
      <c r="JS38" s="12"/>
      <c r="JT38" s="12"/>
      <c r="JU38" s="12"/>
      <c r="JV38" s="12"/>
      <c r="JW38" s="12"/>
      <c r="JX38" s="12"/>
      <c r="JY38" s="12"/>
      <c r="JZ38" s="12"/>
      <c r="KA38" s="12"/>
      <c r="KB38" s="12"/>
      <c r="KC38" s="12"/>
      <c r="KD38" s="12"/>
      <c r="KE38" s="12"/>
      <c r="KF38" s="12"/>
      <c r="KG38" s="12"/>
      <c r="KH38" s="12"/>
      <c r="KI38" s="12"/>
      <c r="KJ38" s="12"/>
      <c r="KK38" s="12"/>
      <c r="KL38" s="12"/>
      <c r="KM38" s="12"/>
      <c r="KN38" s="12"/>
      <c r="KO38" s="12"/>
      <c r="KP38" s="12"/>
      <c r="KQ38" s="12"/>
      <c r="KR38" s="12"/>
      <c r="KS38" s="12"/>
      <c r="KT38" s="12"/>
      <c r="KU38" s="12"/>
      <c r="KV38" s="12"/>
      <c r="KW38" s="12"/>
      <c r="KX38" s="12"/>
      <c r="KY38" s="12"/>
      <c r="KZ38" s="12"/>
      <c r="LA38" s="12"/>
      <c r="LB38" s="12"/>
      <c r="LC38" s="12"/>
      <c r="LD38" s="12"/>
      <c r="LE38" s="12"/>
      <c r="LF38" s="12"/>
      <c r="LG38" s="12"/>
      <c r="LH38" s="12"/>
      <c r="LI38" s="12"/>
      <c r="LJ38" s="12"/>
      <c r="LK38" s="12"/>
      <c r="LL38" s="12"/>
      <c r="LM38" s="12"/>
      <c r="LN38" s="12"/>
      <c r="LO38" s="12"/>
      <c r="LP38" s="12"/>
      <c r="LQ38" s="12"/>
      <c r="LR38" s="12"/>
      <c r="LS38" s="12"/>
      <c r="LT38" s="12"/>
      <c r="LU38" s="12"/>
      <c r="LV38" s="12"/>
      <c r="LW38" s="12"/>
      <c r="LX38" s="12"/>
      <c r="LY38" s="12"/>
      <c r="LZ38" s="12"/>
      <c r="MA38" s="12"/>
      <c r="MB38" s="12"/>
      <c r="MC38" s="12"/>
      <c r="MD38" s="12"/>
      <c r="ME38" s="12"/>
      <c r="MF38" s="12"/>
      <c r="MG38" s="12"/>
      <c r="MH38" s="12"/>
      <c r="MI38" s="12"/>
      <c r="MJ38" s="12"/>
      <c r="MK38" s="12"/>
      <c r="ML38" s="12"/>
      <c r="MM38" s="12"/>
      <c r="MN38" s="12"/>
      <c r="MO38" s="12"/>
      <c r="MP38" s="12"/>
      <c r="MQ38" s="12"/>
      <c r="MR38" s="12"/>
      <c r="MS38" s="12"/>
      <c r="MT38" s="12"/>
      <c r="MU38" s="12"/>
      <c r="MV38" s="12"/>
      <c r="MW38" s="12"/>
      <c r="MX38" s="12"/>
      <c r="MY38" s="12"/>
      <c r="MZ38" s="12"/>
      <c r="NA38" s="12"/>
      <c r="NB38" s="12"/>
      <c r="NC38" s="12"/>
      <c r="ND38" s="12"/>
      <c r="NE38" s="12"/>
      <c r="NF38" s="12"/>
      <c r="NG38" s="12"/>
      <c r="NH38" s="12"/>
      <c r="NI38" s="12"/>
      <c r="NJ38" s="12"/>
      <c r="NK38" s="12"/>
      <c r="NL38" s="12"/>
      <c r="NM38" s="12"/>
      <c r="NN38" s="12"/>
      <c r="NO38" s="12"/>
      <c r="NP38" s="12"/>
      <c r="NQ38" s="12"/>
      <c r="NR38" s="12"/>
      <c r="NS38" s="12"/>
      <c r="NT38" s="12"/>
      <c r="NU38" s="12"/>
      <c r="NV38" s="12"/>
      <c r="NW38" s="12"/>
      <c r="NX38" s="12"/>
      <c r="NY38" s="12"/>
      <c r="NZ38" s="12"/>
      <c r="OA38" s="12"/>
      <c r="OB38" s="12"/>
      <c r="OC38" s="12"/>
      <c r="OD38" s="12"/>
      <c r="OE38" s="12"/>
      <c r="OF38" s="12"/>
      <c r="OG38" s="12"/>
      <c r="OH38" s="12"/>
      <c r="OI38" s="12"/>
      <c r="OJ38" s="12"/>
      <c r="OK38" s="12"/>
      <c r="OL38" s="12"/>
      <c r="OM38" s="12"/>
      <c r="ON38" s="12"/>
      <c r="OO38" s="12"/>
      <c r="OP38" s="12"/>
      <c r="OQ38" s="12"/>
      <c r="OR38" s="12"/>
      <c r="OS38" s="12"/>
      <c r="OT38" s="12"/>
      <c r="OU38" s="12"/>
      <c r="OV38" s="12"/>
      <c r="OW38" s="12"/>
      <c r="OX38" s="12"/>
      <c r="OY38" s="12"/>
      <c r="OZ38" s="12"/>
      <c r="PA38" s="12"/>
      <c r="PB38" s="12"/>
      <c r="PC38" s="12"/>
      <c r="PD38" s="12"/>
      <c r="PE38" s="12"/>
      <c r="PF38" s="12"/>
      <c r="PG38" s="12"/>
      <c r="PH38" s="12"/>
      <c r="PI38" s="12"/>
      <c r="PJ38" s="12"/>
      <c r="PK38" s="12"/>
      <c r="PL38" s="12"/>
      <c r="PM38" s="12"/>
      <c r="PN38" s="12"/>
      <c r="PO38" s="12"/>
      <c r="PP38" s="12"/>
      <c r="PQ38" s="12"/>
      <c r="PR38" s="12"/>
      <c r="PS38" s="12"/>
      <c r="PT38" s="12"/>
      <c r="PU38" s="12"/>
      <c r="PV38" s="12"/>
      <c r="PW38" s="12"/>
      <c r="PX38" s="12"/>
      <c r="PY38" s="12"/>
      <c r="PZ38" s="12"/>
      <c r="QA38" s="12"/>
      <c r="QB38" s="12"/>
      <c r="QC38" s="12"/>
      <c r="QD38" s="12"/>
      <c r="QE38" s="12"/>
      <c r="QF38" s="12"/>
      <c r="QG38" s="12"/>
      <c r="QH38" s="12"/>
      <c r="QI38" s="12"/>
      <c r="QJ38" s="12"/>
      <c r="QK38" s="12"/>
      <c r="QL38" s="12"/>
      <c r="QM38" s="12"/>
      <c r="QN38" s="12"/>
      <c r="QO38" s="12"/>
      <c r="QP38" s="12"/>
      <c r="QQ38" s="12"/>
      <c r="QR38" s="12"/>
      <c r="QS38" s="12"/>
      <c r="QT38" s="12"/>
      <c r="QU38" s="12"/>
      <c r="QV38" s="12"/>
      <c r="QW38" s="12"/>
      <c r="QX38" s="12"/>
      <c r="QY38" s="12"/>
      <c r="QZ38" s="12"/>
      <c r="RA38" s="12"/>
      <c r="RB38" s="12"/>
      <c r="RC38" s="12"/>
      <c r="RD38" s="12"/>
      <c r="RE38" s="12"/>
      <c r="RF38" s="12"/>
      <c r="RG38" s="12"/>
      <c r="RH38" s="12"/>
      <c r="RI38" s="12"/>
      <c r="RJ38" s="12"/>
      <c r="RK38" s="12"/>
      <c r="RL38" s="12"/>
      <c r="RM38" s="12"/>
      <c r="RN38" s="12"/>
      <c r="RO38" s="12"/>
      <c r="RP38" s="12"/>
      <c r="RQ38" s="12"/>
      <c r="RR38" s="12"/>
      <c r="RS38" s="12"/>
      <c r="RT38" s="12"/>
      <c r="RU38" s="12"/>
      <c r="RV38" s="12"/>
      <c r="RW38" s="12"/>
      <c r="RX38" s="12"/>
      <c r="RY38" s="12"/>
      <c r="RZ38" s="12"/>
      <c r="SA38" s="12"/>
      <c r="SB38" s="12"/>
      <c r="SC38" s="12"/>
      <c r="SD38" s="12"/>
      <c r="SE38" s="12"/>
      <c r="SF38" s="12"/>
      <c r="SG38" s="12"/>
      <c r="SH38" s="12"/>
      <c r="SI38" s="12"/>
      <c r="SJ38" s="12"/>
      <c r="SK38" s="12"/>
      <c r="SL38" s="12"/>
      <c r="SM38" s="12"/>
      <c r="SN38" s="12"/>
      <c r="SO38" s="12"/>
      <c r="SP38" s="12"/>
      <c r="SQ38" s="12"/>
      <c r="SR38" s="12"/>
      <c r="SS38" s="12"/>
      <c r="ST38" s="12"/>
      <c r="SU38" s="12"/>
      <c r="SV38" s="12"/>
      <c r="SW38" s="12"/>
      <c r="SX38" s="12"/>
      <c r="SY38" s="12"/>
      <c r="SZ38" s="12"/>
      <c r="TA38" s="12"/>
      <c r="TB38" s="12"/>
      <c r="TC38" s="12"/>
      <c r="TD38" s="12"/>
      <c r="TE38" s="12"/>
      <c r="TF38" s="12"/>
      <c r="TG38" s="12"/>
      <c r="TH38" s="12"/>
      <c r="TI38" s="12"/>
      <c r="TJ38" s="12"/>
      <c r="TK38" s="12"/>
      <c r="TL38" s="12"/>
      <c r="TM38" s="12"/>
      <c r="TN38" s="12"/>
      <c r="TO38" s="12"/>
      <c r="TP38" s="12"/>
      <c r="TQ38" s="12"/>
      <c r="TR38" s="12"/>
      <c r="TS38" s="12"/>
      <c r="TT38" s="12"/>
      <c r="TU38" s="12"/>
      <c r="TV38" s="12"/>
      <c r="TW38" s="12"/>
      <c r="TX38" s="12"/>
      <c r="TY38" s="12"/>
      <c r="TZ38" s="12"/>
      <c r="UA38" s="12"/>
      <c r="UB38" s="12"/>
      <c r="UC38" s="12"/>
      <c r="UD38" s="12"/>
      <c r="UE38" s="12"/>
      <c r="UF38" s="12"/>
      <c r="UG38" s="12"/>
      <c r="UH38" s="12"/>
      <c r="UI38" s="12"/>
      <c r="UJ38" s="12"/>
      <c r="UK38" s="12"/>
      <c r="UL38" s="12"/>
      <c r="UM38" s="12"/>
      <c r="UN38" s="12"/>
      <c r="UO38" s="12"/>
      <c r="UP38" s="12"/>
      <c r="UQ38" s="12"/>
      <c r="UR38" s="12"/>
      <c r="US38" s="12"/>
      <c r="UT38" s="12"/>
      <c r="UU38" s="12"/>
      <c r="UV38" s="12"/>
      <c r="UW38" s="12"/>
      <c r="UX38" s="12"/>
      <c r="UY38" s="12"/>
      <c r="UZ38" s="12"/>
      <c r="VA38" s="12"/>
      <c r="VB38" s="12"/>
      <c r="VC38" s="12"/>
      <c r="VD38" s="12"/>
      <c r="VE38" s="12"/>
      <c r="VF38" s="12"/>
      <c r="VG38" s="12"/>
      <c r="VH38" s="12"/>
      <c r="VI38" s="12"/>
      <c r="VJ38" s="12"/>
      <c r="VK38" s="12"/>
      <c r="VL38" s="12"/>
      <c r="VM38" s="12"/>
      <c r="VN38" s="12"/>
      <c r="VO38" s="12"/>
      <c r="VP38" s="12"/>
      <c r="VQ38" s="12"/>
      <c r="VR38" s="12"/>
      <c r="VS38" s="12"/>
      <c r="VT38" s="12"/>
      <c r="VU38" s="12"/>
      <c r="VV38" s="12"/>
      <c r="VW38" s="12"/>
      <c r="VX38" s="12"/>
      <c r="VY38" s="12"/>
      <c r="VZ38" s="12"/>
      <c r="WA38" s="12"/>
      <c r="WB38" s="12"/>
      <c r="WC38" s="12"/>
      <c r="WD38" s="12"/>
      <c r="WE38" s="12"/>
      <c r="WF38" s="12"/>
      <c r="WG38" s="12"/>
      <c r="WH38" s="12"/>
      <c r="WI38" s="12"/>
      <c r="WJ38" s="12"/>
      <c r="WK38" s="12"/>
      <c r="WL38" s="12"/>
      <c r="WM38" s="12"/>
      <c r="WN38" s="12"/>
      <c r="WO38" s="12"/>
      <c r="WP38" s="12"/>
      <c r="WQ38" s="12"/>
      <c r="WR38" s="12"/>
      <c r="WS38" s="12"/>
      <c r="WT38" s="12"/>
      <c r="WU38" s="12"/>
      <c r="WV38" s="12"/>
      <c r="WW38" s="12"/>
      <c r="WX38" s="12"/>
      <c r="WY38" s="12"/>
      <c r="WZ38" s="12"/>
      <c r="XA38" s="12"/>
      <c r="XB38" s="12"/>
      <c r="XC38" s="12"/>
      <c r="XD38" s="12"/>
      <c r="XE38" s="12"/>
      <c r="XF38" s="12"/>
      <c r="XG38" s="12"/>
      <c r="XH38" s="12"/>
      <c r="XI38" s="12"/>
      <c r="XJ38" s="12"/>
      <c r="XK38" s="12"/>
      <c r="XL38" s="12"/>
      <c r="XM38" s="12"/>
      <c r="XN38" s="12"/>
      <c r="XO38" s="12"/>
      <c r="XP38" s="12"/>
      <c r="XQ38" s="12"/>
      <c r="XR38" s="12"/>
      <c r="XS38" s="12"/>
      <c r="XT38" s="12"/>
      <c r="XU38" s="12"/>
      <c r="XV38" s="12"/>
      <c r="XW38" s="12"/>
      <c r="XX38" s="12"/>
      <c r="XY38" s="12"/>
      <c r="XZ38" s="12"/>
      <c r="YA38" s="12"/>
      <c r="YB38" s="12"/>
      <c r="YC38" s="12"/>
      <c r="YD38" s="12"/>
      <c r="YE38" s="12"/>
      <c r="YF38" s="12"/>
      <c r="YG38" s="12"/>
      <c r="YH38" s="12"/>
      <c r="YI38" s="12"/>
      <c r="YJ38" s="12"/>
      <c r="YK38" s="12"/>
      <c r="YL38" s="12"/>
      <c r="YM38" s="12"/>
      <c r="YN38" s="12"/>
      <c r="YO38" s="12"/>
      <c r="YP38" s="12"/>
      <c r="YQ38" s="12"/>
      <c r="YR38" s="12"/>
      <c r="YS38" s="12"/>
      <c r="YT38" s="12"/>
      <c r="YU38" s="12"/>
      <c r="YV38" s="12"/>
      <c r="YW38" s="12"/>
      <c r="YX38" s="12"/>
      <c r="YY38" s="12"/>
      <c r="YZ38" s="12"/>
      <c r="ZA38" s="12"/>
      <c r="ZB38" s="12"/>
      <c r="ZC38" s="12"/>
      <c r="ZD38" s="12"/>
      <c r="ZE38" s="12"/>
      <c r="ZF38" s="12"/>
      <c r="ZG38" s="12"/>
      <c r="ZH38" s="12"/>
      <c r="ZI38" s="12"/>
      <c r="ZJ38" s="12"/>
      <c r="ZK38" s="12"/>
      <c r="ZL38" s="12"/>
      <c r="ZM38" s="12"/>
      <c r="ZN38" s="12"/>
      <c r="ZO38" s="12"/>
      <c r="ZP38" s="12"/>
      <c r="ZQ38" s="12"/>
      <c r="ZR38" s="12"/>
      <c r="ZS38" s="12"/>
      <c r="ZT38" s="12"/>
      <c r="ZU38" s="12"/>
      <c r="ZV38" s="12"/>
      <c r="ZW38" s="12"/>
      <c r="ZX38" s="12"/>
      <c r="ZY38" s="12"/>
      <c r="ZZ38" s="12"/>
      <c r="AAA38" s="12"/>
      <c r="AAB38" s="12"/>
      <c r="AAC38" s="12"/>
      <c r="AAD38" s="12"/>
      <c r="AAE38" s="12"/>
      <c r="AAF38" s="12"/>
      <c r="AAG38" s="12"/>
      <c r="AAH38" s="12"/>
      <c r="AAI38" s="12"/>
      <c r="AAJ38" s="12"/>
      <c r="AAK38" s="12"/>
      <c r="AAL38" s="12"/>
      <c r="AAM38" s="12"/>
      <c r="AAN38" s="12"/>
      <c r="AAO38" s="12"/>
      <c r="AAP38" s="12"/>
      <c r="AAQ38" s="12"/>
      <c r="AAR38" s="12"/>
      <c r="AAS38" s="12"/>
      <c r="AAT38" s="12"/>
      <c r="AAU38" s="12"/>
      <c r="AAV38" s="12"/>
      <c r="AAW38" s="12"/>
      <c r="AAX38" s="12"/>
      <c r="AAY38" s="12"/>
      <c r="AAZ38" s="12"/>
      <c r="ABA38" s="12"/>
      <c r="ABB38" s="12"/>
      <c r="ABC38" s="12"/>
      <c r="ABD38" s="12"/>
      <c r="ABE38" s="12"/>
      <c r="ABF38" s="12"/>
      <c r="ABG38" s="12"/>
      <c r="ABH38" s="12"/>
      <c r="ABI38" s="12"/>
      <c r="ABJ38" s="12"/>
      <c r="ABK38" s="12"/>
      <c r="ABL38" s="12"/>
      <c r="ABM38" s="12"/>
      <c r="ABN38" s="12"/>
      <c r="ABO38" s="12"/>
      <c r="ABP38" s="12"/>
      <c r="ABQ38" s="12"/>
      <c r="ABR38" s="12"/>
      <c r="ABS38" s="12"/>
      <c r="ABT38" s="12"/>
      <c r="ABU38" s="12"/>
      <c r="ABV38" s="12"/>
      <c r="ABW38" s="12"/>
      <c r="ABX38" s="12"/>
      <c r="ABY38" s="12"/>
      <c r="ABZ38" s="12"/>
      <c r="ACA38" s="12"/>
      <c r="ACB38" s="12"/>
      <c r="ACC38" s="12"/>
      <c r="ACD38" s="12"/>
      <c r="ACE38" s="12"/>
      <c r="ACF38" s="12"/>
      <c r="ACG38" s="12"/>
      <c r="ACH38" s="12"/>
      <c r="ACI38" s="12"/>
      <c r="ACJ38" s="12"/>
      <c r="ACK38" s="12"/>
      <c r="ACL38" s="12"/>
      <c r="ACM38" s="12"/>
      <c r="ACN38" s="12"/>
      <c r="ACO38" s="12"/>
      <c r="ACP38" s="12"/>
      <c r="ACQ38" s="12"/>
      <c r="ACR38" s="12"/>
      <c r="ACS38" s="12"/>
      <c r="ACT38" s="12"/>
      <c r="ACU38" s="12"/>
      <c r="ACV38" s="12"/>
      <c r="ACW38" s="12"/>
      <c r="ACX38" s="12"/>
      <c r="ACY38" s="12"/>
      <c r="ACZ38" s="12"/>
      <c r="ADA38" s="12"/>
      <c r="ADB38" s="12"/>
      <c r="ADC38" s="12"/>
      <c r="ADD38" s="12"/>
      <c r="ADE38" s="12"/>
      <c r="ADF38" s="12"/>
      <c r="ADG38" s="12"/>
      <c r="ADH38" s="12"/>
      <c r="ADI38" s="12"/>
      <c r="ADJ38" s="12"/>
      <c r="ADK38" s="12"/>
      <c r="ADL38" s="12"/>
      <c r="ADM38" s="12"/>
      <c r="ADN38" s="12"/>
      <c r="ADO38" s="12"/>
      <c r="ADP38" s="12"/>
      <c r="ADQ38" s="12"/>
      <c r="ADR38" s="12"/>
      <c r="ADS38" s="12"/>
      <c r="ADT38" s="12"/>
      <c r="ADU38" s="12"/>
      <c r="ADV38" s="12"/>
      <c r="ADW38" s="12"/>
      <c r="ADX38" s="12"/>
      <c r="ADY38" s="12"/>
      <c r="ADZ38" s="12"/>
      <c r="AEA38" s="12"/>
      <c r="AEB38" s="12"/>
      <c r="AEC38" s="12"/>
      <c r="AED38" s="12"/>
      <c r="AEE38" s="12"/>
      <c r="AEF38" s="12"/>
      <c r="AEG38" s="12"/>
      <c r="AEH38" s="12"/>
      <c r="AEI38" s="12"/>
      <c r="AEJ38" s="12"/>
      <c r="AEK38" s="12"/>
      <c r="AEL38" s="12"/>
      <c r="AEM38" s="12"/>
      <c r="AEN38" s="12"/>
      <c r="AEO38" s="12"/>
      <c r="AEP38" s="12"/>
      <c r="AEQ38" s="12"/>
      <c r="AER38" s="12"/>
      <c r="AES38" s="12"/>
      <c r="AET38" s="12"/>
      <c r="AEU38" s="12"/>
      <c r="AEV38" s="12"/>
    </row>
    <row r="39" spans="1:828" s="27" customFormat="1" ht="18" x14ac:dyDescent="0.2">
      <c r="A39" s="28"/>
      <c r="D39" s="29"/>
      <c r="E39" s="23"/>
      <c r="F39" s="27" t="s">
        <v>30</v>
      </c>
      <c r="G39" s="29">
        <v>151</v>
      </c>
      <c r="H39" s="30"/>
      <c r="I39" s="23"/>
      <c r="J39" s="29"/>
      <c r="K39" s="30"/>
      <c r="L39" s="23" t="s">
        <v>38</v>
      </c>
      <c r="M39" s="29">
        <v>996</v>
      </c>
      <c r="N39" s="47">
        <f t="shared" si="1"/>
        <v>1.2185674166370767E-3</v>
      </c>
      <c r="O39" s="47">
        <f t="shared" si="2"/>
        <v>8.54818222390058E-3</v>
      </c>
      <c r="P39" s="48"/>
      <c r="Q39"/>
      <c r="R39"/>
      <c r="S39"/>
      <c r="T39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2"/>
      <c r="FJ39" s="12"/>
      <c r="FK39" s="12"/>
      <c r="FL39" s="12"/>
      <c r="FM39" s="12"/>
      <c r="FN39" s="12"/>
      <c r="FO39" s="12"/>
      <c r="FP39" s="12"/>
      <c r="FQ39" s="12"/>
      <c r="FR39" s="12"/>
      <c r="FS39" s="12"/>
      <c r="FT39" s="12"/>
      <c r="FU39" s="12"/>
      <c r="FV39" s="12"/>
      <c r="FW39" s="12"/>
      <c r="FX39" s="12"/>
      <c r="FY39" s="12"/>
      <c r="FZ39" s="12"/>
      <c r="GA39" s="12"/>
      <c r="GB39" s="12"/>
      <c r="GC39" s="12"/>
      <c r="GD39" s="12"/>
      <c r="GE39" s="12"/>
      <c r="GF39" s="12"/>
      <c r="GG39" s="12"/>
      <c r="GH39" s="12"/>
      <c r="GI39" s="12"/>
      <c r="GJ39" s="12"/>
      <c r="GK39" s="12"/>
      <c r="GL39" s="12"/>
      <c r="GM39" s="12"/>
      <c r="GN39" s="12"/>
      <c r="GO39" s="12"/>
      <c r="GP39" s="12"/>
      <c r="GQ39" s="12"/>
      <c r="GR39" s="12"/>
      <c r="GS39" s="12"/>
      <c r="GT39" s="12"/>
      <c r="GU39" s="12"/>
      <c r="GV39" s="12"/>
      <c r="GW39" s="12"/>
      <c r="GX39" s="12"/>
      <c r="GY39" s="12"/>
      <c r="GZ39" s="12"/>
      <c r="HA39" s="12"/>
      <c r="HB39" s="12"/>
      <c r="HC39" s="12"/>
      <c r="HD39" s="12"/>
      <c r="HE39" s="12"/>
      <c r="HF39" s="12"/>
      <c r="HG39" s="12"/>
      <c r="HH39" s="12"/>
      <c r="HI39" s="12"/>
      <c r="HJ39" s="12"/>
      <c r="HK39" s="12"/>
      <c r="HL39" s="12"/>
      <c r="HM39" s="12"/>
      <c r="HN39" s="12"/>
      <c r="HO39" s="12"/>
      <c r="HP39" s="12"/>
      <c r="HQ39" s="12"/>
      <c r="HR39" s="12"/>
      <c r="HS39" s="12"/>
      <c r="HT39" s="12"/>
      <c r="HU39" s="12"/>
      <c r="HV39" s="12"/>
      <c r="HW39" s="12"/>
      <c r="HX39" s="12"/>
      <c r="HY39" s="12"/>
      <c r="HZ39" s="12"/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  <c r="IL39" s="12"/>
      <c r="IM39" s="12"/>
      <c r="IN39" s="12"/>
      <c r="IO39" s="12"/>
      <c r="IP39" s="12"/>
      <c r="IQ39" s="12"/>
      <c r="IR39" s="12"/>
      <c r="IS39" s="12"/>
      <c r="IT39" s="12"/>
      <c r="IU39" s="12"/>
      <c r="IV39" s="12"/>
      <c r="IW39" s="12"/>
      <c r="IX39" s="12"/>
      <c r="IY39" s="12"/>
      <c r="IZ39" s="12"/>
      <c r="JA39" s="12"/>
      <c r="JB39" s="12"/>
      <c r="JC39" s="12"/>
      <c r="JD39" s="12"/>
      <c r="JE39" s="12"/>
      <c r="JF39" s="12"/>
      <c r="JG39" s="12"/>
      <c r="JH39" s="12"/>
      <c r="JI39" s="12"/>
      <c r="JJ39" s="12"/>
      <c r="JK39" s="12"/>
      <c r="JL39" s="12"/>
      <c r="JM39" s="12"/>
      <c r="JN39" s="12"/>
      <c r="JO39" s="12"/>
      <c r="JP39" s="12"/>
      <c r="JQ39" s="12"/>
      <c r="JR39" s="12"/>
      <c r="JS39" s="12"/>
      <c r="JT39" s="12"/>
      <c r="JU39" s="12"/>
      <c r="JV39" s="12"/>
      <c r="JW39" s="12"/>
      <c r="JX39" s="12"/>
      <c r="JY39" s="12"/>
      <c r="JZ39" s="12"/>
      <c r="KA39" s="12"/>
      <c r="KB39" s="12"/>
      <c r="KC39" s="12"/>
      <c r="KD39" s="12"/>
      <c r="KE39" s="12"/>
      <c r="KF39" s="12"/>
      <c r="KG39" s="12"/>
      <c r="KH39" s="12"/>
      <c r="KI39" s="12"/>
      <c r="KJ39" s="12"/>
      <c r="KK39" s="12"/>
      <c r="KL39" s="12"/>
      <c r="KM39" s="12"/>
      <c r="KN39" s="12"/>
      <c r="KO39" s="12"/>
      <c r="KP39" s="12"/>
      <c r="KQ39" s="12"/>
      <c r="KR39" s="12"/>
      <c r="KS39" s="12"/>
      <c r="KT39" s="12"/>
      <c r="KU39" s="12"/>
      <c r="KV39" s="12"/>
      <c r="KW39" s="12"/>
      <c r="KX39" s="12"/>
      <c r="KY39" s="12"/>
      <c r="KZ39" s="12"/>
      <c r="LA39" s="12"/>
      <c r="LB39" s="12"/>
      <c r="LC39" s="12"/>
      <c r="LD39" s="12"/>
      <c r="LE39" s="12"/>
      <c r="LF39" s="12"/>
      <c r="LG39" s="12"/>
      <c r="LH39" s="12"/>
      <c r="LI39" s="12"/>
      <c r="LJ39" s="12"/>
      <c r="LK39" s="12"/>
      <c r="LL39" s="12"/>
      <c r="LM39" s="12"/>
      <c r="LN39" s="12"/>
      <c r="LO39" s="12"/>
      <c r="LP39" s="12"/>
      <c r="LQ39" s="12"/>
      <c r="LR39" s="12"/>
      <c r="LS39" s="12"/>
      <c r="LT39" s="12"/>
      <c r="LU39" s="12"/>
      <c r="LV39" s="12"/>
      <c r="LW39" s="12"/>
      <c r="LX39" s="12"/>
      <c r="LY39" s="12"/>
      <c r="LZ39" s="12"/>
      <c r="MA39" s="12"/>
      <c r="MB39" s="12"/>
      <c r="MC39" s="12"/>
      <c r="MD39" s="12"/>
      <c r="ME39" s="12"/>
      <c r="MF39" s="12"/>
      <c r="MG39" s="12"/>
      <c r="MH39" s="12"/>
      <c r="MI39" s="12"/>
      <c r="MJ39" s="12"/>
      <c r="MK39" s="12"/>
      <c r="ML39" s="12"/>
      <c r="MM39" s="12"/>
      <c r="MN39" s="12"/>
      <c r="MO39" s="12"/>
      <c r="MP39" s="12"/>
      <c r="MQ39" s="12"/>
      <c r="MR39" s="12"/>
      <c r="MS39" s="12"/>
      <c r="MT39" s="12"/>
      <c r="MU39" s="12"/>
      <c r="MV39" s="12"/>
      <c r="MW39" s="12"/>
      <c r="MX39" s="12"/>
      <c r="MY39" s="12"/>
      <c r="MZ39" s="12"/>
      <c r="NA39" s="12"/>
      <c r="NB39" s="12"/>
      <c r="NC39" s="12"/>
      <c r="ND39" s="12"/>
      <c r="NE39" s="12"/>
      <c r="NF39" s="12"/>
      <c r="NG39" s="12"/>
      <c r="NH39" s="12"/>
      <c r="NI39" s="12"/>
      <c r="NJ39" s="12"/>
      <c r="NK39" s="12"/>
      <c r="NL39" s="12"/>
      <c r="NM39" s="12"/>
      <c r="NN39" s="12"/>
      <c r="NO39" s="12"/>
      <c r="NP39" s="12"/>
      <c r="NQ39" s="12"/>
      <c r="NR39" s="12"/>
      <c r="NS39" s="12"/>
      <c r="NT39" s="12"/>
      <c r="NU39" s="12"/>
      <c r="NV39" s="12"/>
      <c r="NW39" s="12"/>
      <c r="NX39" s="12"/>
      <c r="NY39" s="12"/>
      <c r="NZ39" s="12"/>
      <c r="OA39" s="12"/>
      <c r="OB39" s="12"/>
      <c r="OC39" s="12"/>
      <c r="OD39" s="12"/>
      <c r="OE39" s="12"/>
      <c r="OF39" s="12"/>
      <c r="OG39" s="12"/>
      <c r="OH39" s="12"/>
      <c r="OI39" s="12"/>
      <c r="OJ39" s="12"/>
      <c r="OK39" s="12"/>
      <c r="OL39" s="12"/>
      <c r="OM39" s="12"/>
      <c r="ON39" s="12"/>
      <c r="OO39" s="12"/>
      <c r="OP39" s="12"/>
      <c r="OQ39" s="12"/>
      <c r="OR39" s="12"/>
      <c r="OS39" s="12"/>
      <c r="OT39" s="12"/>
      <c r="OU39" s="12"/>
      <c r="OV39" s="12"/>
      <c r="OW39" s="12"/>
      <c r="OX39" s="12"/>
      <c r="OY39" s="12"/>
      <c r="OZ39" s="12"/>
      <c r="PA39" s="12"/>
      <c r="PB39" s="12"/>
      <c r="PC39" s="12"/>
      <c r="PD39" s="12"/>
      <c r="PE39" s="12"/>
      <c r="PF39" s="12"/>
      <c r="PG39" s="12"/>
      <c r="PH39" s="12"/>
      <c r="PI39" s="12"/>
      <c r="PJ39" s="12"/>
      <c r="PK39" s="12"/>
      <c r="PL39" s="12"/>
      <c r="PM39" s="12"/>
      <c r="PN39" s="12"/>
      <c r="PO39" s="12"/>
      <c r="PP39" s="12"/>
      <c r="PQ39" s="12"/>
      <c r="PR39" s="12"/>
      <c r="PS39" s="12"/>
      <c r="PT39" s="12"/>
      <c r="PU39" s="12"/>
      <c r="PV39" s="12"/>
      <c r="PW39" s="12"/>
      <c r="PX39" s="12"/>
      <c r="PY39" s="12"/>
      <c r="PZ39" s="12"/>
      <c r="QA39" s="12"/>
      <c r="QB39" s="12"/>
      <c r="QC39" s="12"/>
      <c r="QD39" s="12"/>
      <c r="QE39" s="12"/>
      <c r="QF39" s="12"/>
      <c r="QG39" s="12"/>
      <c r="QH39" s="12"/>
      <c r="QI39" s="12"/>
      <c r="QJ39" s="12"/>
      <c r="QK39" s="12"/>
      <c r="QL39" s="12"/>
      <c r="QM39" s="12"/>
      <c r="QN39" s="12"/>
      <c r="QO39" s="12"/>
      <c r="QP39" s="12"/>
      <c r="QQ39" s="12"/>
      <c r="QR39" s="12"/>
      <c r="QS39" s="12"/>
      <c r="QT39" s="12"/>
      <c r="QU39" s="12"/>
      <c r="QV39" s="12"/>
      <c r="QW39" s="12"/>
      <c r="QX39" s="12"/>
      <c r="QY39" s="12"/>
      <c r="QZ39" s="12"/>
      <c r="RA39" s="12"/>
      <c r="RB39" s="12"/>
      <c r="RC39" s="12"/>
      <c r="RD39" s="12"/>
      <c r="RE39" s="12"/>
      <c r="RF39" s="12"/>
      <c r="RG39" s="12"/>
      <c r="RH39" s="12"/>
      <c r="RI39" s="12"/>
      <c r="RJ39" s="12"/>
      <c r="RK39" s="12"/>
      <c r="RL39" s="12"/>
      <c r="RM39" s="12"/>
      <c r="RN39" s="12"/>
      <c r="RO39" s="12"/>
      <c r="RP39" s="12"/>
      <c r="RQ39" s="12"/>
      <c r="RR39" s="12"/>
      <c r="RS39" s="12"/>
      <c r="RT39" s="12"/>
      <c r="RU39" s="12"/>
      <c r="RV39" s="12"/>
      <c r="RW39" s="12"/>
      <c r="RX39" s="12"/>
      <c r="RY39" s="12"/>
      <c r="RZ39" s="12"/>
      <c r="SA39" s="12"/>
      <c r="SB39" s="12"/>
      <c r="SC39" s="12"/>
      <c r="SD39" s="12"/>
      <c r="SE39" s="12"/>
      <c r="SF39" s="12"/>
      <c r="SG39" s="12"/>
      <c r="SH39" s="12"/>
      <c r="SI39" s="12"/>
      <c r="SJ39" s="12"/>
      <c r="SK39" s="12"/>
      <c r="SL39" s="12"/>
      <c r="SM39" s="12"/>
      <c r="SN39" s="12"/>
      <c r="SO39" s="12"/>
      <c r="SP39" s="12"/>
      <c r="SQ39" s="12"/>
      <c r="SR39" s="12"/>
      <c r="SS39" s="12"/>
      <c r="ST39" s="12"/>
      <c r="SU39" s="12"/>
      <c r="SV39" s="12"/>
      <c r="SW39" s="12"/>
      <c r="SX39" s="12"/>
      <c r="SY39" s="12"/>
      <c r="SZ39" s="12"/>
      <c r="TA39" s="12"/>
      <c r="TB39" s="12"/>
      <c r="TC39" s="12"/>
      <c r="TD39" s="12"/>
      <c r="TE39" s="12"/>
      <c r="TF39" s="12"/>
      <c r="TG39" s="12"/>
      <c r="TH39" s="12"/>
      <c r="TI39" s="12"/>
      <c r="TJ39" s="12"/>
      <c r="TK39" s="12"/>
      <c r="TL39" s="12"/>
      <c r="TM39" s="12"/>
      <c r="TN39" s="12"/>
      <c r="TO39" s="12"/>
      <c r="TP39" s="12"/>
      <c r="TQ39" s="12"/>
      <c r="TR39" s="12"/>
      <c r="TS39" s="12"/>
      <c r="TT39" s="12"/>
      <c r="TU39" s="12"/>
      <c r="TV39" s="12"/>
      <c r="TW39" s="12"/>
      <c r="TX39" s="12"/>
      <c r="TY39" s="12"/>
      <c r="TZ39" s="12"/>
      <c r="UA39" s="12"/>
      <c r="UB39" s="12"/>
      <c r="UC39" s="12"/>
      <c r="UD39" s="12"/>
      <c r="UE39" s="12"/>
      <c r="UF39" s="12"/>
      <c r="UG39" s="12"/>
      <c r="UH39" s="12"/>
      <c r="UI39" s="12"/>
      <c r="UJ39" s="12"/>
      <c r="UK39" s="12"/>
      <c r="UL39" s="12"/>
      <c r="UM39" s="12"/>
      <c r="UN39" s="12"/>
      <c r="UO39" s="12"/>
      <c r="UP39" s="12"/>
      <c r="UQ39" s="12"/>
      <c r="UR39" s="12"/>
      <c r="US39" s="12"/>
      <c r="UT39" s="12"/>
      <c r="UU39" s="12"/>
      <c r="UV39" s="12"/>
      <c r="UW39" s="12"/>
      <c r="UX39" s="12"/>
      <c r="UY39" s="12"/>
      <c r="UZ39" s="12"/>
      <c r="VA39" s="12"/>
      <c r="VB39" s="12"/>
      <c r="VC39" s="12"/>
      <c r="VD39" s="12"/>
      <c r="VE39" s="12"/>
      <c r="VF39" s="12"/>
      <c r="VG39" s="12"/>
      <c r="VH39" s="12"/>
      <c r="VI39" s="12"/>
      <c r="VJ39" s="12"/>
      <c r="VK39" s="12"/>
      <c r="VL39" s="12"/>
      <c r="VM39" s="12"/>
      <c r="VN39" s="12"/>
      <c r="VO39" s="12"/>
      <c r="VP39" s="12"/>
      <c r="VQ39" s="12"/>
      <c r="VR39" s="12"/>
      <c r="VS39" s="12"/>
      <c r="VT39" s="12"/>
      <c r="VU39" s="12"/>
      <c r="VV39" s="12"/>
      <c r="VW39" s="12"/>
      <c r="VX39" s="12"/>
      <c r="VY39" s="12"/>
      <c r="VZ39" s="12"/>
      <c r="WA39" s="12"/>
      <c r="WB39" s="12"/>
      <c r="WC39" s="12"/>
      <c r="WD39" s="12"/>
      <c r="WE39" s="12"/>
      <c r="WF39" s="12"/>
      <c r="WG39" s="12"/>
      <c r="WH39" s="12"/>
      <c r="WI39" s="12"/>
      <c r="WJ39" s="12"/>
      <c r="WK39" s="12"/>
      <c r="WL39" s="12"/>
      <c r="WM39" s="12"/>
      <c r="WN39" s="12"/>
      <c r="WO39" s="12"/>
      <c r="WP39" s="12"/>
      <c r="WQ39" s="12"/>
      <c r="WR39" s="12"/>
      <c r="WS39" s="12"/>
      <c r="WT39" s="12"/>
      <c r="WU39" s="12"/>
      <c r="WV39" s="12"/>
      <c r="WW39" s="12"/>
      <c r="WX39" s="12"/>
      <c r="WY39" s="12"/>
      <c r="WZ39" s="12"/>
      <c r="XA39" s="12"/>
      <c r="XB39" s="12"/>
      <c r="XC39" s="12"/>
      <c r="XD39" s="12"/>
      <c r="XE39" s="12"/>
      <c r="XF39" s="12"/>
      <c r="XG39" s="12"/>
      <c r="XH39" s="12"/>
      <c r="XI39" s="12"/>
      <c r="XJ39" s="12"/>
      <c r="XK39" s="12"/>
      <c r="XL39" s="12"/>
      <c r="XM39" s="12"/>
      <c r="XN39" s="12"/>
      <c r="XO39" s="12"/>
      <c r="XP39" s="12"/>
      <c r="XQ39" s="12"/>
      <c r="XR39" s="12"/>
      <c r="XS39" s="12"/>
      <c r="XT39" s="12"/>
      <c r="XU39" s="12"/>
      <c r="XV39" s="12"/>
      <c r="XW39" s="12"/>
      <c r="XX39" s="12"/>
      <c r="XY39" s="12"/>
      <c r="XZ39" s="12"/>
      <c r="YA39" s="12"/>
      <c r="YB39" s="12"/>
      <c r="YC39" s="12"/>
      <c r="YD39" s="12"/>
      <c r="YE39" s="12"/>
      <c r="YF39" s="12"/>
      <c r="YG39" s="12"/>
      <c r="YH39" s="12"/>
      <c r="YI39" s="12"/>
      <c r="YJ39" s="12"/>
      <c r="YK39" s="12"/>
      <c r="YL39" s="12"/>
      <c r="YM39" s="12"/>
      <c r="YN39" s="12"/>
      <c r="YO39" s="12"/>
      <c r="YP39" s="12"/>
      <c r="YQ39" s="12"/>
      <c r="YR39" s="12"/>
      <c r="YS39" s="12"/>
      <c r="YT39" s="12"/>
      <c r="YU39" s="12"/>
      <c r="YV39" s="12"/>
      <c r="YW39" s="12"/>
      <c r="YX39" s="12"/>
      <c r="YY39" s="12"/>
      <c r="YZ39" s="12"/>
      <c r="ZA39" s="12"/>
      <c r="ZB39" s="12"/>
      <c r="ZC39" s="12"/>
      <c r="ZD39" s="12"/>
      <c r="ZE39" s="12"/>
      <c r="ZF39" s="12"/>
      <c r="ZG39" s="12"/>
      <c r="ZH39" s="12"/>
      <c r="ZI39" s="12"/>
      <c r="ZJ39" s="12"/>
      <c r="ZK39" s="12"/>
      <c r="ZL39" s="12"/>
      <c r="ZM39" s="12"/>
      <c r="ZN39" s="12"/>
      <c r="ZO39" s="12"/>
      <c r="ZP39" s="12"/>
      <c r="ZQ39" s="12"/>
      <c r="ZR39" s="12"/>
      <c r="ZS39" s="12"/>
      <c r="ZT39" s="12"/>
      <c r="ZU39" s="12"/>
      <c r="ZV39" s="12"/>
      <c r="ZW39" s="12"/>
      <c r="ZX39" s="12"/>
      <c r="ZY39" s="12"/>
      <c r="ZZ39" s="12"/>
      <c r="AAA39" s="12"/>
      <c r="AAB39" s="12"/>
      <c r="AAC39" s="12"/>
      <c r="AAD39" s="12"/>
      <c r="AAE39" s="12"/>
      <c r="AAF39" s="12"/>
      <c r="AAG39" s="12"/>
      <c r="AAH39" s="12"/>
      <c r="AAI39" s="12"/>
      <c r="AAJ39" s="12"/>
      <c r="AAK39" s="12"/>
      <c r="AAL39" s="12"/>
      <c r="AAM39" s="12"/>
      <c r="AAN39" s="12"/>
      <c r="AAO39" s="12"/>
      <c r="AAP39" s="12"/>
      <c r="AAQ39" s="12"/>
      <c r="AAR39" s="12"/>
      <c r="AAS39" s="12"/>
      <c r="AAT39" s="12"/>
      <c r="AAU39" s="12"/>
      <c r="AAV39" s="12"/>
      <c r="AAW39" s="12"/>
      <c r="AAX39" s="12"/>
      <c r="AAY39" s="12"/>
      <c r="AAZ39" s="12"/>
      <c r="ABA39" s="12"/>
      <c r="ABB39" s="12"/>
      <c r="ABC39" s="12"/>
      <c r="ABD39" s="12"/>
      <c r="ABE39" s="12"/>
      <c r="ABF39" s="12"/>
      <c r="ABG39" s="12"/>
      <c r="ABH39" s="12"/>
      <c r="ABI39" s="12"/>
      <c r="ABJ39" s="12"/>
      <c r="ABK39" s="12"/>
      <c r="ABL39" s="12"/>
      <c r="ABM39" s="12"/>
      <c r="ABN39" s="12"/>
      <c r="ABO39" s="12"/>
      <c r="ABP39" s="12"/>
      <c r="ABQ39" s="12"/>
      <c r="ABR39" s="12"/>
      <c r="ABS39" s="12"/>
      <c r="ABT39" s="12"/>
      <c r="ABU39" s="12"/>
      <c r="ABV39" s="12"/>
      <c r="ABW39" s="12"/>
      <c r="ABX39" s="12"/>
      <c r="ABY39" s="12"/>
      <c r="ABZ39" s="12"/>
      <c r="ACA39" s="12"/>
      <c r="ACB39" s="12"/>
      <c r="ACC39" s="12"/>
      <c r="ACD39" s="12"/>
      <c r="ACE39" s="12"/>
      <c r="ACF39" s="12"/>
      <c r="ACG39" s="12"/>
      <c r="ACH39" s="12"/>
      <c r="ACI39" s="12"/>
      <c r="ACJ39" s="12"/>
      <c r="ACK39" s="12"/>
      <c r="ACL39" s="12"/>
      <c r="ACM39" s="12"/>
      <c r="ACN39" s="12"/>
      <c r="ACO39" s="12"/>
      <c r="ACP39" s="12"/>
      <c r="ACQ39" s="12"/>
      <c r="ACR39" s="12"/>
      <c r="ACS39" s="12"/>
      <c r="ACT39" s="12"/>
      <c r="ACU39" s="12"/>
      <c r="ACV39" s="12"/>
      <c r="ACW39" s="12"/>
      <c r="ACX39" s="12"/>
      <c r="ACY39" s="12"/>
      <c r="ACZ39" s="12"/>
      <c r="ADA39" s="12"/>
      <c r="ADB39" s="12"/>
      <c r="ADC39" s="12"/>
      <c r="ADD39" s="12"/>
      <c r="ADE39" s="12"/>
      <c r="ADF39" s="12"/>
      <c r="ADG39" s="12"/>
      <c r="ADH39" s="12"/>
      <c r="ADI39" s="12"/>
      <c r="ADJ39" s="12"/>
      <c r="ADK39" s="12"/>
      <c r="ADL39" s="12"/>
      <c r="ADM39" s="12"/>
      <c r="ADN39" s="12"/>
      <c r="ADO39" s="12"/>
      <c r="ADP39" s="12"/>
      <c r="ADQ39" s="12"/>
      <c r="ADR39" s="12"/>
      <c r="ADS39" s="12"/>
      <c r="ADT39" s="12"/>
      <c r="ADU39" s="12"/>
      <c r="ADV39" s="12"/>
      <c r="ADW39" s="12"/>
      <c r="ADX39" s="12"/>
      <c r="ADY39" s="12"/>
      <c r="ADZ39" s="12"/>
      <c r="AEA39" s="12"/>
      <c r="AEB39" s="12"/>
      <c r="AEC39" s="12"/>
      <c r="AED39" s="12"/>
      <c r="AEE39" s="12"/>
      <c r="AEF39" s="12"/>
      <c r="AEG39" s="12"/>
      <c r="AEH39" s="12"/>
      <c r="AEI39" s="12"/>
      <c r="AEJ39" s="12"/>
      <c r="AEK39" s="12"/>
      <c r="AEL39" s="12"/>
      <c r="AEM39" s="12"/>
      <c r="AEN39" s="12"/>
      <c r="AEO39" s="12"/>
      <c r="AEP39" s="12"/>
      <c r="AEQ39" s="12"/>
      <c r="AER39" s="12"/>
      <c r="AES39" s="12"/>
      <c r="AET39" s="12"/>
      <c r="AEU39" s="12"/>
      <c r="AEV39" s="12"/>
    </row>
    <row r="40" spans="1:828" s="27" customFormat="1" ht="18" x14ac:dyDescent="0.2">
      <c r="A40" s="28"/>
      <c r="D40" s="29"/>
      <c r="E40" s="23"/>
      <c r="F40" s="23" t="s">
        <v>74</v>
      </c>
      <c r="G40" s="29">
        <v>13</v>
      </c>
      <c r="H40" s="30"/>
      <c r="I40" s="23"/>
      <c r="K40" s="30"/>
      <c r="L40" s="23" t="s">
        <v>39</v>
      </c>
      <c r="M40" s="29">
        <v>190</v>
      </c>
      <c r="N40" s="47">
        <f t="shared" si="1"/>
        <v>1.049097775912715E-4</v>
      </c>
      <c r="O40" s="47">
        <f t="shared" si="2"/>
        <v>1.6306773318685846E-3</v>
      </c>
      <c r="P40" s="48"/>
      <c r="Q40"/>
      <c r="R40"/>
      <c r="S40"/>
      <c r="T40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2"/>
      <c r="FJ40" s="12"/>
      <c r="FK40" s="12"/>
      <c r="FL40" s="12"/>
      <c r="FM40" s="12"/>
      <c r="FN40" s="12"/>
      <c r="FO40" s="12"/>
      <c r="FP40" s="12"/>
      <c r="FQ40" s="12"/>
      <c r="FR40" s="12"/>
      <c r="FS40" s="12"/>
      <c r="FT40" s="12"/>
      <c r="FU40" s="12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2"/>
      <c r="GG40" s="12"/>
      <c r="GH40" s="12"/>
      <c r="GI40" s="12"/>
      <c r="GJ40" s="12"/>
      <c r="GK40" s="12"/>
      <c r="GL40" s="12"/>
      <c r="GM40" s="12"/>
      <c r="GN40" s="12"/>
      <c r="GO40" s="12"/>
      <c r="GP40" s="12"/>
      <c r="GQ40" s="12"/>
      <c r="GR40" s="12"/>
      <c r="GS40" s="12"/>
      <c r="GT40" s="12"/>
      <c r="GU40" s="12"/>
      <c r="GV40" s="12"/>
      <c r="GW40" s="12"/>
      <c r="GX40" s="12"/>
      <c r="GY40" s="12"/>
      <c r="GZ40" s="12"/>
      <c r="HA40" s="12"/>
      <c r="HB40" s="12"/>
      <c r="HC40" s="12"/>
      <c r="HD40" s="12"/>
      <c r="HE40" s="12"/>
      <c r="HF40" s="12"/>
      <c r="HG40" s="12"/>
      <c r="HH40" s="12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2"/>
      <c r="HT40" s="12"/>
      <c r="HU40" s="12"/>
      <c r="HV40" s="12"/>
      <c r="HW40" s="12"/>
      <c r="HX40" s="12"/>
      <c r="HY40" s="12"/>
      <c r="HZ40" s="12"/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  <c r="IL40" s="12"/>
      <c r="IM40" s="12"/>
      <c r="IN40" s="12"/>
      <c r="IO40" s="12"/>
      <c r="IP40" s="12"/>
      <c r="IQ40" s="12"/>
      <c r="IR40" s="12"/>
      <c r="IS40" s="12"/>
      <c r="IT40" s="12"/>
      <c r="IU40" s="12"/>
      <c r="IV40" s="12"/>
      <c r="IW40" s="12"/>
      <c r="IX40" s="12"/>
      <c r="IY40" s="12"/>
      <c r="IZ40" s="12"/>
      <c r="JA40" s="12"/>
      <c r="JB40" s="12"/>
      <c r="JC40" s="12"/>
      <c r="JD40" s="12"/>
      <c r="JE40" s="12"/>
      <c r="JF40" s="12"/>
      <c r="JG40" s="12"/>
      <c r="JH40" s="12"/>
      <c r="JI40" s="12"/>
      <c r="JJ40" s="12"/>
      <c r="JK40" s="12"/>
      <c r="JL40" s="12"/>
      <c r="JM40" s="12"/>
      <c r="JN40" s="12"/>
      <c r="JO40" s="12"/>
      <c r="JP40" s="12"/>
      <c r="JQ40" s="12"/>
      <c r="JR40" s="12"/>
      <c r="JS40" s="12"/>
      <c r="JT40" s="12"/>
      <c r="JU40" s="12"/>
      <c r="JV40" s="12"/>
      <c r="JW40" s="12"/>
      <c r="JX40" s="12"/>
      <c r="JY40" s="12"/>
      <c r="JZ40" s="12"/>
      <c r="KA40" s="12"/>
      <c r="KB40" s="12"/>
      <c r="KC40" s="12"/>
      <c r="KD40" s="12"/>
      <c r="KE40" s="12"/>
      <c r="KF40" s="12"/>
      <c r="KG40" s="12"/>
      <c r="KH40" s="12"/>
      <c r="KI40" s="12"/>
      <c r="KJ40" s="12"/>
      <c r="KK40" s="12"/>
      <c r="KL40" s="12"/>
      <c r="KM40" s="12"/>
      <c r="KN40" s="12"/>
      <c r="KO40" s="12"/>
      <c r="KP40" s="12"/>
      <c r="KQ40" s="12"/>
      <c r="KR40" s="12"/>
      <c r="KS40" s="12"/>
      <c r="KT40" s="12"/>
      <c r="KU40" s="12"/>
      <c r="KV40" s="12"/>
      <c r="KW40" s="12"/>
      <c r="KX40" s="12"/>
      <c r="KY40" s="12"/>
      <c r="KZ40" s="12"/>
      <c r="LA40" s="12"/>
      <c r="LB40" s="12"/>
      <c r="LC40" s="12"/>
      <c r="LD40" s="12"/>
      <c r="LE40" s="12"/>
      <c r="LF40" s="12"/>
      <c r="LG40" s="12"/>
      <c r="LH40" s="12"/>
      <c r="LI40" s="12"/>
      <c r="LJ40" s="12"/>
      <c r="LK40" s="12"/>
      <c r="LL40" s="12"/>
      <c r="LM40" s="12"/>
      <c r="LN40" s="12"/>
      <c r="LO40" s="12"/>
      <c r="LP40" s="12"/>
      <c r="LQ40" s="12"/>
      <c r="LR40" s="12"/>
      <c r="LS40" s="12"/>
      <c r="LT40" s="12"/>
      <c r="LU40" s="12"/>
      <c r="LV40" s="12"/>
      <c r="LW40" s="12"/>
      <c r="LX40" s="12"/>
      <c r="LY40" s="12"/>
      <c r="LZ40" s="12"/>
      <c r="MA40" s="12"/>
      <c r="MB40" s="12"/>
      <c r="MC40" s="12"/>
      <c r="MD40" s="12"/>
      <c r="ME40" s="12"/>
      <c r="MF40" s="12"/>
      <c r="MG40" s="12"/>
      <c r="MH40" s="12"/>
      <c r="MI40" s="12"/>
      <c r="MJ40" s="12"/>
      <c r="MK40" s="12"/>
      <c r="ML40" s="12"/>
      <c r="MM40" s="12"/>
      <c r="MN40" s="12"/>
      <c r="MO40" s="12"/>
      <c r="MP40" s="12"/>
      <c r="MQ40" s="12"/>
      <c r="MR40" s="12"/>
      <c r="MS40" s="12"/>
      <c r="MT40" s="12"/>
      <c r="MU40" s="12"/>
      <c r="MV40" s="12"/>
      <c r="MW40" s="12"/>
      <c r="MX40" s="12"/>
      <c r="MY40" s="12"/>
      <c r="MZ40" s="12"/>
      <c r="NA40" s="12"/>
      <c r="NB40" s="12"/>
      <c r="NC40" s="12"/>
      <c r="ND40" s="12"/>
      <c r="NE40" s="12"/>
      <c r="NF40" s="12"/>
      <c r="NG40" s="12"/>
      <c r="NH40" s="12"/>
      <c r="NI40" s="12"/>
      <c r="NJ40" s="12"/>
      <c r="NK40" s="12"/>
      <c r="NL40" s="12"/>
      <c r="NM40" s="12"/>
      <c r="NN40" s="12"/>
      <c r="NO40" s="12"/>
      <c r="NP40" s="12"/>
      <c r="NQ40" s="12"/>
      <c r="NR40" s="12"/>
      <c r="NS40" s="12"/>
      <c r="NT40" s="12"/>
      <c r="NU40" s="12"/>
      <c r="NV40" s="12"/>
      <c r="NW40" s="12"/>
      <c r="NX40" s="12"/>
      <c r="NY40" s="12"/>
      <c r="NZ40" s="12"/>
      <c r="OA40" s="12"/>
      <c r="OB40" s="12"/>
      <c r="OC40" s="12"/>
      <c r="OD40" s="12"/>
      <c r="OE40" s="12"/>
      <c r="OF40" s="12"/>
      <c r="OG40" s="12"/>
      <c r="OH40" s="12"/>
      <c r="OI40" s="12"/>
      <c r="OJ40" s="12"/>
      <c r="OK40" s="12"/>
      <c r="OL40" s="12"/>
      <c r="OM40" s="12"/>
      <c r="ON40" s="12"/>
      <c r="OO40" s="12"/>
      <c r="OP40" s="12"/>
      <c r="OQ40" s="12"/>
      <c r="OR40" s="12"/>
      <c r="OS40" s="12"/>
      <c r="OT40" s="12"/>
      <c r="OU40" s="12"/>
      <c r="OV40" s="12"/>
      <c r="OW40" s="12"/>
      <c r="OX40" s="12"/>
      <c r="OY40" s="12"/>
      <c r="OZ40" s="12"/>
      <c r="PA40" s="12"/>
      <c r="PB40" s="12"/>
      <c r="PC40" s="12"/>
      <c r="PD40" s="12"/>
      <c r="PE40" s="12"/>
      <c r="PF40" s="12"/>
      <c r="PG40" s="12"/>
      <c r="PH40" s="12"/>
      <c r="PI40" s="12"/>
      <c r="PJ40" s="12"/>
      <c r="PK40" s="12"/>
      <c r="PL40" s="12"/>
      <c r="PM40" s="12"/>
      <c r="PN40" s="12"/>
      <c r="PO40" s="12"/>
      <c r="PP40" s="12"/>
      <c r="PQ40" s="12"/>
      <c r="PR40" s="12"/>
      <c r="PS40" s="12"/>
      <c r="PT40" s="12"/>
      <c r="PU40" s="12"/>
      <c r="PV40" s="12"/>
      <c r="PW40" s="12"/>
      <c r="PX40" s="12"/>
      <c r="PY40" s="12"/>
      <c r="PZ40" s="12"/>
      <c r="QA40" s="12"/>
      <c r="QB40" s="12"/>
      <c r="QC40" s="12"/>
      <c r="QD40" s="12"/>
      <c r="QE40" s="12"/>
      <c r="QF40" s="12"/>
      <c r="QG40" s="12"/>
      <c r="QH40" s="12"/>
      <c r="QI40" s="12"/>
      <c r="QJ40" s="12"/>
      <c r="QK40" s="12"/>
      <c r="QL40" s="12"/>
      <c r="QM40" s="12"/>
      <c r="QN40" s="12"/>
      <c r="QO40" s="12"/>
      <c r="QP40" s="12"/>
      <c r="QQ40" s="12"/>
      <c r="QR40" s="12"/>
      <c r="QS40" s="12"/>
      <c r="QT40" s="12"/>
      <c r="QU40" s="12"/>
      <c r="QV40" s="12"/>
      <c r="QW40" s="12"/>
      <c r="QX40" s="12"/>
      <c r="QY40" s="12"/>
      <c r="QZ40" s="12"/>
      <c r="RA40" s="12"/>
      <c r="RB40" s="12"/>
      <c r="RC40" s="12"/>
      <c r="RD40" s="12"/>
      <c r="RE40" s="12"/>
      <c r="RF40" s="12"/>
      <c r="RG40" s="12"/>
      <c r="RH40" s="12"/>
      <c r="RI40" s="12"/>
      <c r="RJ40" s="12"/>
      <c r="RK40" s="12"/>
      <c r="RL40" s="12"/>
      <c r="RM40" s="12"/>
      <c r="RN40" s="12"/>
      <c r="RO40" s="12"/>
      <c r="RP40" s="12"/>
      <c r="RQ40" s="12"/>
      <c r="RR40" s="12"/>
      <c r="RS40" s="12"/>
      <c r="RT40" s="12"/>
      <c r="RU40" s="12"/>
      <c r="RV40" s="12"/>
      <c r="RW40" s="12"/>
      <c r="RX40" s="12"/>
      <c r="RY40" s="12"/>
      <c r="RZ40" s="12"/>
      <c r="SA40" s="12"/>
      <c r="SB40" s="12"/>
      <c r="SC40" s="12"/>
      <c r="SD40" s="12"/>
      <c r="SE40" s="12"/>
      <c r="SF40" s="12"/>
      <c r="SG40" s="12"/>
      <c r="SH40" s="12"/>
      <c r="SI40" s="12"/>
      <c r="SJ40" s="12"/>
      <c r="SK40" s="12"/>
      <c r="SL40" s="12"/>
      <c r="SM40" s="12"/>
      <c r="SN40" s="12"/>
      <c r="SO40" s="12"/>
      <c r="SP40" s="12"/>
      <c r="SQ40" s="12"/>
      <c r="SR40" s="12"/>
      <c r="SS40" s="12"/>
      <c r="ST40" s="12"/>
      <c r="SU40" s="12"/>
      <c r="SV40" s="12"/>
      <c r="SW40" s="12"/>
      <c r="SX40" s="12"/>
      <c r="SY40" s="12"/>
      <c r="SZ40" s="12"/>
      <c r="TA40" s="12"/>
      <c r="TB40" s="12"/>
      <c r="TC40" s="12"/>
      <c r="TD40" s="12"/>
      <c r="TE40" s="12"/>
      <c r="TF40" s="12"/>
      <c r="TG40" s="12"/>
      <c r="TH40" s="12"/>
      <c r="TI40" s="12"/>
      <c r="TJ40" s="12"/>
      <c r="TK40" s="12"/>
      <c r="TL40" s="12"/>
      <c r="TM40" s="12"/>
      <c r="TN40" s="12"/>
      <c r="TO40" s="12"/>
      <c r="TP40" s="12"/>
      <c r="TQ40" s="12"/>
      <c r="TR40" s="12"/>
      <c r="TS40" s="12"/>
      <c r="TT40" s="12"/>
      <c r="TU40" s="12"/>
      <c r="TV40" s="12"/>
      <c r="TW40" s="12"/>
      <c r="TX40" s="12"/>
      <c r="TY40" s="12"/>
      <c r="TZ40" s="12"/>
      <c r="UA40" s="12"/>
      <c r="UB40" s="12"/>
      <c r="UC40" s="12"/>
      <c r="UD40" s="12"/>
      <c r="UE40" s="12"/>
      <c r="UF40" s="12"/>
      <c r="UG40" s="12"/>
      <c r="UH40" s="12"/>
      <c r="UI40" s="12"/>
      <c r="UJ40" s="12"/>
      <c r="UK40" s="12"/>
      <c r="UL40" s="12"/>
      <c r="UM40" s="12"/>
      <c r="UN40" s="12"/>
      <c r="UO40" s="12"/>
      <c r="UP40" s="12"/>
      <c r="UQ40" s="12"/>
      <c r="UR40" s="12"/>
      <c r="US40" s="12"/>
      <c r="UT40" s="12"/>
      <c r="UU40" s="12"/>
      <c r="UV40" s="12"/>
      <c r="UW40" s="12"/>
      <c r="UX40" s="12"/>
      <c r="UY40" s="12"/>
      <c r="UZ40" s="12"/>
      <c r="VA40" s="12"/>
      <c r="VB40" s="12"/>
      <c r="VC40" s="12"/>
      <c r="VD40" s="12"/>
      <c r="VE40" s="12"/>
      <c r="VF40" s="12"/>
      <c r="VG40" s="12"/>
      <c r="VH40" s="12"/>
      <c r="VI40" s="12"/>
      <c r="VJ40" s="12"/>
      <c r="VK40" s="12"/>
      <c r="VL40" s="12"/>
      <c r="VM40" s="12"/>
      <c r="VN40" s="12"/>
      <c r="VO40" s="12"/>
      <c r="VP40" s="12"/>
      <c r="VQ40" s="12"/>
      <c r="VR40" s="12"/>
      <c r="VS40" s="12"/>
      <c r="VT40" s="12"/>
      <c r="VU40" s="12"/>
      <c r="VV40" s="12"/>
      <c r="VW40" s="12"/>
      <c r="VX40" s="12"/>
      <c r="VY40" s="12"/>
      <c r="VZ40" s="12"/>
      <c r="WA40" s="12"/>
      <c r="WB40" s="12"/>
      <c r="WC40" s="12"/>
      <c r="WD40" s="12"/>
      <c r="WE40" s="12"/>
      <c r="WF40" s="12"/>
      <c r="WG40" s="12"/>
      <c r="WH40" s="12"/>
      <c r="WI40" s="12"/>
      <c r="WJ40" s="12"/>
      <c r="WK40" s="12"/>
      <c r="WL40" s="12"/>
      <c r="WM40" s="12"/>
      <c r="WN40" s="12"/>
      <c r="WO40" s="12"/>
      <c r="WP40" s="12"/>
      <c r="WQ40" s="12"/>
      <c r="WR40" s="12"/>
      <c r="WS40" s="12"/>
      <c r="WT40" s="12"/>
      <c r="WU40" s="12"/>
      <c r="WV40" s="12"/>
      <c r="WW40" s="12"/>
      <c r="WX40" s="12"/>
      <c r="WY40" s="12"/>
      <c r="WZ40" s="12"/>
      <c r="XA40" s="12"/>
      <c r="XB40" s="12"/>
      <c r="XC40" s="12"/>
      <c r="XD40" s="12"/>
      <c r="XE40" s="12"/>
      <c r="XF40" s="12"/>
      <c r="XG40" s="12"/>
      <c r="XH40" s="12"/>
      <c r="XI40" s="12"/>
      <c r="XJ40" s="12"/>
      <c r="XK40" s="12"/>
      <c r="XL40" s="12"/>
      <c r="XM40" s="12"/>
      <c r="XN40" s="12"/>
      <c r="XO40" s="12"/>
      <c r="XP40" s="12"/>
      <c r="XQ40" s="12"/>
      <c r="XR40" s="12"/>
      <c r="XS40" s="12"/>
      <c r="XT40" s="12"/>
      <c r="XU40" s="12"/>
      <c r="XV40" s="12"/>
      <c r="XW40" s="12"/>
      <c r="XX40" s="12"/>
      <c r="XY40" s="12"/>
      <c r="XZ40" s="12"/>
      <c r="YA40" s="12"/>
      <c r="YB40" s="12"/>
      <c r="YC40" s="12"/>
      <c r="YD40" s="12"/>
      <c r="YE40" s="12"/>
      <c r="YF40" s="12"/>
      <c r="YG40" s="12"/>
      <c r="YH40" s="12"/>
      <c r="YI40" s="12"/>
      <c r="YJ40" s="12"/>
      <c r="YK40" s="12"/>
      <c r="YL40" s="12"/>
      <c r="YM40" s="12"/>
      <c r="YN40" s="12"/>
      <c r="YO40" s="12"/>
      <c r="YP40" s="12"/>
      <c r="YQ40" s="12"/>
      <c r="YR40" s="12"/>
      <c r="YS40" s="12"/>
      <c r="YT40" s="12"/>
      <c r="YU40" s="12"/>
      <c r="YV40" s="12"/>
      <c r="YW40" s="12"/>
      <c r="YX40" s="12"/>
      <c r="YY40" s="12"/>
      <c r="YZ40" s="12"/>
      <c r="ZA40" s="12"/>
      <c r="ZB40" s="12"/>
      <c r="ZC40" s="12"/>
      <c r="ZD40" s="12"/>
      <c r="ZE40" s="12"/>
      <c r="ZF40" s="12"/>
      <c r="ZG40" s="12"/>
      <c r="ZH40" s="12"/>
      <c r="ZI40" s="12"/>
      <c r="ZJ40" s="12"/>
      <c r="ZK40" s="12"/>
      <c r="ZL40" s="12"/>
      <c r="ZM40" s="12"/>
      <c r="ZN40" s="12"/>
      <c r="ZO40" s="12"/>
      <c r="ZP40" s="12"/>
      <c r="ZQ40" s="12"/>
      <c r="ZR40" s="12"/>
      <c r="ZS40" s="12"/>
      <c r="ZT40" s="12"/>
      <c r="ZU40" s="12"/>
      <c r="ZV40" s="12"/>
      <c r="ZW40" s="12"/>
      <c r="ZX40" s="12"/>
      <c r="ZY40" s="12"/>
      <c r="ZZ40" s="12"/>
      <c r="AAA40" s="12"/>
      <c r="AAB40" s="12"/>
      <c r="AAC40" s="12"/>
      <c r="AAD40" s="12"/>
      <c r="AAE40" s="12"/>
      <c r="AAF40" s="12"/>
      <c r="AAG40" s="12"/>
      <c r="AAH40" s="12"/>
      <c r="AAI40" s="12"/>
      <c r="AAJ40" s="12"/>
      <c r="AAK40" s="12"/>
      <c r="AAL40" s="12"/>
      <c r="AAM40" s="12"/>
      <c r="AAN40" s="12"/>
      <c r="AAO40" s="12"/>
      <c r="AAP40" s="12"/>
      <c r="AAQ40" s="12"/>
      <c r="AAR40" s="12"/>
      <c r="AAS40" s="12"/>
      <c r="AAT40" s="12"/>
      <c r="AAU40" s="12"/>
      <c r="AAV40" s="12"/>
      <c r="AAW40" s="12"/>
      <c r="AAX40" s="12"/>
      <c r="AAY40" s="12"/>
      <c r="AAZ40" s="12"/>
      <c r="ABA40" s="12"/>
      <c r="ABB40" s="12"/>
      <c r="ABC40" s="12"/>
      <c r="ABD40" s="12"/>
      <c r="ABE40" s="12"/>
      <c r="ABF40" s="12"/>
      <c r="ABG40" s="12"/>
      <c r="ABH40" s="12"/>
      <c r="ABI40" s="12"/>
      <c r="ABJ40" s="12"/>
      <c r="ABK40" s="12"/>
      <c r="ABL40" s="12"/>
      <c r="ABM40" s="12"/>
      <c r="ABN40" s="12"/>
      <c r="ABO40" s="12"/>
      <c r="ABP40" s="12"/>
      <c r="ABQ40" s="12"/>
      <c r="ABR40" s="12"/>
      <c r="ABS40" s="12"/>
      <c r="ABT40" s="12"/>
      <c r="ABU40" s="12"/>
      <c r="ABV40" s="12"/>
      <c r="ABW40" s="12"/>
      <c r="ABX40" s="12"/>
      <c r="ABY40" s="12"/>
      <c r="ABZ40" s="12"/>
      <c r="ACA40" s="12"/>
      <c r="ACB40" s="12"/>
      <c r="ACC40" s="12"/>
      <c r="ACD40" s="12"/>
      <c r="ACE40" s="12"/>
      <c r="ACF40" s="12"/>
      <c r="ACG40" s="12"/>
      <c r="ACH40" s="12"/>
      <c r="ACI40" s="12"/>
      <c r="ACJ40" s="12"/>
      <c r="ACK40" s="12"/>
      <c r="ACL40" s="12"/>
      <c r="ACM40" s="12"/>
      <c r="ACN40" s="12"/>
      <c r="ACO40" s="12"/>
      <c r="ACP40" s="12"/>
      <c r="ACQ40" s="12"/>
      <c r="ACR40" s="12"/>
      <c r="ACS40" s="12"/>
      <c r="ACT40" s="12"/>
      <c r="ACU40" s="12"/>
      <c r="ACV40" s="12"/>
      <c r="ACW40" s="12"/>
      <c r="ACX40" s="12"/>
      <c r="ACY40" s="12"/>
      <c r="ACZ40" s="12"/>
      <c r="ADA40" s="12"/>
      <c r="ADB40" s="12"/>
      <c r="ADC40" s="12"/>
      <c r="ADD40" s="12"/>
      <c r="ADE40" s="12"/>
      <c r="ADF40" s="12"/>
      <c r="ADG40" s="12"/>
      <c r="ADH40" s="12"/>
      <c r="ADI40" s="12"/>
      <c r="ADJ40" s="12"/>
      <c r="ADK40" s="12"/>
      <c r="ADL40" s="12"/>
      <c r="ADM40" s="12"/>
      <c r="ADN40" s="12"/>
      <c r="ADO40" s="12"/>
      <c r="ADP40" s="12"/>
      <c r="ADQ40" s="12"/>
      <c r="ADR40" s="12"/>
      <c r="ADS40" s="12"/>
      <c r="ADT40" s="12"/>
      <c r="ADU40" s="12"/>
      <c r="ADV40" s="12"/>
      <c r="ADW40" s="12"/>
      <c r="ADX40" s="12"/>
      <c r="ADY40" s="12"/>
      <c r="ADZ40" s="12"/>
      <c r="AEA40" s="12"/>
      <c r="AEB40" s="12"/>
      <c r="AEC40" s="12"/>
      <c r="AED40" s="12"/>
      <c r="AEE40" s="12"/>
      <c r="AEF40" s="12"/>
      <c r="AEG40" s="12"/>
      <c r="AEH40" s="12"/>
      <c r="AEI40" s="12"/>
      <c r="AEJ40" s="12"/>
      <c r="AEK40" s="12"/>
      <c r="AEL40" s="12"/>
      <c r="AEM40" s="12"/>
      <c r="AEN40" s="12"/>
      <c r="AEO40" s="12"/>
      <c r="AEP40" s="12"/>
      <c r="AEQ40" s="12"/>
      <c r="AER40" s="12"/>
      <c r="AES40" s="12"/>
      <c r="AET40" s="12"/>
      <c r="AEU40" s="12"/>
      <c r="AEV40" s="12"/>
    </row>
    <row r="41" spans="1:828" s="27" customFormat="1" ht="18" x14ac:dyDescent="0.2">
      <c r="A41" s="28"/>
      <c r="D41" s="29"/>
      <c r="E41" s="23"/>
      <c r="F41" s="23" t="s">
        <v>40</v>
      </c>
      <c r="G41" s="29">
        <v>7</v>
      </c>
      <c r="H41" s="30"/>
      <c r="I41" s="23"/>
      <c r="J41" s="29"/>
      <c r="K41" s="30"/>
      <c r="L41" s="23" t="s">
        <v>41</v>
      </c>
      <c r="M41" s="29">
        <v>688</v>
      </c>
      <c r="N41" s="47">
        <f t="shared" si="1"/>
        <v>5.6489880241453885E-5</v>
      </c>
      <c r="O41" s="47">
        <f t="shared" si="2"/>
        <v>5.9047684438188744E-3</v>
      </c>
      <c r="P41" s="48"/>
      <c r="Q41"/>
      <c r="R41"/>
      <c r="S41"/>
      <c r="T41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2"/>
      <c r="FJ41" s="12"/>
      <c r="FK41" s="12"/>
      <c r="FL41" s="12"/>
      <c r="FM41" s="12"/>
      <c r="FN41" s="12"/>
      <c r="FO41" s="12"/>
      <c r="FP41" s="12"/>
      <c r="FQ41" s="12"/>
      <c r="FR41" s="12"/>
      <c r="FS41" s="12"/>
      <c r="FT41" s="12"/>
      <c r="FU41" s="12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2"/>
      <c r="GG41" s="12"/>
      <c r="GH41" s="12"/>
      <c r="GI41" s="12"/>
      <c r="GJ41" s="12"/>
      <c r="GK41" s="12"/>
      <c r="GL41" s="12"/>
      <c r="GM41" s="12"/>
      <c r="GN41" s="12"/>
      <c r="GO41" s="12"/>
      <c r="GP41" s="12"/>
      <c r="GQ41" s="12"/>
      <c r="GR41" s="12"/>
      <c r="GS41" s="12"/>
      <c r="GT41" s="12"/>
      <c r="GU41" s="12"/>
      <c r="GV41" s="12"/>
      <c r="GW41" s="12"/>
      <c r="GX41" s="12"/>
      <c r="GY41" s="12"/>
      <c r="GZ41" s="12"/>
      <c r="HA41" s="12"/>
      <c r="HB41" s="12"/>
      <c r="HC41" s="12"/>
      <c r="HD41" s="12"/>
      <c r="HE41" s="12"/>
      <c r="HF41" s="12"/>
      <c r="HG41" s="12"/>
      <c r="HH41" s="12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2"/>
      <c r="HT41" s="12"/>
      <c r="HU41" s="12"/>
      <c r="HV41" s="12"/>
      <c r="HW41" s="12"/>
      <c r="HX41" s="12"/>
      <c r="HY41" s="12"/>
      <c r="HZ41" s="12"/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  <c r="IL41" s="12"/>
      <c r="IM41" s="12"/>
      <c r="IN41" s="12"/>
      <c r="IO41" s="12"/>
      <c r="IP41" s="12"/>
      <c r="IQ41" s="12"/>
      <c r="IR41" s="12"/>
      <c r="IS41" s="12"/>
      <c r="IT41" s="12"/>
      <c r="IU41" s="12"/>
      <c r="IV41" s="12"/>
      <c r="IW41" s="12"/>
      <c r="IX41" s="12"/>
      <c r="IY41" s="12"/>
      <c r="IZ41" s="12"/>
      <c r="JA41" s="12"/>
      <c r="JB41" s="12"/>
      <c r="JC41" s="12"/>
      <c r="JD41" s="12"/>
      <c r="JE41" s="12"/>
      <c r="JF41" s="12"/>
      <c r="JG41" s="12"/>
      <c r="JH41" s="12"/>
      <c r="JI41" s="12"/>
      <c r="JJ41" s="12"/>
      <c r="JK41" s="12"/>
      <c r="JL41" s="12"/>
      <c r="JM41" s="12"/>
      <c r="JN41" s="12"/>
      <c r="JO41" s="12"/>
      <c r="JP41" s="12"/>
      <c r="JQ41" s="12"/>
      <c r="JR41" s="12"/>
      <c r="JS41" s="12"/>
      <c r="JT41" s="12"/>
      <c r="JU41" s="12"/>
      <c r="JV41" s="12"/>
      <c r="JW41" s="12"/>
      <c r="JX41" s="12"/>
      <c r="JY41" s="12"/>
      <c r="JZ41" s="12"/>
      <c r="KA41" s="12"/>
      <c r="KB41" s="12"/>
      <c r="KC41" s="12"/>
      <c r="KD41" s="12"/>
      <c r="KE41" s="12"/>
      <c r="KF41" s="12"/>
      <c r="KG41" s="12"/>
      <c r="KH41" s="12"/>
      <c r="KI41" s="12"/>
      <c r="KJ41" s="12"/>
      <c r="KK41" s="12"/>
      <c r="KL41" s="12"/>
      <c r="KM41" s="12"/>
      <c r="KN41" s="12"/>
      <c r="KO41" s="12"/>
      <c r="KP41" s="12"/>
      <c r="KQ41" s="12"/>
      <c r="KR41" s="12"/>
      <c r="KS41" s="12"/>
      <c r="KT41" s="12"/>
      <c r="KU41" s="12"/>
      <c r="KV41" s="12"/>
      <c r="KW41" s="12"/>
      <c r="KX41" s="12"/>
      <c r="KY41" s="12"/>
      <c r="KZ41" s="12"/>
      <c r="LA41" s="12"/>
      <c r="LB41" s="12"/>
      <c r="LC41" s="12"/>
      <c r="LD41" s="12"/>
      <c r="LE41" s="12"/>
      <c r="LF41" s="12"/>
      <c r="LG41" s="12"/>
      <c r="LH41" s="12"/>
      <c r="LI41" s="12"/>
      <c r="LJ41" s="12"/>
      <c r="LK41" s="12"/>
      <c r="LL41" s="12"/>
      <c r="LM41" s="12"/>
      <c r="LN41" s="12"/>
      <c r="LO41" s="12"/>
      <c r="LP41" s="12"/>
      <c r="LQ41" s="12"/>
      <c r="LR41" s="12"/>
      <c r="LS41" s="12"/>
      <c r="LT41" s="12"/>
      <c r="LU41" s="12"/>
      <c r="LV41" s="12"/>
      <c r="LW41" s="12"/>
      <c r="LX41" s="12"/>
      <c r="LY41" s="12"/>
      <c r="LZ41" s="12"/>
      <c r="MA41" s="12"/>
      <c r="MB41" s="12"/>
      <c r="MC41" s="12"/>
      <c r="MD41" s="12"/>
      <c r="ME41" s="12"/>
      <c r="MF41" s="12"/>
      <c r="MG41" s="12"/>
      <c r="MH41" s="12"/>
      <c r="MI41" s="12"/>
      <c r="MJ41" s="12"/>
      <c r="MK41" s="12"/>
      <c r="ML41" s="12"/>
      <c r="MM41" s="12"/>
      <c r="MN41" s="12"/>
      <c r="MO41" s="12"/>
      <c r="MP41" s="12"/>
      <c r="MQ41" s="12"/>
      <c r="MR41" s="12"/>
      <c r="MS41" s="12"/>
      <c r="MT41" s="12"/>
      <c r="MU41" s="12"/>
      <c r="MV41" s="12"/>
      <c r="MW41" s="12"/>
      <c r="MX41" s="12"/>
      <c r="MY41" s="12"/>
      <c r="MZ41" s="12"/>
      <c r="NA41" s="12"/>
      <c r="NB41" s="12"/>
      <c r="NC41" s="12"/>
      <c r="ND41" s="12"/>
      <c r="NE41" s="12"/>
      <c r="NF41" s="12"/>
      <c r="NG41" s="12"/>
      <c r="NH41" s="12"/>
      <c r="NI41" s="12"/>
      <c r="NJ41" s="12"/>
      <c r="NK41" s="12"/>
      <c r="NL41" s="12"/>
      <c r="NM41" s="12"/>
      <c r="NN41" s="12"/>
      <c r="NO41" s="12"/>
      <c r="NP41" s="12"/>
      <c r="NQ41" s="12"/>
      <c r="NR41" s="12"/>
      <c r="NS41" s="12"/>
      <c r="NT41" s="12"/>
      <c r="NU41" s="12"/>
      <c r="NV41" s="12"/>
      <c r="NW41" s="12"/>
      <c r="NX41" s="12"/>
      <c r="NY41" s="12"/>
      <c r="NZ41" s="12"/>
      <c r="OA41" s="12"/>
      <c r="OB41" s="12"/>
      <c r="OC41" s="12"/>
      <c r="OD41" s="12"/>
      <c r="OE41" s="12"/>
      <c r="OF41" s="12"/>
      <c r="OG41" s="12"/>
      <c r="OH41" s="12"/>
      <c r="OI41" s="12"/>
      <c r="OJ41" s="12"/>
      <c r="OK41" s="12"/>
      <c r="OL41" s="12"/>
      <c r="OM41" s="12"/>
      <c r="ON41" s="12"/>
      <c r="OO41" s="12"/>
      <c r="OP41" s="12"/>
      <c r="OQ41" s="12"/>
      <c r="OR41" s="12"/>
      <c r="OS41" s="12"/>
      <c r="OT41" s="12"/>
      <c r="OU41" s="12"/>
      <c r="OV41" s="12"/>
      <c r="OW41" s="12"/>
      <c r="OX41" s="12"/>
      <c r="OY41" s="12"/>
      <c r="OZ41" s="12"/>
      <c r="PA41" s="12"/>
      <c r="PB41" s="12"/>
      <c r="PC41" s="12"/>
      <c r="PD41" s="12"/>
      <c r="PE41" s="12"/>
      <c r="PF41" s="12"/>
      <c r="PG41" s="12"/>
      <c r="PH41" s="12"/>
      <c r="PI41" s="12"/>
      <c r="PJ41" s="12"/>
      <c r="PK41" s="12"/>
      <c r="PL41" s="12"/>
      <c r="PM41" s="12"/>
      <c r="PN41" s="12"/>
      <c r="PO41" s="12"/>
      <c r="PP41" s="12"/>
      <c r="PQ41" s="12"/>
      <c r="PR41" s="12"/>
      <c r="PS41" s="12"/>
      <c r="PT41" s="12"/>
      <c r="PU41" s="12"/>
      <c r="PV41" s="12"/>
      <c r="PW41" s="12"/>
      <c r="PX41" s="12"/>
      <c r="PY41" s="12"/>
      <c r="PZ41" s="12"/>
      <c r="QA41" s="12"/>
      <c r="QB41" s="12"/>
      <c r="QC41" s="12"/>
      <c r="QD41" s="12"/>
      <c r="QE41" s="12"/>
      <c r="QF41" s="12"/>
      <c r="QG41" s="12"/>
      <c r="QH41" s="12"/>
      <c r="QI41" s="12"/>
      <c r="QJ41" s="12"/>
      <c r="QK41" s="12"/>
      <c r="QL41" s="12"/>
      <c r="QM41" s="12"/>
      <c r="QN41" s="12"/>
      <c r="QO41" s="12"/>
      <c r="QP41" s="12"/>
      <c r="QQ41" s="12"/>
      <c r="QR41" s="12"/>
      <c r="QS41" s="12"/>
      <c r="QT41" s="12"/>
      <c r="QU41" s="12"/>
      <c r="QV41" s="12"/>
      <c r="QW41" s="12"/>
      <c r="QX41" s="12"/>
      <c r="QY41" s="12"/>
      <c r="QZ41" s="12"/>
      <c r="RA41" s="12"/>
      <c r="RB41" s="12"/>
      <c r="RC41" s="12"/>
      <c r="RD41" s="12"/>
      <c r="RE41" s="12"/>
      <c r="RF41" s="12"/>
      <c r="RG41" s="12"/>
      <c r="RH41" s="12"/>
      <c r="RI41" s="12"/>
      <c r="RJ41" s="12"/>
      <c r="RK41" s="12"/>
      <c r="RL41" s="12"/>
      <c r="RM41" s="12"/>
      <c r="RN41" s="12"/>
      <c r="RO41" s="12"/>
      <c r="RP41" s="12"/>
      <c r="RQ41" s="12"/>
      <c r="RR41" s="12"/>
      <c r="RS41" s="12"/>
      <c r="RT41" s="12"/>
      <c r="RU41" s="12"/>
      <c r="RV41" s="12"/>
      <c r="RW41" s="12"/>
      <c r="RX41" s="12"/>
      <c r="RY41" s="12"/>
      <c r="RZ41" s="12"/>
      <c r="SA41" s="12"/>
      <c r="SB41" s="12"/>
      <c r="SC41" s="12"/>
      <c r="SD41" s="12"/>
      <c r="SE41" s="12"/>
      <c r="SF41" s="12"/>
      <c r="SG41" s="12"/>
      <c r="SH41" s="12"/>
      <c r="SI41" s="12"/>
      <c r="SJ41" s="12"/>
      <c r="SK41" s="12"/>
      <c r="SL41" s="12"/>
      <c r="SM41" s="12"/>
      <c r="SN41" s="12"/>
      <c r="SO41" s="12"/>
      <c r="SP41" s="12"/>
      <c r="SQ41" s="12"/>
      <c r="SR41" s="12"/>
      <c r="SS41" s="12"/>
      <c r="ST41" s="12"/>
      <c r="SU41" s="12"/>
      <c r="SV41" s="12"/>
      <c r="SW41" s="12"/>
      <c r="SX41" s="12"/>
      <c r="SY41" s="12"/>
      <c r="SZ41" s="12"/>
      <c r="TA41" s="12"/>
      <c r="TB41" s="12"/>
      <c r="TC41" s="12"/>
      <c r="TD41" s="12"/>
      <c r="TE41" s="12"/>
      <c r="TF41" s="12"/>
      <c r="TG41" s="12"/>
      <c r="TH41" s="12"/>
      <c r="TI41" s="12"/>
      <c r="TJ41" s="12"/>
      <c r="TK41" s="12"/>
      <c r="TL41" s="12"/>
      <c r="TM41" s="12"/>
      <c r="TN41" s="12"/>
      <c r="TO41" s="12"/>
      <c r="TP41" s="12"/>
      <c r="TQ41" s="12"/>
      <c r="TR41" s="12"/>
      <c r="TS41" s="12"/>
      <c r="TT41" s="12"/>
      <c r="TU41" s="12"/>
      <c r="TV41" s="12"/>
      <c r="TW41" s="12"/>
      <c r="TX41" s="12"/>
      <c r="TY41" s="12"/>
      <c r="TZ41" s="12"/>
      <c r="UA41" s="12"/>
      <c r="UB41" s="12"/>
      <c r="UC41" s="12"/>
      <c r="UD41" s="12"/>
      <c r="UE41" s="12"/>
      <c r="UF41" s="12"/>
      <c r="UG41" s="12"/>
      <c r="UH41" s="12"/>
      <c r="UI41" s="12"/>
      <c r="UJ41" s="12"/>
      <c r="UK41" s="12"/>
      <c r="UL41" s="12"/>
      <c r="UM41" s="12"/>
      <c r="UN41" s="12"/>
      <c r="UO41" s="12"/>
      <c r="UP41" s="12"/>
      <c r="UQ41" s="12"/>
      <c r="UR41" s="12"/>
      <c r="US41" s="12"/>
      <c r="UT41" s="12"/>
      <c r="UU41" s="12"/>
      <c r="UV41" s="12"/>
      <c r="UW41" s="12"/>
      <c r="UX41" s="12"/>
      <c r="UY41" s="12"/>
      <c r="UZ41" s="12"/>
      <c r="VA41" s="12"/>
      <c r="VB41" s="12"/>
      <c r="VC41" s="12"/>
      <c r="VD41" s="12"/>
      <c r="VE41" s="12"/>
      <c r="VF41" s="12"/>
      <c r="VG41" s="12"/>
      <c r="VH41" s="12"/>
      <c r="VI41" s="12"/>
      <c r="VJ41" s="12"/>
      <c r="VK41" s="12"/>
      <c r="VL41" s="12"/>
      <c r="VM41" s="12"/>
      <c r="VN41" s="12"/>
      <c r="VO41" s="12"/>
      <c r="VP41" s="12"/>
      <c r="VQ41" s="12"/>
      <c r="VR41" s="12"/>
      <c r="VS41" s="12"/>
      <c r="VT41" s="12"/>
      <c r="VU41" s="12"/>
      <c r="VV41" s="12"/>
      <c r="VW41" s="12"/>
      <c r="VX41" s="12"/>
      <c r="VY41" s="12"/>
      <c r="VZ41" s="12"/>
      <c r="WA41" s="12"/>
      <c r="WB41" s="12"/>
      <c r="WC41" s="12"/>
      <c r="WD41" s="12"/>
      <c r="WE41" s="12"/>
      <c r="WF41" s="12"/>
      <c r="WG41" s="12"/>
      <c r="WH41" s="12"/>
      <c r="WI41" s="12"/>
      <c r="WJ41" s="12"/>
      <c r="WK41" s="12"/>
      <c r="WL41" s="12"/>
      <c r="WM41" s="12"/>
      <c r="WN41" s="12"/>
      <c r="WO41" s="12"/>
      <c r="WP41" s="12"/>
      <c r="WQ41" s="12"/>
      <c r="WR41" s="12"/>
      <c r="WS41" s="12"/>
      <c r="WT41" s="12"/>
      <c r="WU41" s="12"/>
      <c r="WV41" s="12"/>
      <c r="WW41" s="12"/>
      <c r="WX41" s="12"/>
      <c r="WY41" s="12"/>
      <c r="WZ41" s="12"/>
      <c r="XA41" s="12"/>
      <c r="XB41" s="12"/>
      <c r="XC41" s="12"/>
      <c r="XD41" s="12"/>
      <c r="XE41" s="12"/>
      <c r="XF41" s="12"/>
      <c r="XG41" s="12"/>
      <c r="XH41" s="12"/>
      <c r="XI41" s="12"/>
      <c r="XJ41" s="12"/>
      <c r="XK41" s="12"/>
      <c r="XL41" s="12"/>
      <c r="XM41" s="12"/>
      <c r="XN41" s="12"/>
      <c r="XO41" s="12"/>
      <c r="XP41" s="12"/>
      <c r="XQ41" s="12"/>
      <c r="XR41" s="12"/>
      <c r="XS41" s="12"/>
      <c r="XT41" s="12"/>
      <c r="XU41" s="12"/>
      <c r="XV41" s="12"/>
      <c r="XW41" s="12"/>
      <c r="XX41" s="12"/>
      <c r="XY41" s="12"/>
      <c r="XZ41" s="12"/>
      <c r="YA41" s="12"/>
      <c r="YB41" s="12"/>
      <c r="YC41" s="12"/>
      <c r="YD41" s="12"/>
      <c r="YE41" s="12"/>
      <c r="YF41" s="12"/>
      <c r="YG41" s="12"/>
      <c r="YH41" s="12"/>
      <c r="YI41" s="12"/>
      <c r="YJ41" s="12"/>
      <c r="YK41" s="12"/>
      <c r="YL41" s="12"/>
      <c r="YM41" s="12"/>
      <c r="YN41" s="12"/>
      <c r="YO41" s="12"/>
      <c r="YP41" s="12"/>
      <c r="YQ41" s="12"/>
      <c r="YR41" s="12"/>
      <c r="YS41" s="12"/>
      <c r="YT41" s="12"/>
      <c r="YU41" s="12"/>
      <c r="YV41" s="12"/>
      <c r="YW41" s="12"/>
      <c r="YX41" s="12"/>
      <c r="YY41" s="12"/>
      <c r="YZ41" s="12"/>
      <c r="ZA41" s="12"/>
      <c r="ZB41" s="12"/>
      <c r="ZC41" s="12"/>
      <c r="ZD41" s="12"/>
      <c r="ZE41" s="12"/>
      <c r="ZF41" s="12"/>
      <c r="ZG41" s="12"/>
      <c r="ZH41" s="12"/>
      <c r="ZI41" s="12"/>
      <c r="ZJ41" s="12"/>
      <c r="ZK41" s="12"/>
      <c r="ZL41" s="12"/>
      <c r="ZM41" s="12"/>
      <c r="ZN41" s="12"/>
      <c r="ZO41" s="12"/>
      <c r="ZP41" s="12"/>
      <c r="ZQ41" s="12"/>
      <c r="ZR41" s="12"/>
      <c r="ZS41" s="12"/>
      <c r="ZT41" s="12"/>
      <c r="ZU41" s="12"/>
      <c r="ZV41" s="12"/>
      <c r="ZW41" s="12"/>
      <c r="ZX41" s="12"/>
      <c r="ZY41" s="12"/>
      <c r="ZZ41" s="12"/>
      <c r="AAA41" s="12"/>
      <c r="AAB41" s="12"/>
      <c r="AAC41" s="12"/>
      <c r="AAD41" s="12"/>
      <c r="AAE41" s="12"/>
      <c r="AAF41" s="12"/>
      <c r="AAG41" s="12"/>
      <c r="AAH41" s="12"/>
      <c r="AAI41" s="12"/>
      <c r="AAJ41" s="12"/>
      <c r="AAK41" s="12"/>
      <c r="AAL41" s="12"/>
      <c r="AAM41" s="12"/>
      <c r="AAN41" s="12"/>
      <c r="AAO41" s="12"/>
      <c r="AAP41" s="12"/>
      <c r="AAQ41" s="12"/>
      <c r="AAR41" s="12"/>
      <c r="AAS41" s="12"/>
      <c r="AAT41" s="12"/>
      <c r="AAU41" s="12"/>
      <c r="AAV41" s="12"/>
      <c r="AAW41" s="12"/>
      <c r="AAX41" s="12"/>
      <c r="AAY41" s="12"/>
      <c r="AAZ41" s="12"/>
      <c r="ABA41" s="12"/>
      <c r="ABB41" s="12"/>
      <c r="ABC41" s="12"/>
      <c r="ABD41" s="12"/>
      <c r="ABE41" s="12"/>
      <c r="ABF41" s="12"/>
      <c r="ABG41" s="12"/>
      <c r="ABH41" s="12"/>
      <c r="ABI41" s="12"/>
      <c r="ABJ41" s="12"/>
      <c r="ABK41" s="12"/>
      <c r="ABL41" s="12"/>
      <c r="ABM41" s="12"/>
      <c r="ABN41" s="12"/>
      <c r="ABO41" s="12"/>
      <c r="ABP41" s="12"/>
      <c r="ABQ41" s="12"/>
      <c r="ABR41" s="12"/>
      <c r="ABS41" s="12"/>
      <c r="ABT41" s="12"/>
      <c r="ABU41" s="12"/>
      <c r="ABV41" s="12"/>
      <c r="ABW41" s="12"/>
      <c r="ABX41" s="12"/>
      <c r="ABY41" s="12"/>
      <c r="ABZ41" s="12"/>
      <c r="ACA41" s="12"/>
      <c r="ACB41" s="12"/>
      <c r="ACC41" s="12"/>
      <c r="ACD41" s="12"/>
      <c r="ACE41" s="12"/>
      <c r="ACF41" s="12"/>
      <c r="ACG41" s="12"/>
      <c r="ACH41" s="12"/>
      <c r="ACI41" s="12"/>
      <c r="ACJ41" s="12"/>
      <c r="ACK41" s="12"/>
      <c r="ACL41" s="12"/>
      <c r="ACM41" s="12"/>
      <c r="ACN41" s="12"/>
      <c r="ACO41" s="12"/>
      <c r="ACP41" s="12"/>
      <c r="ACQ41" s="12"/>
      <c r="ACR41" s="12"/>
      <c r="ACS41" s="12"/>
      <c r="ACT41" s="12"/>
      <c r="ACU41" s="12"/>
      <c r="ACV41" s="12"/>
      <c r="ACW41" s="12"/>
      <c r="ACX41" s="12"/>
      <c r="ACY41" s="12"/>
      <c r="ACZ41" s="12"/>
      <c r="ADA41" s="12"/>
      <c r="ADB41" s="12"/>
      <c r="ADC41" s="12"/>
      <c r="ADD41" s="12"/>
      <c r="ADE41" s="12"/>
      <c r="ADF41" s="12"/>
      <c r="ADG41" s="12"/>
      <c r="ADH41" s="12"/>
      <c r="ADI41" s="12"/>
      <c r="ADJ41" s="12"/>
      <c r="ADK41" s="12"/>
      <c r="ADL41" s="12"/>
      <c r="ADM41" s="12"/>
      <c r="ADN41" s="12"/>
      <c r="ADO41" s="12"/>
      <c r="ADP41" s="12"/>
      <c r="ADQ41" s="12"/>
      <c r="ADR41" s="12"/>
      <c r="ADS41" s="12"/>
      <c r="ADT41" s="12"/>
      <c r="ADU41" s="12"/>
      <c r="ADV41" s="12"/>
      <c r="ADW41" s="12"/>
      <c r="ADX41" s="12"/>
      <c r="ADY41" s="12"/>
      <c r="ADZ41" s="12"/>
      <c r="AEA41" s="12"/>
      <c r="AEB41" s="12"/>
      <c r="AEC41" s="12"/>
      <c r="AED41" s="12"/>
      <c r="AEE41" s="12"/>
      <c r="AEF41" s="12"/>
      <c r="AEG41" s="12"/>
      <c r="AEH41" s="12"/>
      <c r="AEI41" s="12"/>
      <c r="AEJ41" s="12"/>
      <c r="AEK41" s="12"/>
      <c r="AEL41" s="12"/>
      <c r="AEM41" s="12"/>
      <c r="AEN41" s="12"/>
      <c r="AEO41" s="12"/>
      <c r="AEP41" s="12"/>
      <c r="AEQ41" s="12"/>
      <c r="AER41" s="12"/>
      <c r="AES41" s="12"/>
      <c r="AET41" s="12"/>
      <c r="AEU41" s="12"/>
      <c r="AEV41" s="12"/>
    </row>
    <row r="42" spans="1:828" s="27" customFormat="1" ht="18" x14ac:dyDescent="0.2">
      <c r="A42" s="28"/>
      <c r="D42" s="29"/>
      <c r="E42" s="23"/>
      <c r="F42" s="23"/>
      <c r="G42" s="23"/>
      <c r="H42" s="30"/>
      <c r="I42" s="23"/>
      <c r="J42" s="29"/>
      <c r="K42" s="30"/>
      <c r="L42" s="23" t="s">
        <v>42</v>
      </c>
      <c r="M42" s="29">
        <v>60</v>
      </c>
      <c r="N42" s="47"/>
      <c r="O42" s="47">
        <f t="shared" si="2"/>
        <v>5.1495073637955306E-4</v>
      </c>
      <c r="P42" s="48"/>
      <c r="Q42"/>
      <c r="R42"/>
      <c r="S42"/>
      <c r="T4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2"/>
      <c r="DG42" s="12"/>
      <c r="DH42" s="12"/>
      <c r="DI42" s="12"/>
      <c r="DJ42" s="12"/>
      <c r="DK42" s="12"/>
      <c r="DL42" s="12"/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2"/>
      <c r="EJ42" s="12"/>
      <c r="EK42" s="12"/>
      <c r="EL42" s="12"/>
      <c r="EM42" s="12"/>
      <c r="EN42" s="12"/>
      <c r="EO42" s="12"/>
      <c r="EP42" s="12"/>
      <c r="EQ42" s="12"/>
      <c r="ER42" s="12"/>
      <c r="ES42" s="12"/>
      <c r="ET42" s="12"/>
      <c r="EU42" s="12"/>
      <c r="EV42" s="12"/>
      <c r="EW42" s="12"/>
      <c r="EX42" s="12"/>
      <c r="EY42" s="12"/>
      <c r="EZ42" s="12"/>
      <c r="FA42" s="12"/>
      <c r="FB42" s="12"/>
      <c r="FC42" s="12"/>
      <c r="FD42" s="12"/>
      <c r="FE42" s="12"/>
      <c r="FF42" s="12"/>
      <c r="FG42" s="12"/>
      <c r="FH42" s="12"/>
      <c r="FI42" s="12"/>
      <c r="FJ42" s="12"/>
      <c r="FK42" s="12"/>
      <c r="FL42" s="12"/>
      <c r="FM42" s="12"/>
      <c r="FN42" s="12"/>
      <c r="FO42" s="12"/>
      <c r="FP42" s="12"/>
      <c r="FQ42" s="12"/>
      <c r="FR42" s="12"/>
      <c r="FS42" s="12"/>
      <c r="FT42" s="12"/>
      <c r="FU42" s="12"/>
      <c r="FV42" s="12"/>
      <c r="FW42" s="12"/>
      <c r="FX42" s="12"/>
      <c r="FY42" s="12"/>
      <c r="FZ42" s="12"/>
      <c r="GA42" s="12"/>
      <c r="GB42" s="12"/>
      <c r="GC42" s="12"/>
      <c r="GD42" s="12"/>
      <c r="GE42" s="12"/>
      <c r="GF42" s="12"/>
      <c r="GG42" s="12"/>
      <c r="GH42" s="12"/>
      <c r="GI42" s="12"/>
      <c r="GJ42" s="12"/>
      <c r="GK42" s="12"/>
      <c r="GL42" s="12"/>
      <c r="GM42" s="12"/>
      <c r="GN42" s="12"/>
      <c r="GO42" s="12"/>
      <c r="GP42" s="12"/>
      <c r="GQ42" s="12"/>
      <c r="GR42" s="12"/>
      <c r="GS42" s="12"/>
      <c r="GT42" s="12"/>
      <c r="GU42" s="12"/>
      <c r="GV42" s="12"/>
      <c r="GW42" s="12"/>
      <c r="GX42" s="12"/>
      <c r="GY42" s="12"/>
      <c r="GZ42" s="12"/>
      <c r="HA42" s="12"/>
      <c r="HB42" s="12"/>
      <c r="HC42" s="12"/>
      <c r="HD42" s="12"/>
      <c r="HE42" s="12"/>
      <c r="HF42" s="12"/>
      <c r="HG42" s="12"/>
      <c r="HH42" s="12"/>
      <c r="HI42" s="12"/>
      <c r="HJ42" s="12"/>
      <c r="HK42" s="12"/>
      <c r="HL42" s="12"/>
      <c r="HM42" s="12"/>
      <c r="HN42" s="12"/>
      <c r="HO42" s="12"/>
      <c r="HP42" s="12"/>
      <c r="HQ42" s="12"/>
      <c r="HR42" s="12"/>
      <c r="HS42" s="12"/>
      <c r="HT42" s="12"/>
      <c r="HU42" s="12"/>
      <c r="HV42" s="12"/>
      <c r="HW42" s="12"/>
      <c r="HX42" s="12"/>
      <c r="HY42" s="12"/>
      <c r="HZ42" s="12"/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  <c r="IL42" s="12"/>
      <c r="IM42" s="12"/>
      <c r="IN42" s="12"/>
      <c r="IO42" s="12"/>
      <c r="IP42" s="12"/>
      <c r="IQ42" s="12"/>
      <c r="IR42" s="12"/>
      <c r="IS42" s="12"/>
      <c r="IT42" s="12"/>
      <c r="IU42" s="12"/>
      <c r="IV42" s="12"/>
      <c r="IW42" s="12"/>
      <c r="IX42" s="12"/>
      <c r="IY42" s="12"/>
      <c r="IZ42" s="12"/>
      <c r="JA42" s="12"/>
      <c r="JB42" s="12"/>
      <c r="JC42" s="12"/>
      <c r="JD42" s="12"/>
      <c r="JE42" s="12"/>
      <c r="JF42" s="12"/>
      <c r="JG42" s="12"/>
      <c r="JH42" s="12"/>
      <c r="JI42" s="12"/>
      <c r="JJ42" s="12"/>
      <c r="JK42" s="12"/>
      <c r="JL42" s="12"/>
      <c r="JM42" s="12"/>
      <c r="JN42" s="12"/>
      <c r="JO42" s="12"/>
      <c r="JP42" s="12"/>
      <c r="JQ42" s="12"/>
      <c r="JR42" s="12"/>
      <c r="JS42" s="12"/>
      <c r="JT42" s="12"/>
      <c r="JU42" s="12"/>
      <c r="JV42" s="12"/>
      <c r="JW42" s="12"/>
      <c r="JX42" s="12"/>
      <c r="JY42" s="12"/>
      <c r="JZ42" s="12"/>
      <c r="KA42" s="12"/>
      <c r="KB42" s="12"/>
      <c r="KC42" s="12"/>
      <c r="KD42" s="12"/>
      <c r="KE42" s="12"/>
      <c r="KF42" s="12"/>
      <c r="KG42" s="12"/>
      <c r="KH42" s="12"/>
      <c r="KI42" s="12"/>
      <c r="KJ42" s="12"/>
      <c r="KK42" s="12"/>
      <c r="KL42" s="12"/>
      <c r="KM42" s="12"/>
      <c r="KN42" s="12"/>
      <c r="KO42" s="12"/>
      <c r="KP42" s="12"/>
      <c r="KQ42" s="12"/>
      <c r="KR42" s="12"/>
      <c r="KS42" s="12"/>
      <c r="KT42" s="12"/>
      <c r="KU42" s="12"/>
      <c r="KV42" s="12"/>
      <c r="KW42" s="12"/>
      <c r="KX42" s="12"/>
      <c r="KY42" s="12"/>
      <c r="KZ42" s="12"/>
      <c r="LA42" s="12"/>
      <c r="LB42" s="12"/>
      <c r="LC42" s="12"/>
      <c r="LD42" s="12"/>
      <c r="LE42" s="12"/>
      <c r="LF42" s="12"/>
      <c r="LG42" s="12"/>
      <c r="LH42" s="12"/>
      <c r="LI42" s="12"/>
      <c r="LJ42" s="12"/>
      <c r="LK42" s="12"/>
      <c r="LL42" s="12"/>
      <c r="LM42" s="12"/>
      <c r="LN42" s="12"/>
      <c r="LO42" s="12"/>
      <c r="LP42" s="12"/>
      <c r="LQ42" s="12"/>
      <c r="LR42" s="12"/>
      <c r="LS42" s="12"/>
      <c r="LT42" s="12"/>
      <c r="LU42" s="12"/>
      <c r="LV42" s="12"/>
      <c r="LW42" s="12"/>
      <c r="LX42" s="12"/>
      <c r="LY42" s="12"/>
      <c r="LZ42" s="12"/>
      <c r="MA42" s="12"/>
      <c r="MB42" s="12"/>
      <c r="MC42" s="12"/>
      <c r="MD42" s="12"/>
      <c r="ME42" s="12"/>
      <c r="MF42" s="12"/>
      <c r="MG42" s="12"/>
      <c r="MH42" s="12"/>
      <c r="MI42" s="12"/>
      <c r="MJ42" s="12"/>
      <c r="MK42" s="12"/>
      <c r="ML42" s="12"/>
      <c r="MM42" s="12"/>
      <c r="MN42" s="12"/>
      <c r="MO42" s="12"/>
      <c r="MP42" s="12"/>
      <c r="MQ42" s="12"/>
      <c r="MR42" s="12"/>
      <c r="MS42" s="12"/>
      <c r="MT42" s="12"/>
      <c r="MU42" s="12"/>
      <c r="MV42" s="12"/>
      <c r="MW42" s="12"/>
      <c r="MX42" s="12"/>
      <c r="MY42" s="12"/>
      <c r="MZ42" s="12"/>
      <c r="NA42" s="12"/>
      <c r="NB42" s="12"/>
      <c r="NC42" s="12"/>
      <c r="ND42" s="12"/>
      <c r="NE42" s="12"/>
      <c r="NF42" s="12"/>
      <c r="NG42" s="12"/>
      <c r="NH42" s="12"/>
      <c r="NI42" s="12"/>
      <c r="NJ42" s="12"/>
      <c r="NK42" s="12"/>
      <c r="NL42" s="12"/>
      <c r="NM42" s="12"/>
      <c r="NN42" s="12"/>
      <c r="NO42" s="12"/>
      <c r="NP42" s="12"/>
      <c r="NQ42" s="12"/>
      <c r="NR42" s="12"/>
      <c r="NS42" s="12"/>
      <c r="NT42" s="12"/>
      <c r="NU42" s="12"/>
      <c r="NV42" s="12"/>
      <c r="NW42" s="12"/>
      <c r="NX42" s="12"/>
      <c r="NY42" s="12"/>
      <c r="NZ42" s="12"/>
      <c r="OA42" s="12"/>
      <c r="OB42" s="12"/>
      <c r="OC42" s="12"/>
      <c r="OD42" s="12"/>
      <c r="OE42" s="12"/>
      <c r="OF42" s="12"/>
      <c r="OG42" s="12"/>
      <c r="OH42" s="12"/>
      <c r="OI42" s="12"/>
      <c r="OJ42" s="12"/>
      <c r="OK42" s="12"/>
      <c r="OL42" s="12"/>
      <c r="OM42" s="12"/>
      <c r="ON42" s="12"/>
      <c r="OO42" s="12"/>
      <c r="OP42" s="12"/>
      <c r="OQ42" s="12"/>
      <c r="OR42" s="12"/>
      <c r="OS42" s="12"/>
      <c r="OT42" s="12"/>
      <c r="OU42" s="12"/>
      <c r="OV42" s="12"/>
      <c r="OW42" s="12"/>
      <c r="OX42" s="12"/>
      <c r="OY42" s="12"/>
      <c r="OZ42" s="12"/>
      <c r="PA42" s="12"/>
      <c r="PB42" s="12"/>
      <c r="PC42" s="12"/>
      <c r="PD42" s="12"/>
      <c r="PE42" s="12"/>
      <c r="PF42" s="12"/>
      <c r="PG42" s="12"/>
      <c r="PH42" s="12"/>
      <c r="PI42" s="12"/>
      <c r="PJ42" s="12"/>
      <c r="PK42" s="12"/>
      <c r="PL42" s="12"/>
      <c r="PM42" s="12"/>
      <c r="PN42" s="12"/>
      <c r="PO42" s="12"/>
      <c r="PP42" s="12"/>
      <c r="PQ42" s="12"/>
      <c r="PR42" s="12"/>
      <c r="PS42" s="12"/>
      <c r="PT42" s="12"/>
      <c r="PU42" s="12"/>
      <c r="PV42" s="12"/>
      <c r="PW42" s="12"/>
      <c r="PX42" s="12"/>
      <c r="PY42" s="12"/>
      <c r="PZ42" s="12"/>
      <c r="QA42" s="12"/>
      <c r="QB42" s="12"/>
      <c r="QC42" s="12"/>
      <c r="QD42" s="12"/>
      <c r="QE42" s="12"/>
      <c r="QF42" s="12"/>
      <c r="QG42" s="12"/>
      <c r="QH42" s="12"/>
      <c r="QI42" s="12"/>
      <c r="QJ42" s="12"/>
      <c r="QK42" s="12"/>
      <c r="QL42" s="12"/>
      <c r="QM42" s="12"/>
      <c r="QN42" s="12"/>
      <c r="QO42" s="12"/>
      <c r="QP42" s="12"/>
      <c r="QQ42" s="12"/>
      <c r="QR42" s="12"/>
      <c r="QS42" s="12"/>
      <c r="QT42" s="12"/>
      <c r="QU42" s="12"/>
      <c r="QV42" s="12"/>
      <c r="QW42" s="12"/>
      <c r="QX42" s="12"/>
      <c r="QY42" s="12"/>
      <c r="QZ42" s="12"/>
      <c r="RA42" s="12"/>
      <c r="RB42" s="12"/>
      <c r="RC42" s="12"/>
      <c r="RD42" s="12"/>
      <c r="RE42" s="12"/>
      <c r="RF42" s="12"/>
      <c r="RG42" s="12"/>
      <c r="RH42" s="12"/>
      <c r="RI42" s="12"/>
      <c r="RJ42" s="12"/>
      <c r="RK42" s="12"/>
      <c r="RL42" s="12"/>
      <c r="RM42" s="12"/>
      <c r="RN42" s="12"/>
      <c r="RO42" s="12"/>
      <c r="RP42" s="12"/>
      <c r="RQ42" s="12"/>
      <c r="RR42" s="12"/>
      <c r="RS42" s="12"/>
      <c r="RT42" s="12"/>
      <c r="RU42" s="12"/>
      <c r="RV42" s="12"/>
      <c r="RW42" s="12"/>
      <c r="RX42" s="12"/>
      <c r="RY42" s="12"/>
      <c r="RZ42" s="12"/>
      <c r="SA42" s="12"/>
      <c r="SB42" s="12"/>
      <c r="SC42" s="12"/>
      <c r="SD42" s="12"/>
      <c r="SE42" s="12"/>
      <c r="SF42" s="12"/>
      <c r="SG42" s="12"/>
      <c r="SH42" s="12"/>
      <c r="SI42" s="12"/>
      <c r="SJ42" s="12"/>
      <c r="SK42" s="12"/>
      <c r="SL42" s="12"/>
      <c r="SM42" s="12"/>
      <c r="SN42" s="12"/>
      <c r="SO42" s="12"/>
      <c r="SP42" s="12"/>
      <c r="SQ42" s="12"/>
      <c r="SR42" s="12"/>
      <c r="SS42" s="12"/>
      <c r="ST42" s="12"/>
      <c r="SU42" s="12"/>
      <c r="SV42" s="12"/>
      <c r="SW42" s="12"/>
      <c r="SX42" s="12"/>
      <c r="SY42" s="12"/>
      <c r="SZ42" s="12"/>
      <c r="TA42" s="12"/>
      <c r="TB42" s="12"/>
      <c r="TC42" s="12"/>
      <c r="TD42" s="12"/>
      <c r="TE42" s="12"/>
      <c r="TF42" s="12"/>
      <c r="TG42" s="12"/>
      <c r="TH42" s="12"/>
      <c r="TI42" s="12"/>
      <c r="TJ42" s="12"/>
      <c r="TK42" s="12"/>
      <c r="TL42" s="12"/>
      <c r="TM42" s="12"/>
      <c r="TN42" s="12"/>
      <c r="TO42" s="12"/>
      <c r="TP42" s="12"/>
      <c r="TQ42" s="12"/>
      <c r="TR42" s="12"/>
      <c r="TS42" s="12"/>
      <c r="TT42" s="12"/>
      <c r="TU42" s="12"/>
      <c r="TV42" s="12"/>
      <c r="TW42" s="12"/>
      <c r="TX42" s="12"/>
      <c r="TY42" s="12"/>
      <c r="TZ42" s="12"/>
      <c r="UA42" s="12"/>
      <c r="UB42" s="12"/>
      <c r="UC42" s="12"/>
      <c r="UD42" s="12"/>
      <c r="UE42" s="12"/>
      <c r="UF42" s="12"/>
      <c r="UG42" s="12"/>
      <c r="UH42" s="12"/>
      <c r="UI42" s="12"/>
      <c r="UJ42" s="12"/>
      <c r="UK42" s="12"/>
      <c r="UL42" s="12"/>
      <c r="UM42" s="12"/>
      <c r="UN42" s="12"/>
      <c r="UO42" s="12"/>
      <c r="UP42" s="12"/>
      <c r="UQ42" s="12"/>
      <c r="UR42" s="12"/>
      <c r="US42" s="12"/>
      <c r="UT42" s="12"/>
      <c r="UU42" s="12"/>
      <c r="UV42" s="12"/>
      <c r="UW42" s="12"/>
      <c r="UX42" s="12"/>
      <c r="UY42" s="12"/>
      <c r="UZ42" s="12"/>
      <c r="VA42" s="12"/>
      <c r="VB42" s="12"/>
      <c r="VC42" s="12"/>
      <c r="VD42" s="12"/>
      <c r="VE42" s="12"/>
      <c r="VF42" s="12"/>
      <c r="VG42" s="12"/>
      <c r="VH42" s="12"/>
      <c r="VI42" s="12"/>
      <c r="VJ42" s="12"/>
      <c r="VK42" s="12"/>
      <c r="VL42" s="12"/>
      <c r="VM42" s="12"/>
      <c r="VN42" s="12"/>
      <c r="VO42" s="12"/>
      <c r="VP42" s="12"/>
      <c r="VQ42" s="12"/>
      <c r="VR42" s="12"/>
      <c r="VS42" s="12"/>
      <c r="VT42" s="12"/>
      <c r="VU42" s="12"/>
      <c r="VV42" s="12"/>
      <c r="VW42" s="12"/>
      <c r="VX42" s="12"/>
      <c r="VY42" s="12"/>
      <c r="VZ42" s="12"/>
      <c r="WA42" s="12"/>
      <c r="WB42" s="12"/>
      <c r="WC42" s="12"/>
      <c r="WD42" s="12"/>
      <c r="WE42" s="12"/>
      <c r="WF42" s="12"/>
      <c r="WG42" s="12"/>
      <c r="WH42" s="12"/>
      <c r="WI42" s="12"/>
      <c r="WJ42" s="12"/>
      <c r="WK42" s="12"/>
      <c r="WL42" s="12"/>
      <c r="WM42" s="12"/>
      <c r="WN42" s="12"/>
      <c r="WO42" s="12"/>
      <c r="WP42" s="12"/>
      <c r="WQ42" s="12"/>
      <c r="WR42" s="12"/>
      <c r="WS42" s="12"/>
      <c r="WT42" s="12"/>
      <c r="WU42" s="12"/>
      <c r="WV42" s="12"/>
      <c r="WW42" s="12"/>
      <c r="WX42" s="12"/>
      <c r="WY42" s="12"/>
      <c r="WZ42" s="12"/>
      <c r="XA42" s="12"/>
      <c r="XB42" s="12"/>
      <c r="XC42" s="12"/>
      <c r="XD42" s="12"/>
      <c r="XE42" s="12"/>
      <c r="XF42" s="12"/>
      <c r="XG42" s="12"/>
      <c r="XH42" s="12"/>
      <c r="XI42" s="12"/>
      <c r="XJ42" s="12"/>
      <c r="XK42" s="12"/>
      <c r="XL42" s="12"/>
      <c r="XM42" s="12"/>
      <c r="XN42" s="12"/>
      <c r="XO42" s="12"/>
      <c r="XP42" s="12"/>
      <c r="XQ42" s="12"/>
      <c r="XR42" s="12"/>
      <c r="XS42" s="12"/>
      <c r="XT42" s="12"/>
      <c r="XU42" s="12"/>
      <c r="XV42" s="12"/>
      <c r="XW42" s="12"/>
      <c r="XX42" s="12"/>
      <c r="XY42" s="12"/>
      <c r="XZ42" s="12"/>
      <c r="YA42" s="12"/>
      <c r="YB42" s="12"/>
      <c r="YC42" s="12"/>
      <c r="YD42" s="12"/>
      <c r="YE42" s="12"/>
      <c r="YF42" s="12"/>
      <c r="YG42" s="12"/>
      <c r="YH42" s="12"/>
      <c r="YI42" s="12"/>
      <c r="YJ42" s="12"/>
      <c r="YK42" s="12"/>
      <c r="YL42" s="12"/>
      <c r="YM42" s="12"/>
      <c r="YN42" s="12"/>
      <c r="YO42" s="12"/>
      <c r="YP42" s="12"/>
      <c r="YQ42" s="12"/>
      <c r="YR42" s="12"/>
      <c r="YS42" s="12"/>
      <c r="YT42" s="12"/>
      <c r="YU42" s="12"/>
      <c r="YV42" s="12"/>
      <c r="YW42" s="12"/>
      <c r="YX42" s="12"/>
      <c r="YY42" s="12"/>
      <c r="YZ42" s="12"/>
      <c r="ZA42" s="12"/>
      <c r="ZB42" s="12"/>
      <c r="ZC42" s="12"/>
      <c r="ZD42" s="12"/>
      <c r="ZE42" s="12"/>
      <c r="ZF42" s="12"/>
      <c r="ZG42" s="12"/>
      <c r="ZH42" s="12"/>
      <c r="ZI42" s="12"/>
      <c r="ZJ42" s="12"/>
      <c r="ZK42" s="12"/>
      <c r="ZL42" s="12"/>
      <c r="ZM42" s="12"/>
      <c r="ZN42" s="12"/>
      <c r="ZO42" s="12"/>
      <c r="ZP42" s="12"/>
      <c r="ZQ42" s="12"/>
      <c r="ZR42" s="12"/>
      <c r="ZS42" s="12"/>
      <c r="ZT42" s="12"/>
      <c r="ZU42" s="12"/>
      <c r="ZV42" s="12"/>
      <c r="ZW42" s="12"/>
      <c r="ZX42" s="12"/>
      <c r="ZY42" s="12"/>
      <c r="ZZ42" s="12"/>
      <c r="AAA42" s="12"/>
      <c r="AAB42" s="12"/>
      <c r="AAC42" s="12"/>
      <c r="AAD42" s="12"/>
      <c r="AAE42" s="12"/>
      <c r="AAF42" s="12"/>
      <c r="AAG42" s="12"/>
      <c r="AAH42" s="12"/>
      <c r="AAI42" s="12"/>
      <c r="AAJ42" s="12"/>
      <c r="AAK42" s="12"/>
      <c r="AAL42" s="12"/>
      <c r="AAM42" s="12"/>
      <c r="AAN42" s="12"/>
      <c r="AAO42" s="12"/>
      <c r="AAP42" s="12"/>
      <c r="AAQ42" s="12"/>
      <c r="AAR42" s="12"/>
      <c r="AAS42" s="12"/>
      <c r="AAT42" s="12"/>
      <c r="AAU42" s="12"/>
      <c r="AAV42" s="12"/>
      <c r="AAW42" s="12"/>
      <c r="AAX42" s="12"/>
      <c r="AAY42" s="12"/>
      <c r="AAZ42" s="12"/>
      <c r="ABA42" s="12"/>
      <c r="ABB42" s="12"/>
      <c r="ABC42" s="12"/>
      <c r="ABD42" s="12"/>
      <c r="ABE42" s="12"/>
      <c r="ABF42" s="12"/>
      <c r="ABG42" s="12"/>
      <c r="ABH42" s="12"/>
      <c r="ABI42" s="12"/>
      <c r="ABJ42" s="12"/>
      <c r="ABK42" s="12"/>
      <c r="ABL42" s="12"/>
      <c r="ABM42" s="12"/>
      <c r="ABN42" s="12"/>
      <c r="ABO42" s="12"/>
      <c r="ABP42" s="12"/>
      <c r="ABQ42" s="12"/>
      <c r="ABR42" s="12"/>
      <c r="ABS42" s="12"/>
      <c r="ABT42" s="12"/>
      <c r="ABU42" s="12"/>
      <c r="ABV42" s="12"/>
      <c r="ABW42" s="12"/>
      <c r="ABX42" s="12"/>
      <c r="ABY42" s="12"/>
      <c r="ABZ42" s="12"/>
      <c r="ACA42" s="12"/>
      <c r="ACB42" s="12"/>
      <c r="ACC42" s="12"/>
      <c r="ACD42" s="12"/>
      <c r="ACE42" s="12"/>
      <c r="ACF42" s="12"/>
      <c r="ACG42" s="12"/>
      <c r="ACH42" s="12"/>
      <c r="ACI42" s="12"/>
      <c r="ACJ42" s="12"/>
      <c r="ACK42" s="12"/>
      <c r="ACL42" s="12"/>
      <c r="ACM42" s="12"/>
      <c r="ACN42" s="12"/>
      <c r="ACO42" s="12"/>
      <c r="ACP42" s="12"/>
      <c r="ACQ42" s="12"/>
      <c r="ACR42" s="12"/>
      <c r="ACS42" s="12"/>
      <c r="ACT42" s="12"/>
      <c r="ACU42" s="12"/>
      <c r="ACV42" s="12"/>
      <c r="ACW42" s="12"/>
      <c r="ACX42" s="12"/>
      <c r="ACY42" s="12"/>
      <c r="ACZ42" s="12"/>
      <c r="ADA42" s="12"/>
      <c r="ADB42" s="12"/>
      <c r="ADC42" s="12"/>
      <c r="ADD42" s="12"/>
      <c r="ADE42" s="12"/>
      <c r="ADF42" s="12"/>
      <c r="ADG42" s="12"/>
      <c r="ADH42" s="12"/>
      <c r="ADI42" s="12"/>
      <c r="ADJ42" s="12"/>
      <c r="ADK42" s="12"/>
      <c r="ADL42" s="12"/>
      <c r="ADM42" s="12"/>
      <c r="ADN42" s="12"/>
      <c r="ADO42" s="12"/>
      <c r="ADP42" s="12"/>
      <c r="ADQ42" s="12"/>
      <c r="ADR42" s="12"/>
      <c r="ADS42" s="12"/>
      <c r="ADT42" s="12"/>
      <c r="ADU42" s="12"/>
      <c r="ADV42" s="12"/>
      <c r="ADW42" s="12"/>
      <c r="ADX42" s="12"/>
      <c r="ADY42" s="12"/>
      <c r="ADZ42" s="12"/>
      <c r="AEA42" s="12"/>
      <c r="AEB42" s="12"/>
      <c r="AEC42" s="12"/>
      <c r="AED42" s="12"/>
      <c r="AEE42" s="12"/>
      <c r="AEF42" s="12"/>
      <c r="AEG42" s="12"/>
      <c r="AEH42" s="12"/>
      <c r="AEI42" s="12"/>
      <c r="AEJ42" s="12"/>
      <c r="AEK42" s="12"/>
      <c r="AEL42" s="12"/>
      <c r="AEM42" s="12"/>
      <c r="AEN42" s="12"/>
      <c r="AEO42" s="12"/>
      <c r="AEP42" s="12"/>
      <c r="AEQ42" s="12"/>
      <c r="AER42" s="12"/>
      <c r="AES42" s="12"/>
      <c r="AET42" s="12"/>
      <c r="AEU42" s="12"/>
      <c r="AEV42" s="12"/>
    </row>
    <row r="43" spans="1:828" s="27" customFormat="1" ht="18" x14ac:dyDescent="0.2">
      <c r="A43" s="28"/>
      <c r="C43" s="23"/>
      <c r="D43" s="29"/>
      <c r="E43" s="23"/>
      <c r="F43" s="23"/>
      <c r="G43" s="23"/>
      <c r="H43" s="30"/>
      <c r="I43" s="23"/>
      <c r="J43" s="29"/>
      <c r="K43" s="30"/>
      <c r="L43" s="23"/>
      <c r="M43" s="29"/>
      <c r="N43" s="47"/>
      <c r="O43" s="47"/>
      <c r="P43" s="48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2"/>
      <c r="FJ43" s="12"/>
      <c r="FK43" s="12"/>
      <c r="FL43" s="12"/>
      <c r="FM43" s="12"/>
      <c r="FN43" s="12"/>
      <c r="FO43" s="12"/>
      <c r="FP43" s="12"/>
      <c r="FQ43" s="12"/>
      <c r="FR43" s="12"/>
      <c r="FS43" s="12"/>
      <c r="FT43" s="12"/>
      <c r="FU43" s="12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2"/>
      <c r="GG43" s="12"/>
      <c r="GH43" s="12"/>
      <c r="GI43" s="12"/>
      <c r="GJ43" s="12"/>
      <c r="GK43" s="12"/>
      <c r="GL43" s="12"/>
      <c r="GM43" s="12"/>
      <c r="GN43" s="12"/>
      <c r="GO43" s="12"/>
      <c r="GP43" s="12"/>
      <c r="GQ43" s="12"/>
      <c r="GR43" s="12"/>
      <c r="GS43" s="12"/>
      <c r="GT43" s="12"/>
      <c r="GU43" s="12"/>
      <c r="GV43" s="12"/>
      <c r="GW43" s="12"/>
      <c r="GX43" s="12"/>
      <c r="GY43" s="12"/>
      <c r="GZ43" s="12"/>
      <c r="HA43" s="12"/>
      <c r="HB43" s="12"/>
      <c r="HC43" s="12"/>
      <c r="HD43" s="12"/>
      <c r="HE43" s="12"/>
      <c r="HF43" s="12"/>
      <c r="HG43" s="12"/>
      <c r="HH43" s="12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2"/>
      <c r="HT43" s="12"/>
      <c r="HU43" s="12"/>
      <c r="HV43" s="12"/>
      <c r="HW43" s="12"/>
      <c r="HX43" s="12"/>
      <c r="HY43" s="12"/>
      <c r="HZ43" s="12"/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  <c r="IL43" s="12"/>
      <c r="IM43" s="12"/>
      <c r="IN43" s="12"/>
      <c r="IO43" s="12"/>
      <c r="IP43" s="12"/>
      <c r="IQ43" s="12"/>
      <c r="IR43" s="12"/>
      <c r="IS43" s="12"/>
      <c r="IT43" s="12"/>
      <c r="IU43" s="12"/>
      <c r="IV43" s="12"/>
      <c r="IW43" s="12"/>
      <c r="IX43" s="12"/>
      <c r="IY43" s="12"/>
      <c r="IZ43" s="12"/>
      <c r="JA43" s="12"/>
      <c r="JB43" s="12"/>
      <c r="JC43" s="12"/>
      <c r="JD43" s="12"/>
      <c r="JE43" s="12"/>
      <c r="JF43" s="12"/>
      <c r="JG43" s="12"/>
      <c r="JH43" s="12"/>
      <c r="JI43" s="12"/>
      <c r="JJ43" s="12"/>
      <c r="JK43" s="12"/>
      <c r="JL43" s="12"/>
      <c r="JM43" s="12"/>
      <c r="JN43" s="12"/>
      <c r="JO43" s="12"/>
      <c r="JP43" s="12"/>
      <c r="JQ43" s="12"/>
      <c r="JR43" s="12"/>
      <c r="JS43" s="12"/>
      <c r="JT43" s="12"/>
      <c r="JU43" s="12"/>
      <c r="JV43" s="12"/>
      <c r="JW43" s="12"/>
      <c r="JX43" s="12"/>
      <c r="JY43" s="12"/>
      <c r="JZ43" s="12"/>
      <c r="KA43" s="12"/>
      <c r="KB43" s="12"/>
      <c r="KC43" s="12"/>
      <c r="KD43" s="12"/>
      <c r="KE43" s="12"/>
      <c r="KF43" s="12"/>
      <c r="KG43" s="12"/>
      <c r="KH43" s="12"/>
      <c r="KI43" s="12"/>
      <c r="KJ43" s="12"/>
      <c r="KK43" s="12"/>
      <c r="KL43" s="12"/>
      <c r="KM43" s="12"/>
      <c r="KN43" s="12"/>
      <c r="KO43" s="12"/>
      <c r="KP43" s="12"/>
      <c r="KQ43" s="12"/>
      <c r="KR43" s="12"/>
      <c r="KS43" s="12"/>
      <c r="KT43" s="12"/>
      <c r="KU43" s="12"/>
      <c r="KV43" s="12"/>
      <c r="KW43" s="12"/>
      <c r="KX43" s="12"/>
      <c r="KY43" s="12"/>
      <c r="KZ43" s="12"/>
      <c r="LA43" s="12"/>
      <c r="LB43" s="12"/>
      <c r="LC43" s="12"/>
      <c r="LD43" s="12"/>
      <c r="LE43" s="12"/>
      <c r="LF43" s="12"/>
      <c r="LG43" s="12"/>
      <c r="LH43" s="12"/>
      <c r="LI43" s="12"/>
      <c r="LJ43" s="12"/>
      <c r="LK43" s="12"/>
      <c r="LL43" s="12"/>
      <c r="LM43" s="12"/>
      <c r="LN43" s="12"/>
      <c r="LO43" s="12"/>
      <c r="LP43" s="12"/>
      <c r="LQ43" s="12"/>
      <c r="LR43" s="12"/>
      <c r="LS43" s="12"/>
      <c r="LT43" s="12"/>
      <c r="LU43" s="12"/>
      <c r="LV43" s="12"/>
      <c r="LW43" s="12"/>
      <c r="LX43" s="12"/>
      <c r="LY43" s="12"/>
      <c r="LZ43" s="12"/>
      <c r="MA43" s="12"/>
      <c r="MB43" s="12"/>
      <c r="MC43" s="12"/>
      <c r="MD43" s="12"/>
      <c r="ME43" s="12"/>
      <c r="MF43" s="12"/>
      <c r="MG43" s="12"/>
      <c r="MH43" s="12"/>
      <c r="MI43" s="12"/>
      <c r="MJ43" s="12"/>
      <c r="MK43" s="12"/>
      <c r="ML43" s="12"/>
      <c r="MM43" s="12"/>
      <c r="MN43" s="12"/>
      <c r="MO43" s="12"/>
      <c r="MP43" s="12"/>
      <c r="MQ43" s="12"/>
      <c r="MR43" s="12"/>
      <c r="MS43" s="12"/>
      <c r="MT43" s="12"/>
      <c r="MU43" s="12"/>
      <c r="MV43" s="12"/>
      <c r="MW43" s="12"/>
      <c r="MX43" s="12"/>
      <c r="MY43" s="12"/>
      <c r="MZ43" s="12"/>
      <c r="NA43" s="12"/>
      <c r="NB43" s="12"/>
      <c r="NC43" s="12"/>
      <c r="ND43" s="12"/>
      <c r="NE43" s="12"/>
      <c r="NF43" s="12"/>
      <c r="NG43" s="12"/>
      <c r="NH43" s="12"/>
      <c r="NI43" s="12"/>
      <c r="NJ43" s="12"/>
      <c r="NK43" s="12"/>
      <c r="NL43" s="12"/>
      <c r="NM43" s="12"/>
      <c r="NN43" s="12"/>
      <c r="NO43" s="12"/>
      <c r="NP43" s="12"/>
      <c r="NQ43" s="12"/>
      <c r="NR43" s="12"/>
      <c r="NS43" s="12"/>
      <c r="NT43" s="12"/>
      <c r="NU43" s="12"/>
      <c r="NV43" s="12"/>
      <c r="NW43" s="12"/>
      <c r="NX43" s="12"/>
      <c r="NY43" s="12"/>
      <c r="NZ43" s="12"/>
      <c r="OA43" s="12"/>
      <c r="OB43" s="12"/>
      <c r="OC43" s="12"/>
      <c r="OD43" s="12"/>
      <c r="OE43" s="12"/>
      <c r="OF43" s="12"/>
      <c r="OG43" s="12"/>
      <c r="OH43" s="12"/>
      <c r="OI43" s="12"/>
      <c r="OJ43" s="12"/>
      <c r="OK43" s="12"/>
      <c r="OL43" s="12"/>
      <c r="OM43" s="12"/>
      <c r="ON43" s="12"/>
      <c r="OO43" s="12"/>
      <c r="OP43" s="12"/>
      <c r="OQ43" s="12"/>
      <c r="OR43" s="12"/>
      <c r="OS43" s="12"/>
      <c r="OT43" s="12"/>
      <c r="OU43" s="12"/>
      <c r="OV43" s="12"/>
      <c r="OW43" s="12"/>
      <c r="OX43" s="12"/>
      <c r="OY43" s="12"/>
      <c r="OZ43" s="12"/>
      <c r="PA43" s="12"/>
      <c r="PB43" s="12"/>
      <c r="PC43" s="12"/>
      <c r="PD43" s="12"/>
      <c r="PE43" s="12"/>
      <c r="PF43" s="12"/>
      <c r="PG43" s="12"/>
      <c r="PH43" s="12"/>
      <c r="PI43" s="12"/>
      <c r="PJ43" s="12"/>
      <c r="PK43" s="12"/>
      <c r="PL43" s="12"/>
      <c r="PM43" s="12"/>
      <c r="PN43" s="12"/>
      <c r="PO43" s="12"/>
      <c r="PP43" s="12"/>
      <c r="PQ43" s="12"/>
      <c r="PR43" s="12"/>
      <c r="PS43" s="12"/>
      <c r="PT43" s="12"/>
      <c r="PU43" s="12"/>
      <c r="PV43" s="12"/>
      <c r="PW43" s="12"/>
      <c r="PX43" s="12"/>
      <c r="PY43" s="12"/>
      <c r="PZ43" s="12"/>
      <c r="QA43" s="12"/>
      <c r="QB43" s="12"/>
      <c r="QC43" s="12"/>
      <c r="QD43" s="12"/>
      <c r="QE43" s="12"/>
      <c r="QF43" s="12"/>
      <c r="QG43" s="12"/>
      <c r="QH43" s="12"/>
      <c r="QI43" s="12"/>
      <c r="QJ43" s="12"/>
      <c r="QK43" s="12"/>
      <c r="QL43" s="12"/>
      <c r="QM43" s="12"/>
      <c r="QN43" s="12"/>
      <c r="QO43" s="12"/>
      <c r="QP43" s="12"/>
      <c r="QQ43" s="12"/>
      <c r="QR43" s="12"/>
      <c r="QS43" s="12"/>
      <c r="QT43" s="12"/>
      <c r="QU43" s="12"/>
      <c r="QV43" s="12"/>
      <c r="QW43" s="12"/>
      <c r="QX43" s="12"/>
      <c r="QY43" s="12"/>
      <c r="QZ43" s="12"/>
      <c r="RA43" s="12"/>
      <c r="RB43" s="12"/>
      <c r="RC43" s="12"/>
      <c r="RD43" s="12"/>
      <c r="RE43" s="12"/>
      <c r="RF43" s="12"/>
      <c r="RG43" s="12"/>
      <c r="RH43" s="12"/>
      <c r="RI43" s="12"/>
      <c r="RJ43" s="12"/>
      <c r="RK43" s="12"/>
      <c r="RL43" s="12"/>
      <c r="RM43" s="12"/>
      <c r="RN43" s="12"/>
      <c r="RO43" s="12"/>
      <c r="RP43" s="12"/>
      <c r="RQ43" s="12"/>
      <c r="RR43" s="12"/>
      <c r="RS43" s="12"/>
      <c r="RT43" s="12"/>
      <c r="RU43" s="12"/>
      <c r="RV43" s="12"/>
      <c r="RW43" s="12"/>
      <c r="RX43" s="12"/>
      <c r="RY43" s="12"/>
      <c r="RZ43" s="12"/>
      <c r="SA43" s="12"/>
      <c r="SB43" s="12"/>
      <c r="SC43" s="12"/>
      <c r="SD43" s="12"/>
      <c r="SE43" s="12"/>
      <c r="SF43" s="12"/>
      <c r="SG43" s="12"/>
      <c r="SH43" s="12"/>
      <c r="SI43" s="12"/>
      <c r="SJ43" s="12"/>
      <c r="SK43" s="12"/>
      <c r="SL43" s="12"/>
      <c r="SM43" s="12"/>
      <c r="SN43" s="12"/>
      <c r="SO43" s="12"/>
      <c r="SP43" s="12"/>
      <c r="SQ43" s="12"/>
      <c r="SR43" s="12"/>
      <c r="SS43" s="12"/>
      <c r="ST43" s="12"/>
      <c r="SU43" s="12"/>
      <c r="SV43" s="12"/>
      <c r="SW43" s="12"/>
      <c r="SX43" s="12"/>
      <c r="SY43" s="12"/>
      <c r="SZ43" s="12"/>
      <c r="TA43" s="12"/>
      <c r="TB43" s="12"/>
      <c r="TC43" s="12"/>
      <c r="TD43" s="12"/>
      <c r="TE43" s="12"/>
      <c r="TF43" s="12"/>
      <c r="TG43" s="12"/>
      <c r="TH43" s="12"/>
      <c r="TI43" s="12"/>
      <c r="TJ43" s="12"/>
      <c r="TK43" s="12"/>
      <c r="TL43" s="12"/>
      <c r="TM43" s="12"/>
      <c r="TN43" s="12"/>
      <c r="TO43" s="12"/>
      <c r="TP43" s="12"/>
      <c r="TQ43" s="12"/>
      <c r="TR43" s="12"/>
      <c r="TS43" s="12"/>
      <c r="TT43" s="12"/>
      <c r="TU43" s="12"/>
      <c r="TV43" s="12"/>
      <c r="TW43" s="12"/>
      <c r="TX43" s="12"/>
      <c r="TY43" s="12"/>
      <c r="TZ43" s="12"/>
      <c r="UA43" s="12"/>
      <c r="UB43" s="12"/>
      <c r="UC43" s="12"/>
      <c r="UD43" s="12"/>
      <c r="UE43" s="12"/>
      <c r="UF43" s="12"/>
      <c r="UG43" s="12"/>
      <c r="UH43" s="12"/>
      <c r="UI43" s="12"/>
      <c r="UJ43" s="12"/>
      <c r="UK43" s="12"/>
      <c r="UL43" s="12"/>
      <c r="UM43" s="12"/>
      <c r="UN43" s="12"/>
      <c r="UO43" s="12"/>
      <c r="UP43" s="12"/>
      <c r="UQ43" s="12"/>
      <c r="UR43" s="12"/>
      <c r="US43" s="12"/>
      <c r="UT43" s="12"/>
      <c r="UU43" s="12"/>
      <c r="UV43" s="12"/>
      <c r="UW43" s="12"/>
      <c r="UX43" s="12"/>
      <c r="UY43" s="12"/>
      <c r="UZ43" s="12"/>
      <c r="VA43" s="12"/>
      <c r="VB43" s="12"/>
      <c r="VC43" s="12"/>
      <c r="VD43" s="12"/>
      <c r="VE43" s="12"/>
      <c r="VF43" s="12"/>
      <c r="VG43" s="12"/>
      <c r="VH43" s="12"/>
      <c r="VI43" s="12"/>
      <c r="VJ43" s="12"/>
      <c r="VK43" s="12"/>
      <c r="VL43" s="12"/>
      <c r="VM43" s="12"/>
      <c r="VN43" s="12"/>
      <c r="VO43" s="12"/>
      <c r="VP43" s="12"/>
      <c r="VQ43" s="12"/>
      <c r="VR43" s="12"/>
      <c r="VS43" s="12"/>
      <c r="VT43" s="12"/>
      <c r="VU43" s="12"/>
      <c r="VV43" s="12"/>
      <c r="VW43" s="12"/>
      <c r="VX43" s="12"/>
      <c r="VY43" s="12"/>
      <c r="VZ43" s="12"/>
      <c r="WA43" s="12"/>
      <c r="WB43" s="12"/>
      <c r="WC43" s="12"/>
      <c r="WD43" s="12"/>
      <c r="WE43" s="12"/>
      <c r="WF43" s="12"/>
      <c r="WG43" s="12"/>
      <c r="WH43" s="12"/>
      <c r="WI43" s="12"/>
      <c r="WJ43" s="12"/>
      <c r="WK43" s="12"/>
      <c r="WL43" s="12"/>
      <c r="WM43" s="12"/>
      <c r="WN43" s="12"/>
      <c r="WO43" s="12"/>
      <c r="WP43" s="12"/>
      <c r="WQ43" s="12"/>
      <c r="WR43" s="12"/>
      <c r="WS43" s="12"/>
      <c r="WT43" s="12"/>
      <c r="WU43" s="12"/>
      <c r="WV43" s="12"/>
      <c r="WW43" s="12"/>
      <c r="WX43" s="12"/>
      <c r="WY43" s="12"/>
      <c r="WZ43" s="12"/>
      <c r="XA43" s="12"/>
      <c r="XB43" s="12"/>
      <c r="XC43" s="12"/>
      <c r="XD43" s="12"/>
      <c r="XE43" s="12"/>
      <c r="XF43" s="12"/>
      <c r="XG43" s="12"/>
      <c r="XH43" s="12"/>
      <c r="XI43" s="12"/>
      <c r="XJ43" s="12"/>
      <c r="XK43" s="12"/>
      <c r="XL43" s="12"/>
      <c r="XM43" s="12"/>
      <c r="XN43" s="12"/>
      <c r="XO43" s="12"/>
      <c r="XP43" s="12"/>
      <c r="XQ43" s="12"/>
      <c r="XR43" s="12"/>
      <c r="XS43" s="12"/>
      <c r="XT43" s="12"/>
      <c r="XU43" s="12"/>
      <c r="XV43" s="12"/>
      <c r="XW43" s="12"/>
      <c r="XX43" s="12"/>
      <c r="XY43" s="12"/>
      <c r="XZ43" s="12"/>
      <c r="YA43" s="12"/>
      <c r="YB43" s="12"/>
      <c r="YC43" s="12"/>
      <c r="YD43" s="12"/>
      <c r="YE43" s="12"/>
      <c r="YF43" s="12"/>
      <c r="YG43" s="12"/>
      <c r="YH43" s="12"/>
      <c r="YI43" s="12"/>
      <c r="YJ43" s="12"/>
      <c r="YK43" s="12"/>
      <c r="YL43" s="12"/>
      <c r="YM43" s="12"/>
      <c r="YN43" s="12"/>
      <c r="YO43" s="12"/>
      <c r="YP43" s="12"/>
      <c r="YQ43" s="12"/>
      <c r="YR43" s="12"/>
      <c r="YS43" s="12"/>
      <c r="YT43" s="12"/>
      <c r="YU43" s="12"/>
      <c r="YV43" s="12"/>
      <c r="YW43" s="12"/>
      <c r="YX43" s="12"/>
      <c r="YY43" s="12"/>
      <c r="YZ43" s="12"/>
      <c r="ZA43" s="12"/>
      <c r="ZB43" s="12"/>
      <c r="ZC43" s="12"/>
      <c r="ZD43" s="12"/>
      <c r="ZE43" s="12"/>
      <c r="ZF43" s="12"/>
      <c r="ZG43" s="12"/>
      <c r="ZH43" s="12"/>
      <c r="ZI43" s="12"/>
      <c r="ZJ43" s="12"/>
      <c r="ZK43" s="12"/>
      <c r="ZL43" s="12"/>
      <c r="ZM43" s="12"/>
      <c r="ZN43" s="12"/>
      <c r="ZO43" s="12"/>
      <c r="ZP43" s="12"/>
      <c r="ZQ43" s="12"/>
      <c r="ZR43" s="12"/>
      <c r="ZS43" s="12"/>
      <c r="ZT43" s="12"/>
      <c r="ZU43" s="12"/>
      <c r="ZV43" s="12"/>
      <c r="ZW43" s="12"/>
      <c r="ZX43" s="12"/>
      <c r="ZY43" s="12"/>
      <c r="ZZ43" s="12"/>
      <c r="AAA43" s="12"/>
      <c r="AAB43" s="12"/>
      <c r="AAC43" s="12"/>
      <c r="AAD43" s="12"/>
      <c r="AAE43" s="12"/>
      <c r="AAF43" s="12"/>
      <c r="AAG43" s="12"/>
      <c r="AAH43" s="12"/>
      <c r="AAI43" s="12"/>
      <c r="AAJ43" s="12"/>
      <c r="AAK43" s="12"/>
      <c r="AAL43" s="12"/>
      <c r="AAM43" s="12"/>
      <c r="AAN43" s="12"/>
      <c r="AAO43" s="12"/>
      <c r="AAP43" s="12"/>
      <c r="AAQ43" s="12"/>
      <c r="AAR43" s="12"/>
      <c r="AAS43" s="12"/>
      <c r="AAT43" s="12"/>
      <c r="AAU43" s="12"/>
      <c r="AAV43" s="12"/>
      <c r="AAW43" s="12"/>
      <c r="AAX43" s="12"/>
      <c r="AAY43" s="12"/>
      <c r="AAZ43" s="12"/>
      <c r="ABA43" s="12"/>
      <c r="ABB43" s="12"/>
      <c r="ABC43" s="12"/>
      <c r="ABD43" s="12"/>
      <c r="ABE43" s="12"/>
      <c r="ABF43" s="12"/>
      <c r="ABG43" s="12"/>
      <c r="ABH43" s="12"/>
      <c r="ABI43" s="12"/>
      <c r="ABJ43" s="12"/>
      <c r="ABK43" s="12"/>
      <c r="ABL43" s="12"/>
      <c r="ABM43" s="12"/>
      <c r="ABN43" s="12"/>
      <c r="ABO43" s="12"/>
      <c r="ABP43" s="12"/>
      <c r="ABQ43" s="12"/>
      <c r="ABR43" s="12"/>
      <c r="ABS43" s="12"/>
      <c r="ABT43" s="12"/>
      <c r="ABU43" s="12"/>
      <c r="ABV43" s="12"/>
      <c r="ABW43" s="12"/>
      <c r="ABX43" s="12"/>
      <c r="ABY43" s="12"/>
      <c r="ABZ43" s="12"/>
      <c r="ACA43" s="12"/>
      <c r="ACB43" s="12"/>
      <c r="ACC43" s="12"/>
      <c r="ACD43" s="12"/>
      <c r="ACE43" s="12"/>
      <c r="ACF43" s="12"/>
      <c r="ACG43" s="12"/>
      <c r="ACH43" s="12"/>
      <c r="ACI43" s="12"/>
      <c r="ACJ43" s="12"/>
      <c r="ACK43" s="12"/>
      <c r="ACL43" s="12"/>
      <c r="ACM43" s="12"/>
      <c r="ACN43" s="12"/>
      <c r="ACO43" s="12"/>
      <c r="ACP43" s="12"/>
      <c r="ACQ43" s="12"/>
      <c r="ACR43" s="12"/>
      <c r="ACS43" s="12"/>
      <c r="ACT43" s="12"/>
      <c r="ACU43" s="12"/>
      <c r="ACV43" s="12"/>
      <c r="ACW43" s="12"/>
      <c r="ACX43" s="12"/>
      <c r="ACY43" s="12"/>
      <c r="ACZ43" s="12"/>
      <c r="ADA43" s="12"/>
      <c r="ADB43" s="12"/>
      <c r="ADC43" s="12"/>
      <c r="ADD43" s="12"/>
      <c r="ADE43" s="12"/>
      <c r="ADF43" s="12"/>
      <c r="ADG43" s="12"/>
      <c r="ADH43" s="12"/>
      <c r="ADI43" s="12"/>
      <c r="ADJ43" s="12"/>
      <c r="ADK43" s="12"/>
      <c r="ADL43" s="12"/>
      <c r="ADM43" s="12"/>
      <c r="ADN43" s="12"/>
      <c r="ADO43" s="12"/>
      <c r="ADP43" s="12"/>
      <c r="ADQ43" s="12"/>
      <c r="ADR43" s="12"/>
      <c r="ADS43" s="12"/>
      <c r="ADT43" s="12"/>
      <c r="ADU43" s="12"/>
      <c r="ADV43" s="12"/>
      <c r="ADW43" s="12"/>
      <c r="ADX43" s="12"/>
      <c r="ADY43" s="12"/>
      <c r="ADZ43" s="12"/>
      <c r="AEA43" s="12"/>
      <c r="AEB43" s="12"/>
      <c r="AEC43" s="12"/>
      <c r="AED43" s="12"/>
      <c r="AEE43" s="12"/>
      <c r="AEF43" s="12"/>
      <c r="AEG43" s="12"/>
      <c r="AEH43" s="12"/>
      <c r="AEI43" s="12"/>
      <c r="AEJ43" s="12"/>
      <c r="AEK43" s="12"/>
      <c r="AEL43" s="12"/>
      <c r="AEM43" s="12"/>
      <c r="AEN43" s="12"/>
      <c r="AEO43" s="12"/>
      <c r="AEP43" s="12"/>
      <c r="AEQ43" s="12"/>
      <c r="AER43" s="12"/>
      <c r="AES43" s="12"/>
      <c r="AET43" s="12"/>
      <c r="AEU43" s="12"/>
      <c r="AEV43" s="12"/>
    </row>
    <row r="44" spans="1:828" s="27" customFormat="1" ht="18" x14ac:dyDescent="0.2">
      <c r="A44" s="28"/>
      <c r="C44" s="23"/>
      <c r="D44" s="29"/>
      <c r="E44" s="23"/>
      <c r="F44" s="23"/>
      <c r="G44" s="23"/>
      <c r="H44" s="30"/>
      <c r="I44" s="23"/>
      <c r="J44" s="29"/>
      <c r="K44" s="30"/>
      <c r="L44" s="23"/>
      <c r="M44" s="29"/>
      <c r="N44" s="47"/>
      <c r="O44" s="47"/>
      <c r="P44" s="48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/>
      <c r="FL44" s="12"/>
      <c r="FM44" s="12"/>
      <c r="FN44" s="12"/>
      <c r="FO44" s="12"/>
      <c r="FP44" s="12"/>
      <c r="FQ44" s="12"/>
      <c r="FR44" s="12"/>
      <c r="FS44" s="12"/>
      <c r="FT44" s="12"/>
      <c r="FU44" s="12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2"/>
      <c r="GG44" s="12"/>
      <c r="GH44" s="12"/>
      <c r="GI44" s="12"/>
      <c r="GJ44" s="12"/>
      <c r="GK44" s="12"/>
      <c r="GL44" s="12"/>
      <c r="GM44" s="12"/>
      <c r="GN44" s="12"/>
      <c r="GO44" s="12"/>
      <c r="GP44" s="12"/>
      <c r="GQ44" s="12"/>
      <c r="GR44" s="12"/>
      <c r="GS44" s="12"/>
      <c r="GT44" s="12"/>
      <c r="GU44" s="12"/>
      <c r="GV44" s="12"/>
      <c r="GW44" s="12"/>
      <c r="GX44" s="12"/>
      <c r="GY44" s="12"/>
      <c r="GZ44" s="12"/>
      <c r="HA44" s="12"/>
      <c r="HB44" s="12"/>
      <c r="HC44" s="12"/>
      <c r="HD44" s="12"/>
      <c r="HE44" s="12"/>
      <c r="HF44" s="12"/>
      <c r="HG44" s="12"/>
      <c r="HH44" s="12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2"/>
      <c r="HT44" s="12"/>
      <c r="HU44" s="12"/>
      <c r="HV44" s="12"/>
      <c r="HW44" s="12"/>
      <c r="HX44" s="12"/>
      <c r="HY44" s="12"/>
      <c r="HZ44" s="12"/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  <c r="IL44" s="12"/>
      <c r="IM44" s="12"/>
      <c r="IN44" s="12"/>
      <c r="IO44" s="12"/>
      <c r="IP44" s="12"/>
      <c r="IQ44" s="12"/>
      <c r="IR44" s="12"/>
      <c r="IS44" s="12"/>
      <c r="IT44" s="12"/>
      <c r="IU44" s="12"/>
      <c r="IV44" s="12"/>
      <c r="IW44" s="12"/>
      <c r="IX44" s="12"/>
      <c r="IY44" s="12"/>
      <c r="IZ44" s="12"/>
      <c r="JA44" s="12"/>
      <c r="JB44" s="12"/>
      <c r="JC44" s="12"/>
      <c r="JD44" s="12"/>
      <c r="JE44" s="12"/>
      <c r="JF44" s="12"/>
      <c r="JG44" s="12"/>
      <c r="JH44" s="12"/>
      <c r="JI44" s="12"/>
      <c r="JJ44" s="12"/>
      <c r="JK44" s="12"/>
      <c r="JL44" s="12"/>
      <c r="JM44" s="12"/>
      <c r="JN44" s="12"/>
      <c r="JO44" s="12"/>
      <c r="JP44" s="12"/>
      <c r="JQ44" s="12"/>
      <c r="JR44" s="12"/>
      <c r="JS44" s="12"/>
      <c r="JT44" s="12"/>
      <c r="JU44" s="12"/>
      <c r="JV44" s="12"/>
      <c r="JW44" s="12"/>
      <c r="JX44" s="12"/>
      <c r="JY44" s="12"/>
      <c r="JZ44" s="12"/>
      <c r="KA44" s="12"/>
      <c r="KB44" s="12"/>
      <c r="KC44" s="12"/>
      <c r="KD44" s="12"/>
      <c r="KE44" s="12"/>
      <c r="KF44" s="12"/>
      <c r="KG44" s="12"/>
      <c r="KH44" s="12"/>
      <c r="KI44" s="12"/>
      <c r="KJ44" s="12"/>
      <c r="KK44" s="12"/>
      <c r="KL44" s="12"/>
      <c r="KM44" s="12"/>
      <c r="KN44" s="12"/>
      <c r="KO44" s="12"/>
      <c r="KP44" s="12"/>
      <c r="KQ44" s="12"/>
      <c r="KR44" s="12"/>
      <c r="KS44" s="12"/>
      <c r="KT44" s="12"/>
      <c r="KU44" s="12"/>
      <c r="KV44" s="12"/>
      <c r="KW44" s="12"/>
      <c r="KX44" s="12"/>
      <c r="KY44" s="12"/>
      <c r="KZ44" s="12"/>
      <c r="LA44" s="12"/>
      <c r="LB44" s="12"/>
      <c r="LC44" s="12"/>
      <c r="LD44" s="12"/>
      <c r="LE44" s="12"/>
      <c r="LF44" s="12"/>
      <c r="LG44" s="12"/>
      <c r="LH44" s="12"/>
      <c r="LI44" s="12"/>
      <c r="LJ44" s="12"/>
      <c r="LK44" s="12"/>
      <c r="LL44" s="12"/>
      <c r="LM44" s="12"/>
      <c r="LN44" s="12"/>
      <c r="LO44" s="12"/>
      <c r="LP44" s="12"/>
      <c r="LQ44" s="12"/>
      <c r="LR44" s="12"/>
      <c r="LS44" s="12"/>
      <c r="LT44" s="12"/>
      <c r="LU44" s="12"/>
      <c r="LV44" s="12"/>
      <c r="LW44" s="12"/>
      <c r="LX44" s="12"/>
      <c r="LY44" s="12"/>
      <c r="LZ44" s="12"/>
      <c r="MA44" s="12"/>
      <c r="MB44" s="12"/>
      <c r="MC44" s="12"/>
      <c r="MD44" s="12"/>
      <c r="ME44" s="12"/>
      <c r="MF44" s="12"/>
      <c r="MG44" s="12"/>
      <c r="MH44" s="12"/>
      <c r="MI44" s="12"/>
      <c r="MJ44" s="12"/>
      <c r="MK44" s="12"/>
      <c r="ML44" s="12"/>
      <c r="MM44" s="12"/>
      <c r="MN44" s="12"/>
      <c r="MO44" s="12"/>
      <c r="MP44" s="12"/>
      <c r="MQ44" s="12"/>
      <c r="MR44" s="12"/>
      <c r="MS44" s="12"/>
      <c r="MT44" s="12"/>
      <c r="MU44" s="12"/>
      <c r="MV44" s="12"/>
      <c r="MW44" s="12"/>
      <c r="MX44" s="12"/>
      <c r="MY44" s="12"/>
      <c r="MZ44" s="12"/>
      <c r="NA44" s="12"/>
      <c r="NB44" s="12"/>
      <c r="NC44" s="12"/>
      <c r="ND44" s="12"/>
      <c r="NE44" s="12"/>
      <c r="NF44" s="12"/>
      <c r="NG44" s="12"/>
      <c r="NH44" s="12"/>
      <c r="NI44" s="12"/>
      <c r="NJ44" s="12"/>
      <c r="NK44" s="12"/>
      <c r="NL44" s="12"/>
      <c r="NM44" s="12"/>
      <c r="NN44" s="12"/>
      <c r="NO44" s="12"/>
      <c r="NP44" s="12"/>
      <c r="NQ44" s="12"/>
      <c r="NR44" s="12"/>
      <c r="NS44" s="12"/>
      <c r="NT44" s="12"/>
      <c r="NU44" s="12"/>
      <c r="NV44" s="12"/>
      <c r="NW44" s="12"/>
      <c r="NX44" s="12"/>
      <c r="NY44" s="12"/>
      <c r="NZ44" s="12"/>
      <c r="OA44" s="12"/>
      <c r="OB44" s="12"/>
      <c r="OC44" s="12"/>
      <c r="OD44" s="12"/>
      <c r="OE44" s="12"/>
      <c r="OF44" s="12"/>
      <c r="OG44" s="12"/>
      <c r="OH44" s="12"/>
      <c r="OI44" s="12"/>
      <c r="OJ44" s="12"/>
      <c r="OK44" s="12"/>
      <c r="OL44" s="12"/>
      <c r="OM44" s="12"/>
      <c r="ON44" s="12"/>
      <c r="OO44" s="12"/>
      <c r="OP44" s="12"/>
      <c r="OQ44" s="12"/>
      <c r="OR44" s="12"/>
      <c r="OS44" s="12"/>
      <c r="OT44" s="12"/>
      <c r="OU44" s="12"/>
      <c r="OV44" s="12"/>
      <c r="OW44" s="12"/>
      <c r="OX44" s="12"/>
      <c r="OY44" s="12"/>
      <c r="OZ44" s="12"/>
      <c r="PA44" s="12"/>
      <c r="PB44" s="12"/>
      <c r="PC44" s="12"/>
      <c r="PD44" s="12"/>
      <c r="PE44" s="12"/>
      <c r="PF44" s="12"/>
      <c r="PG44" s="12"/>
      <c r="PH44" s="12"/>
      <c r="PI44" s="12"/>
      <c r="PJ44" s="12"/>
      <c r="PK44" s="12"/>
      <c r="PL44" s="12"/>
      <c r="PM44" s="12"/>
      <c r="PN44" s="12"/>
      <c r="PO44" s="12"/>
      <c r="PP44" s="12"/>
      <c r="PQ44" s="12"/>
      <c r="PR44" s="12"/>
      <c r="PS44" s="12"/>
      <c r="PT44" s="12"/>
      <c r="PU44" s="12"/>
      <c r="PV44" s="12"/>
      <c r="PW44" s="12"/>
      <c r="PX44" s="12"/>
      <c r="PY44" s="12"/>
      <c r="PZ44" s="12"/>
      <c r="QA44" s="12"/>
      <c r="QB44" s="12"/>
      <c r="QC44" s="12"/>
      <c r="QD44" s="12"/>
      <c r="QE44" s="12"/>
      <c r="QF44" s="12"/>
      <c r="QG44" s="12"/>
      <c r="QH44" s="12"/>
      <c r="QI44" s="12"/>
      <c r="QJ44" s="12"/>
      <c r="QK44" s="12"/>
      <c r="QL44" s="12"/>
      <c r="QM44" s="12"/>
      <c r="QN44" s="12"/>
      <c r="QO44" s="12"/>
      <c r="QP44" s="12"/>
      <c r="QQ44" s="12"/>
      <c r="QR44" s="12"/>
      <c r="QS44" s="12"/>
      <c r="QT44" s="12"/>
      <c r="QU44" s="12"/>
      <c r="QV44" s="12"/>
      <c r="QW44" s="12"/>
      <c r="QX44" s="12"/>
      <c r="QY44" s="12"/>
      <c r="QZ44" s="12"/>
      <c r="RA44" s="12"/>
      <c r="RB44" s="12"/>
      <c r="RC44" s="12"/>
      <c r="RD44" s="12"/>
      <c r="RE44" s="12"/>
      <c r="RF44" s="12"/>
      <c r="RG44" s="12"/>
      <c r="RH44" s="12"/>
      <c r="RI44" s="12"/>
      <c r="RJ44" s="12"/>
      <c r="RK44" s="12"/>
      <c r="RL44" s="12"/>
      <c r="RM44" s="12"/>
      <c r="RN44" s="12"/>
      <c r="RO44" s="12"/>
      <c r="RP44" s="12"/>
      <c r="RQ44" s="12"/>
      <c r="RR44" s="12"/>
      <c r="RS44" s="12"/>
      <c r="RT44" s="12"/>
      <c r="RU44" s="12"/>
      <c r="RV44" s="12"/>
      <c r="RW44" s="12"/>
      <c r="RX44" s="12"/>
      <c r="RY44" s="12"/>
      <c r="RZ44" s="12"/>
      <c r="SA44" s="12"/>
      <c r="SB44" s="12"/>
      <c r="SC44" s="12"/>
      <c r="SD44" s="12"/>
      <c r="SE44" s="12"/>
      <c r="SF44" s="12"/>
      <c r="SG44" s="12"/>
      <c r="SH44" s="12"/>
      <c r="SI44" s="12"/>
      <c r="SJ44" s="12"/>
      <c r="SK44" s="12"/>
      <c r="SL44" s="12"/>
      <c r="SM44" s="12"/>
      <c r="SN44" s="12"/>
      <c r="SO44" s="12"/>
      <c r="SP44" s="12"/>
      <c r="SQ44" s="12"/>
      <c r="SR44" s="12"/>
      <c r="SS44" s="12"/>
      <c r="ST44" s="12"/>
      <c r="SU44" s="12"/>
      <c r="SV44" s="12"/>
      <c r="SW44" s="12"/>
      <c r="SX44" s="12"/>
      <c r="SY44" s="12"/>
      <c r="SZ44" s="12"/>
      <c r="TA44" s="12"/>
      <c r="TB44" s="12"/>
      <c r="TC44" s="12"/>
      <c r="TD44" s="12"/>
      <c r="TE44" s="12"/>
      <c r="TF44" s="12"/>
      <c r="TG44" s="12"/>
      <c r="TH44" s="12"/>
      <c r="TI44" s="12"/>
      <c r="TJ44" s="12"/>
      <c r="TK44" s="12"/>
      <c r="TL44" s="12"/>
      <c r="TM44" s="12"/>
      <c r="TN44" s="12"/>
      <c r="TO44" s="12"/>
      <c r="TP44" s="12"/>
      <c r="TQ44" s="12"/>
      <c r="TR44" s="12"/>
      <c r="TS44" s="12"/>
      <c r="TT44" s="12"/>
      <c r="TU44" s="12"/>
      <c r="TV44" s="12"/>
      <c r="TW44" s="12"/>
      <c r="TX44" s="12"/>
      <c r="TY44" s="12"/>
      <c r="TZ44" s="12"/>
      <c r="UA44" s="12"/>
      <c r="UB44" s="12"/>
      <c r="UC44" s="12"/>
      <c r="UD44" s="12"/>
      <c r="UE44" s="12"/>
      <c r="UF44" s="12"/>
      <c r="UG44" s="12"/>
      <c r="UH44" s="12"/>
      <c r="UI44" s="12"/>
      <c r="UJ44" s="12"/>
      <c r="UK44" s="12"/>
      <c r="UL44" s="12"/>
      <c r="UM44" s="12"/>
      <c r="UN44" s="12"/>
      <c r="UO44" s="12"/>
      <c r="UP44" s="12"/>
      <c r="UQ44" s="12"/>
      <c r="UR44" s="12"/>
      <c r="US44" s="12"/>
      <c r="UT44" s="12"/>
      <c r="UU44" s="12"/>
      <c r="UV44" s="12"/>
      <c r="UW44" s="12"/>
      <c r="UX44" s="12"/>
      <c r="UY44" s="12"/>
      <c r="UZ44" s="12"/>
      <c r="VA44" s="12"/>
      <c r="VB44" s="12"/>
      <c r="VC44" s="12"/>
      <c r="VD44" s="12"/>
      <c r="VE44" s="12"/>
      <c r="VF44" s="12"/>
      <c r="VG44" s="12"/>
      <c r="VH44" s="12"/>
      <c r="VI44" s="12"/>
      <c r="VJ44" s="12"/>
      <c r="VK44" s="12"/>
      <c r="VL44" s="12"/>
      <c r="VM44" s="12"/>
      <c r="VN44" s="12"/>
      <c r="VO44" s="12"/>
      <c r="VP44" s="12"/>
      <c r="VQ44" s="12"/>
      <c r="VR44" s="12"/>
      <c r="VS44" s="12"/>
      <c r="VT44" s="12"/>
      <c r="VU44" s="12"/>
      <c r="VV44" s="12"/>
      <c r="VW44" s="12"/>
      <c r="VX44" s="12"/>
      <c r="VY44" s="12"/>
      <c r="VZ44" s="12"/>
      <c r="WA44" s="12"/>
      <c r="WB44" s="12"/>
      <c r="WC44" s="12"/>
      <c r="WD44" s="12"/>
      <c r="WE44" s="12"/>
      <c r="WF44" s="12"/>
      <c r="WG44" s="12"/>
      <c r="WH44" s="12"/>
      <c r="WI44" s="12"/>
      <c r="WJ44" s="12"/>
      <c r="WK44" s="12"/>
      <c r="WL44" s="12"/>
      <c r="WM44" s="12"/>
      <c r="WN44" s="12"/>
      <c r="WO44" s="12"/>
      <c r="WP44" s="12"/>
      <c r="WQ44" s="12"/>
      <c r="WR44" s="12"/>
      <c r="WS44" s="12"/>
      <c r="WT44" s="12"/>
      <c r="WU44" s="12"/>
      <c r="WV44" s="12"/>
      <c r="WW44" s="12"/>
      <c r="WX44" s="12"/>
      <c r="WY44" s="12"/>
      <c r="WZ44" s="12"/>
      <c r="XA44" s="12"/>
      <c r="XB44" s="12"/>
      <c r="XC44" s="12"/>
      <c r="XD44" s="12"/>
      <c r="XE44" s="12"/>
      <c r="XF44" s="12"/>
      <c r="XG44" s="12"/>
      <c r="XH44" s="12"/>
      <c r="XI44" s="12"/>
      <c r="XJ44" s="12"/>
      <c r="XK44" s="12"/>
      <c r="XL44" s="12"/>
      <c r="XM44" s="12"/>
      <c r="XN44" s="12"/>
      <c r="XO44" s="12"/>
      <c r="XP44" s="12"/>
      <c r="XQ44" s="12"/>
      <c r="XR44" s="12"/>
      <c r="XS44" s="12"/>
      <c r="XT44" s="12"/>
      <c r="XU44" s="12"/>
      <c r="XV44" s="12"/>
      <c r="XW44" s="12"/>
      <c r="XX44" s="12"/>
      <c r="XY44" s="12"/>
      <c r="XZ44" s="12"/>
      <c r="YA44" s="12"/>
      <c r="YB44" s="12"/>
      <c r="YC44" s="12"/>
      <c r="YD44" s="12"/>
      <c r="YE44" s="12"/>
      <c r="YF44" s="12"/>
      <c r="YG44" s="12"/>
      <c r="YH44" s="12"/>
      <c r="YI44" s="12"/>
      <c r="YJ44" s="12"/>
      <c r="YK44" s="12"/>
      <c r="YL44" s="12"/>
      <c r="YM44" s="12"/>
      <c r="YN44" s="12"/>
      <c r="YO44" s="12"/>
      <c r="YP44" s="12"/>
      <c r="YQ44" s="12"/>
      <c r="YR44" s="12"/>
      <c r="YS44" s="12"/>
      <c r="YT44" s="12"/>
      <c r="YU44" s="12"/>
      <c r="YV44" s="12"/>
      <c r="YW44" s="12"/>
      <c r="YX44" s="12"/>
      <c r="YY44" s="12"/>
      <c r="YZ44" s="12"/>
      <c r="ZA44" s="12"/>
      <c r="ZB44" s="12"/>
      <c r="ZC44" s="12"/>
      <c r="ZD44" s="12"/>
      <c r="ZE44" s="12"/>
      <c r="ZF44" s="12"/>
      <c r="ZG44" s="12"/>
      <c r="ZH44" s="12"/>
      <c r="ZI44" s="12"/>
      <c r="ZJ44" s="12"/>
      <c r="ZK44" s="12"/>
      <c r="ZL44" s="12"/>
      <c r="ZM44" s="12"/>
      <c r="ZN44" s="12"/>
      <c r="ZO44" s="12"/>
      <c r="ZP44" s="12"/>
      <c r="ZQ44" s="12"/>
      <c r="ZR44" s="12"/>
      <c r="ZS44" s="12"/>
      <c r="ZT44" s="12"/>
      <c r="ZU44" s="12"/>
      <c r="ZV44" s="12"/>
      <c r="ZW44" s="12"/>
      <c r="ZX44" s="12"/>
      <c r="ZY44" s="12"/>
      <c r="ZZ44" s="12"/>
      <c r="AAA44" s="12"/>
      <c r="AAB44" s="12"/>
      <c r="AAC44" s="12"/>
      <c r="AAD44" s="12"/>
      <c r="AAE44" s="12"/>
      <c r="AAF44" s="12"/>
      <c r="AAG44" s="12"/>
      <c r="AAH44" s="12"/>
      <c r="AAI44" s="12"/>
      <c r="AAJ44" s="12"/>
      <c r="AAK44" s="12"/>
      <c r="AAL44" s="12"/>
      <c r="AAM44" s="12"/>
      <c r="AAN44" s="12"/>
      <c r="AAO44" s="12"/>
      <c r="AAP44" s="12"/>
      <c r="AAQ44" s="12"/>
      <c r="AAR44" s="12"/>
      <c r="AAS44" s="12"/>
      <c r="AAT44" s="12"/>
      <c r="AAU44" s="12"/>
      <c r="AAV44" s="12"/>
      <c r="AAW44" s="12"/>
      <c r="AAX44" s="12"/>
      <c r="AAY44" s="12"/>
      <c r="AAZ44" s="12"/>
      <c r="ABA44" s="12"/>
      <c r="ABB44" s="12"/>
      <c r="ABC44" s="12"/>
      <c r="ABD44" s="12"/>
      <c r="ABE44" s="12"/>
      <c r="ABF44" s="12"/>
      <c r="ABG44" s="12"/>
      <c r="ABH44" s="12"/>
      <c r="ABI44" s="12"/>
      <c r="ABJ44" s="12"/>
      <c r="ABK44" s="12"/>
      <c r="ABL44" s="12"/>
      <c r="ABM44" s="12"/>
      <c r="ABN44" s="12"/>
      <c r="ABO44" s="12"/>
      <c r="ABP44" s="12"/>
      <c r="ABQ44" s="12"/>
      <c r="ABR44" s="12"/>
      <c r="ABS44" s="12"/>
      <c r="ABT44" s="12"/>
      <c r="ABU44" s="12"/>
      <c r="ABV44" s="12"/>
      <c r="ABW44" s="12"/>
      <c r="ABX44" s="12"/>
      <c r="ABY44" s="12"/>
      <c r="ABZ44" s="12"/>
      <c r="ACA44" s="12"/>
      <c r="ACB44" s="12"/>
      <c r="ACC44" s="12"/>
      <c r="ACD44" s="12"/>
      <c r="ACE44" s="12"/>
      <c r="ACF44" s="12"/>
      <c r="ACG44" s="12"/>
      <c r="ACH44" s="12"/>
      <c r="ACI44" s="12"/>
      <c r="ACJ44" s="12"/>
      <c r="ACK44" s="12"/>
      <c r="ACL44" s="12"/>
      <c r="ACM44" s="12"/>
      <c r="ACN44" s="12"/>
      <c r="ACO44" s="12"/>
      <c r="ACP44" s="12"/>
      <c r="ACQ44" s="12"/>
      <c r="ACR44" s="12"/>
      <c r="ACS44" s="12"/>
      <c r="ACT44" s="12"/>
      <c r="ACU44" s="12"/>
      <c r="ACV44" s="12"/>
      <c r="ACW44" s="12"/>
      <c r="ACX44" s="12"/>
      <c r="ACY44" s="12"/>
      <c r="ACZ44" s="12"/>
      <c r="ADA44" s="12"/>
      <c r="ADB44" s="12"/>
      <c r="ADC44" s="12"/>
      <c r="ADD44" s="12"/>
      <c r="ADE44" s="12"/>
      <c r="ADF44" s="12"/>
      <c r="ADG44" s="12"/>
      <c r="ADH44" s="12"/>
      <c r="ADI44" s="12"/>
      <c r="ADJ44" s="12"/>
      <c r="ADK44" s="12"/>
      <c r="ADL44" s="12"/>
      <c r="ADM44" s="12"/>
      <c r="ADN44" s="12"/>
      <c r="ADO44" s="12"/>
      <c r="ADP44" s="12"/>
      <c r="ADQ44" s="12"/>
      <c r="ADR44" s="12"/>
      <c r="ADS44" s="12"/>
      <c r="ADT44" s="12"/>
      <c r="ADU44" s="12"/>
      <c r="ADV44" s="12"/>
      <c r="ADW44" s="12"/>
      <c r="ADX44" s="12"/>
      <c r="ADY44" s="12"/>
      <c r="ADZ44" s="12"/>
      <c r="AEA44" s="12"/>
      <c r="AEB44" s="12"/>
      <c r="AEC44" s="12"/>
      <c r="AED44" s="12"/>
      <c r="AEE44" s="12"/>
      <c r="AEF44" s="12"/>
      <c r="AEG44" s="12"/>
      <c r="AEH44" s="12"/>
      <c r="AEI44" s="12"/>
      <c r="AEJ44" s="12"/>
      <c r="AEK44" s="12"/>
      <c r="AEL44" s="12"/>
      <c r="AEM44" s="12"/>
      <c r="AEN44" s="12"/>
      <c r="AEO44" s="12"/>
      <c r="AEP44" s="12"/>
      <c r="AEQ44" s="12"/>
      <c r="AER44" s="12"/>
      <c r="AES44" s="12"/>
      <c r="AET44" s="12"/>
      <c r="AEU44" s="12"/>
      <c r="AEV44" s="12"/>
    </row>
    <row r="45" spans="1:828" s="27" customFormat="1" ht="18" x14ac:dyDescent="0.2">
      <c r="A45" s="28"/>
      <c r="C45" s="23"/>
      <c r="D45" s="29"/>
      <c r="E45" s="23"/>
      <c r="F45" s="23"/>
      <c r="G45" s="23"/>
      <c r="H45" s="30"/>
      <c r="I45" s="23"/>
      <c r="J45" s="29"/>
      <c r="K45" s="30"/>
      <c r="L45" s="23"/>
      <c r="M45" s="29"/>
      <c r="N45" s="47"/>
      <c r="O45" s="47"/>
      <c r="P45" s="48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2"/>
      <c r="FJ45" s="12"/>
      <c r="FK45" s="12"/>
      <c r="FL45" s="12"/>
      <c r="FM45" s="12"/>
      <c r="FN45" s="12"/>
      <c r="FO45" s="12"/>
      <c r="FP45" s="12"/>
      <c r="FQ45" s="12"/>
      <c r="FR45" s="12"/>
      <c r="FS45" s="12"/>
      <c r="FT45" s="12"/>
      <c r="FU45" s="12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2"/>
      <c r="GG45" s="12"/>
      <c r="GH45" s="12"/>
      <c r="GI45" s="12"/>
      <c r="GJ45" s="12"/>
      <c r="GK45" s="12"/>
      <c r="GL45" s="12"/>
      <c r="GM45" s="12"/>
      <c r="GN45" s="12"/>
      <c r="GO45" s="12"/>
      <c r="GP45" s="12"/>
      <c r="GQ45" s="12"/>
      <c r="GR45" s="12"/>
      <c r="GS45" s="12"/>
      <c r="GT45" s="12"/>
      <c r="GU45" s="12"/>
      <c r="GV45" s="12"/>
      <c r="GW45" s="12"/>
      <c r="GX45" s="12"/>
      <c r="GY45" s="12"/>
      <c r="GZ45" s="12"/>
      <c r="HA45" s="12"/>
      <c r="HB45" s="12"/>
      <c r="HC45" s="12"/>
      <c r="HD45" s="12"/>
      <c r="HE45" s="12"/>
      <c r="HF45" s="12"/>
      <c r="HG45" s="12"/>
      <c r="HH45" s="12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2"/>
      <c r="HT45" s="12"/>
      <c r="HU45" s="12"/>
      <c r="HV45" s="12"/>
      <c r="HW45" s="12"/>
      <c r="HX45" s="12"/>
      <c r="HY45" s="12"/>
      <c r="HZ45" s="12"/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  <c r="IL45" s="12"/>
      <c r="IM45" s="12"/>
      <c r="IN45" s="12"/>
      <c r="IO45" s="12"/>
      <c r="IP45" s="12"/>
      <c r="IQ45" s="12"/>
      <c r="IR45" s="12"/>
      <c r="IS45" s="12"/>
      <c r="IT45" s="12"/>
      <c r="IU45" s="12"/>
      <c r="IV45" s="12"/>
      <c r="IW45" s="12"/>
      <c r="IX45" s="12"/>
      <c r="IY45" s="12"/>
      <c r="IZ45" s="12"/>
      <c r="JA45" s="12"/>
      <c r="JB45" s="12"/>
      <c r="JC45" s="12"/>
      <c r="JD45" s="12"/>
      <c r="JE45" s="12"/>
      <c r="JF45" s="12"/>
      <c r="JG45" s="12"/>
      <c r="JH45" s="12"/>
      <c r="JI45" s="12"/>
      <c r="JJ45" s="12"/>
      <c r="JK45" s="12"/>
      <c r="JL45" s="12"/>
      <c r="JM45" s="12"/>
      <c r="JN45" s="12"/>
      <c r="JO45" s="12"/>
      <c r="JP45" s="12"/>
      <c r="JQ45" s="12"/>
      <c r="JR45" s="12"/>
      <c r="JS45" s="12"/>
      <c r="JT45" s="12"/>
      <c r="JU45" s="12"/>
      <c r="JV45" s="12"/>
      <c r="JW45" s="12"/>
      <c r="JX45" s="12"/>
      <c r="JY45" s="12"/>
      <c r="JZ45" s="12"/>
      <c r="KA45" s="12"/>
      <c r="KB45" s="12"/>
      <c r="KC45" s="12"/>
      <c r="KD45" s="12"/>
      <c r="KE45" s="12"/>
      <c r="KF45" s="12"/>
      <c r="KG45" s="12"/>
      <c r="KH45" s="12"/>
      <c r="KI45" s="12"/>
      <c r="KJ45" s="12"/>
      <c r="KK45" s="12"/>
      <c r="KL45" s="12"/>
      <c r="KM45" s="12"/>
      <c r="KN45" s="12"/>
      <c r="KO45" s="12"/>
      <c r="KP45" s="12"/>
      <c r="KQ45" s="12"/>
      <c r="KR45" s="12"/>
      <c r="KS45" s="12"/>
      <c r="KT45" s="12"/>
      <c r="KU45" s="12"/>
      <c r="KV45" s="12"/>
      <c r="KW45" s="12"/>
      <c r="KX45" s="12"/>
      <c r="KY45" s="12"/>
      <c r="KZ45" s="12"/>
      <c r="LA45" s="12"/>
      <c r="LB45" s="12"/>
      <c r="LC45" s="12"/>
      <c r="LD45" s="12"/>
      <c r="LE45" s="12"/>
      <c r="LF45" s="12"/>
      <c r="LG45" s="12"/>
      <c r="LH45" s="12"/>
      <c r="LI45" s="12"/>
      <c r="LJ45" s="12"/>
      <c r="LK45" s="12"/>
      <c r="LL45" s="12"/>
      <c r="LM45" s="12"/>
      <c r="LN45" s="12"/>
      <c r="LO45" s="12"/>
      <c r="LP45" s="12"/>
      <c r="LQ45" s="12"/>
      <c r="LR45" s="12"/>
      <c r="LS45" s="12"/>
      <c r="LT45" s="12"/>
      <c r="LU45" s="12"/>
      <c r="LV45" s="12"/>
      <c r="LW45" s="12"/>
      <c r="LX45" s="12"/>
      <c r="LY45" s="12"/>
      <c r="LZ45" s="12"/>
      <c r="MA45" s="12"/>
      <c r="MB45" s="12"/>
      <c r="MC45" s="12"/>
      <c r="MD45" s="12"/>
      <c r="ME45" s="12"/>
      <c r="MF45" s="12"/>
      <c r="MG45" s="12"/>
      <c r="MH45" s="12"/>
      <c r="MI45" s="12"/>
      <c r="MJ45" s="12"/>
      <c r="MK45" s="12"/>
      <c r="ML45" s="12"/>
      <c r="MM45" s="12"/>
      <c r="MN45" s="12"/>
      <c r="MO45" s="12"/>
      <c r="MP45" s="12"/>
      <c r="MQ45" s="12"/>
      <c r="MR45" s="12"/>
      <c r="MS45" s="12"/>
      <c r="MT45" s="12"/>
      <c r="MU45" s="12"/>
      <c r="MV45" s="12"/>
      <c r="MW45" s="12"/>
      <c r="MX45" s="12"/>
      <c r="MY45" s="12"/>
      <c r="MZ45" s="12"/>
      <c r="NA45" s="12"/>
      <c r="NB45" s="12"/>
      <c r="NC45" s="12"/>
      <c r="ND45" s="12"/>
      <c r="NE45" s="12"/>
      <c r="NF45" s="12"/>
      <c r="NG45" s="12"/>
      <c r="NH45" s="12"/>
      <c r="NI45" s="12"/>
      <c r="NJ45" s="12"/>
      <c r="NK45" s="12"/>
      <c r="NL45" s="12"/>
      <c r="NM45" s="12"/>
      <c r="NN45" s="12"/>
      <c r="NO45" s="12"/>
      <c r="NP45" s="12"/>
      <c r="NQ45" s="12"/>
      <c r="NR45" s="12"/>
      <c r="NS45" s="12"/>
      <c r="NT45" s="12"/>
      <c r="NU45" s="12"/>
      <c r="NV45" s="12"/>
      <c r="NW45" s="12"/>
      <c r="NX45" s="12"/>
      <c r="NY45" s="12"/>
      <c r="NZ45" s="12"/>
      <c r="OA45" s="12"/>
      <c r="OB45" s="12"/>
      <c r="OC45" s="12"/>
      <c r="OD45" s="12"/>
      <c r="OE45" s="12"/>
      <c r="OF45" s="12"/>
      <c r="OG45" s="12"/>
      <c r="OH45" s="12"/>
      <c r="OI45" s="12"/>
      <c r="OJ45" s="12"/>
      <c r="OK45" s="12"/>
      <c r="OL45" s="12"/>
      <c r="OM45" s="12"/>
      <c r="ON45" s="12"/>
      <c r="OO45" s="12"/>
      <c r="OP45" s="12"/>
      <c r="OQ45" s="12"/>
      <c r="OR45" s="12"/>
      <c r="OS45" s="12"/>
      <c r="OT45" s="12"/>
      <c r="OU45" s="12"/>
      <c r="OV45" s="12"/>
      <c r="OW45" s="12"/>
      <c r="OX45" s="12"/>
      <c r="OY45" s="12"/>
      <c r="OZ45" s="12"/>
      <c r="PA45" s="12"/>
      <c r="PB45" s="12"/>
      <c r="PC45" s="12"/>
      <c r="PD45" s="12"/>
      <c r="PE45" s="12"/>
      <c r="PF45" s="12"/>
      <c r="PG45" s="12"/>
      <c r="PH45" s="12"/>
      <c r="PI45" s="12"/>
      <c r="PJ45" s="12"/>
      <c r="PK45" s="12"/>
      <c r="PL45" s="12"/>
      <c r="PM45" s="12"/>
      <c r="PN45" s="12"/>
      <c r="PO45" s="12"/>
      <c r="PP45" s="12"/>
      <c r="PQ45" s="12"/>
      <c r="PR45" s="12"/>
      <c r="PS45" s="12"/>
      <c r="PT45" s="12"/>
      <c r="PU45" s="12"/>
      <c r="PV45" s="12"/>
      <c r="PW45" s="12"/>
      <c r="PX45" s="12"/>
      <c r="PY45" s="12"/>
      <c r="PZ45" s="12"/>
      <c r="QA45" s="12"/>
      <c r="QB45" s="12"/>
      <c r="QC45" s="12"/>
      <c r="QD45" s="12"/>
      <c r="QE45" s="12"/>
      <c r="QF45" s="12"/>
      <c r="QG45" s="12"/>
      <c r="QH45" s="12"/>
      <c r="QI45" s="12"/>
      <c r="QJ45" s="12"/>
      <c r="QK45" s="12"/>
      <c r="QL45" s="12"/>
      <c r="QM45" s="12"/>
      <c r="QN45" s="12"/>
      <c r="QO45" s="12"/>
      <c r="QP45" s="12"/>
      <c r="QQ45" s="12"/>
      <c r="QR45" s="12"/>
      <c r="QS45" s="12"/>
      <c r="QT45" s="12"/>
      <c r="QU45" s="12"/>
      <c r="QV45" s="12"/>
      <c r="QW45" s="12"/>
      <c r="QX45" s="12"/>
      <c r="QY45" s="12"/>
      <c r="QZ45" s="12"/>
      <c r="RA45" s="12"/>
      <c r="RB45" s="12"/>
      <c r="RC45" s="12"/>
      <c r="RD45" s="12"/>
      <c r="RE45" s="12"/>
      <c r="RF45" s="12"/>
      <c r="RG45" s="12"/>
      <c r="RH45" s="12"/>
      <c r="RI45" s="12"/>
      <c r="RJ45" s="12"/>
      <c r="RK45" s="12"/>
      <c r="RL45" s="12"/>
      <c r="RM45" s="12"/>
      <c r="RN45" s="12"/>
      <c r="RO45" s="12"/>
      <c r="RP45" s="12"/>
      <c r="RQ45" s="12"/>
      <c r="RR45" s="12"/>
      <c r="RS45" s="12"/>
      <c r="RT45" s="12"/>
      <c r="RU45" s="12"/>
      <c r="RV45" s="12"/>
      <c r="RW45" s="12"/>
      <c r="RX45" s="12"/>
      <c r="RY45" s="12"/>
      <c r="RZ45" s="12"/>
      <c r="SA45" s="12"/>
      <c r="SB45" s="12"/>
      <c r="SC45" s="12"/>
      <c r="SD45" s="12"/>
      <c r="SE45" s="12"/>
      <c r="SF45" s="12"/>
      <c r="SG45" s="12"/>
      <c r="SH45" s="12"/>
      <c r="SI45" s="12"/>
      <c r="SJ45" s="12"/>
      <c r="SK45" s="12"/>
      <c r="SL45" s="12"/>
      <c r="SM45" s="12"/>
      <c r="SN45" s="12"/>
      <c r="SO45" s="12"/>
      <c r="SP45" s="12"/>
      <c r="SQ45" s="12"/>
      <c r="SR45" s="12"/>
      <c r="SS45" s="12"/>
      <c r="ST45" s="12"/>
      <c r="SU45" s="12"/>
      <c r="SV45" s="12"/>
      <c r="SW45" s="12"/>
      <c r="SX45" s="12"/>
      <c r="SY45" s="12"/>
      <c r="SZ45" s="12"/>
      <c r="TA45" s="12"/>
      <c r="TB45" s="12"/>
      <c r="TC45" s="12"/>
      <c r="TD45" s="12"/>
      <c r="TE45" s="12"/>
      <c r="TF45" s="12"/>
      <c r="TG45" s="12"/>
      <c r="TH45" s="12"/>
      <c r="TI45" s="12"/>
      <c r="TJ45" s="12"/>
      <c r="TK45" s="12"/>
      <c r="TL45" s="12"/>
      <c r="TM45" s="12"/>
      <c r="TN45" s="12"/>
      <c r="TO45" s="12"/>
      <c r="TP45" s="12"/>
      <c r="TQ45" s="12"/>
      <c r="TR45" s="12"/>
      <c r="TS45" s="12"/>
      <c r="TT45" s="12"/>
      <c r="TU45" s="12"/>
      <c r="TV45" s="12"/>
      <c r="TW45" s="12"/>
      <c r="TX45" s="12"/>
      <c r="TY45" s="12"/>
      <c r="TZ45" s="12"/>
      <c r="UA45" s="12"/>
      <c r="UB45" s="12"/>
      <c r="UC45" s="12"/>
      <c r="UD45" s="12"/>
      <c r="UE45" s="12"/>
      <c r="UF45" s="12"/>
      <c r="UG45" s="12"/>
      <c r="UH45" s="12"/>
      <c r="UI45" s="12"/>
      <c r="UJ45" s="12"/>
      <c r="UK45" s="12"/>
      <c r="UL45" s="12"/>
      <c r="UM45" s="12"/>
      <c r="UN45" s="12"/>
      <c r="UO45" s="12"/>
      <c r="UP45" s="12"/>
      <c r="UQ45" s="12"/>
      <c r="UR45" s="12"/>
      <c r="US45" s="12"/>
      <c r="UT45" s="12"/>
      <c r="UU45" s="12"/>
      <c r="UV45" s="12"/>
      <c r="UW45" s="12"/>
      <c r="UX45" s="12"/>
      <c r="UY45" s="12"/>
      <c r="UZ45" s="12"/>
      <c r="VA45" s="12"/>
      <c r="VB45" s="12"/>
      <c r="VC45" s="12"/>
      <c r="VD45" s="12"/>
      <c r="VE45" s="12"/>
      <c r="VF45" s="12"/>
      <c r="VG45" s="12"/>
      <c r="VH45" s="12"/>
      <c r="VI45" s="12"/>
      <c r="VJ45" s="12"/>
      <c r="VK45" s="12"/>
      <c r="VL45" s="12"/>
      <c r="VM45" s="12"/>
      <c r="VN45" s="12"/>
      <c r="VO45" s="12"/>
      <c r="VP45" s="12"/>
      <c r="VQ45" s="12"/>
      <c r="VR45" s="12"/>
      <c r="VS45" s="12"/>
      <c r="VT45" s="12"/>
      <c r="VU45" s="12"/>
      <c r="VV45" s="12"/>
      <c r="VW45" s="12"/>
      <c r="VX45" s="12"/>
      <c r="VY45" s="12"/>
      <c r="VZ45" s="12"/>
      <c r="WA45" s="12"/>
      <c r="WB45" s="12"/>
      <c r="WC45" s="12"/>
      <c r="WD45" s="12"/>
      <c r="WE45" s="12"/>
      <c r="WF45" s="12"/>
      <c r="WG45" s="12"/>
      <c r="WH45" s="12"/>
      <c r="WI45" s="12"/>
      <c r="WJ45" s="12"/>
      <c r="WK45" s="12"/>
      <c r="WL45" s="12"/>
      <c r="WM45" s="12"/>
      <c r="WN45" s="12"/>
      <c r="WO45" s="12"/>
      <c r="WP45" s="12"/>
      <c r="WQ45" s="12"/>
      <c r="WR45" s="12"/>
      <c r="WS45" s="12"/>
      <c r="WT45" s="12"/>
      <c r="WU45" s="12"/>
      <c r="WV45" s="12"/>
      <c r="WW45" s="12"/>
      <c r="WX45" s="12"/>
      <c r="WY45" s="12"/>
      <c r="WZ45" s="12"/>
      <c r="XA45" s="12"/>
      <c r="XB45" s="12"/>
      <c r="XC45" s="12"/>
      <c r="XD45" s="12"/>
      <c r="XE45" s="12"/>
      <c r="XF45" s="12"/>
      <c r="XG45" s="12"/>
      <c r="XH45" s="12"/>
      <c r="XI45" s="12"/>
      <c r="XJ45" s="12"/>
      <c r="XK45" s="12"/>
      <c r="XL45" s="12"/>
      <c r="XM45" s="12"/>
      <c r="XN45" s="12"/>
      <c r="XO45" s="12"/>
      <c r="XP45" s="12"/>
      <c r="XQ45" s="12"/>
      <c r="XR45" s="12"/>
      <c r="XS45" s="12"/>
      <c r="XT45" s="12"/>
      <c r="XU45" s="12"/>
      <c r="XV45" s="12"/>
      <c r="XW45" s="12"/>
      <c r="XX45" s="12"/>
      <c r="XY45" s="12"/>
      <c r="XZ45" s="12"/>
      <c r="YA45" s="12"/>
      <c r="YB45" s="12"/>
      <c r="YC45" s="12"/>
      <c r="YD45" s="12"/>
      <c r="YE45" s="12"/>
      <c r="YF45" s="12"/>
      <c r="YG45" s="12"/>
      <c r="YH45" s="12"/>
      <c r="YI45" s="12"/>
      <c r="YJ45" s="12"/>
      <c r="YK45" s="12"/>
      <c r="YL45" s="12"/>
      <c r="YM45" s="12"/>
      <c r="YN45" s="12"/>
      <c r="YO45" s="12"/>
      <c r="YP45" s="12"/>
      <c r="YQ45" s="12"/>
      <c r="YR45" s="12"/>
      <c r="YS45" s="12"/>
      <c r="YT45" s="12"/>
      <c r="YU45" s="12"/>
      <c r="YV45" s="12"/>
      <c r="YW45" s="12"/>
      <c r="YX45" s="12"/>
      <c r="YY45" s="12"/>
      <c r="YZ45" s="12"/>
      <c r="ZA45" s="12"/>
      <c r="ZB45" s="12"/>
      <c r="ZC45" s="12"/>
      <c r="ZD45" s="12"/>
      <c r="ZE45" s="12"/>
      <c r="ZF45" s="12"/>
      <c r="ZG45" s="12"/>
      <c r="ZH45" s="12"/>
      <c r="ZI45" s="12"/>
      <c r="ZJ45" s="12"/>
      <c r="ZK45" s="12"/>
      <c r="ZL45" s="12"/>
      <c r="ZM45" s="12"/>
      <c r="ZN45" s="12"/>
      <c r="ZO45" s="12"/>
      <c r="ZP45" s="12"/>
      <c r="ZQ45" s="12"/>
      <c r="ZR45" s="12"/>
      <c r="ZS45" s="12"/>
      <c r="ZT45" s="12"/>
      <c r="ZU45" s="12"/>
      <c r="ZV45" s="12"/>
      <c r="ZW45" s="12"/>
      <c r="ZX45" s="12"/>
      <c r="ZY45" s="12"/>
      <c r="ZZ45" s="12"/>
      <c r="AAA45" s="12"/>
      <c r="AAB45" s="12"/>
      <c r="AAC45" s="12"/>
      <c r="AAD45" s="12"/>
      <c r="AAE45" s="12"/>
      <c r="AAF45" s="12"/>
      <c r="AAG45" s="12"/>
      <c r="AAH45" s="12"/>
      <c r="AAI45" s="12"/>
      <c r="AAJ45" s="12"/>
      <c r="AAK45" s="12"/>
      <c r="AAL45" s="12"/>
      <c r="AAM45" s="12"/>
      <c r="AAN45" s="12"/>
      <c r="AAO45" s="12"/>
      <c r="AAP45" s="12"/>
      <c r="AAQ45" s="12"/>
      <c r="AAR45" s="12"/>
      <c r="AAS45" s="12"/>
      <c r="AAT45" s="12"/>
      <c r="AAU45" s="12"/>
      <c r="AAV45" s="12"/>
      <c r="AAW45" s="12"/>
      <c r="AAX45" s="12"/>
      <c r="AAY45" s="12"/>
      <c r="AAZ45" s="12"/>
      <c r="ABA45" s="12"/>
      <c r="ABB45" s="12"/>
      <c r="ABC45" s="12"/>
      <c r="ABD45" s="12"/>
      <c r="ABE45" s="12"/>
      <c r="ABF45" s="12"/>
      <c r="ABG45" s="12"/>
      <c r="ABH45" s="12"/>
      <c r="ABI45" s="12"/>
      <c r="ABJ45" s="12"/>
      <c r="ABK45" s="12"/>
      <c r="ABL45" s="12"/>
      <c r="ABM45" s="12"/>
      <c r="ABN45" s="12"/>
      <c r="ABO45" s="12"/>
      <c r="ABP45" s="12"/>
      <c r="ABQ45" s="12"/>
      <c r="ABR45" s="12"/>
      <c r="ABS45" s="12"/>
      <c r="ABT45" s="12"/>
      <c r="ABU45" s="12"/>
      <c r="ABV45" s="12"/>
      <c r="ABW45" s="12"/>
      <c r="ABX45" s="12"/>
      <c r="ABY45" s="12"/>
      <c r="ABZ45" s="12"/>
      <c r="ACA45" s="12"/>
      <c r="ACB45" s="12"/>
      <c r="ACC45" s="12"/>
      <c r="ACD45" s="12"/>
      <c r="ACE45" s="12"/>
      <c r="ACF45" s="12"/>
      <c r="ACG45" s="12"/>
      <c r="ACH45" s="12"/>
      <c r="ACI45" s="12"/>
      <c r="ACJ45" s="12"/>
      <c r="ACK45" s="12"/>
      <c r="ACL45" s="12"/>
      <c r="ACM45" s="12"/>
      <c r="ACN45" s="12"/>
      <c r="ACO45" s="12"/>
      <c r="ACP45" s="12"/>
      <c r="ACQ45" s="12"/>
      <c r="ACR45" s="12"/>
      <c r="ACS45" s="12"/>
      <c r="ACT45" s="12"/>
      <c r="ACU45" s="12"/>
      <c r="ACV45" s="12"/>
      <c r="ACW45" s="12"/>
      <c r="ACX45" s="12"/>
      <c r="ACY45" s="12"/>
      <c r="ACZ45" s="12"/>
      <c r="ADA45" s="12"/>
      <c r="ADB45" s="12"/>
      <c r="ADC45" s="12"/>
      <c r="ADD45" s="12"/>
      <c r="ADE45" s="12"/>
      <c r="ADF45" s="12"/>
      <c r="ADG45" s="12"/>
      <c r="ADH45" s="12"/>
      <c r="ADI45" s="12"/>
      <c r="ADJ45" s="12"/>
      <c r="ADK45" s="12"/>
      <c r="ADL45" s="12"/>
      <c r="ADM45" s="12"/>
      <c r="ADN45" s="12"/>
      <c r="ADO45" s="12"/>
      <c r="ADP45" s="12"/>
      <c r="ADQ45" s="12"/>
      <c r="ADR45" s="12"/>
      <c r="ADS45" s="12"/>
      <c r="ADT45" s="12"/>
      <c r="ADU45" s="12"/>
      <c r="ADV45" s="12"/>
      <c r="ADW45" s="12"/>
      <c r="ADX45" s="12"/>
      <c r="ADY45" s="12"/>
      <c r="ADZ45" s="12"/>
      <c r="AEA45" s="12"/>
      <c r="AEB45" s="12"/>
      <c r="AEC45" s="12"/>
      <c r="AED45" s="12"/>
      <c r="AEE45" s="12"/>
      <c r="AEF45" s="12"/>
      <c r="AEG45" s="12"/>
      <c r="AEH45" s="12"/>
      <c r="AEI45" s="12"/>
      <c r="AEJ45" s="12"/>
      <c r="AEK45" s="12"/>
      <c r="AEL45" s="12"/>
      <c r="AEM45" s="12"/>
      <c r="AEN45" s="12"/>
      <c r="AEO45" s="12"/>
      <c r="AEP45" s="12"/>
      <c r="AEQ45" s="12"/>
      <c r="AER45" s="12"/>
      <c r="AES45" s="12"/>
      <c r="AET45" s="12"/>
      <c r="AEU45" s="12"/>
      <c r="AEV45" s="12"/>
    </row>
    <row r="46" spans="1:828" s="27" customFormat="1" ht="18" x14ac:dyDescent="0.2">
      <c r="A46" s="28"/>
      <c r="C46" s="23"/>
      <c r="D46" s="29"/>
      <c r="E46" s="23"/>
      <c r="F46" s="23"/>
      <c r="G46" s="23"/>
      <c r="H46" s="30"/>
      <c r="I46" s="23"/>
      <c r="J46" s="29"/>
      <c r="K46" s="30"/>
      <c r="L46" s="23"/>
      <c r="M46" s="29"/>
      <c r="N46" s="47"/>
      <c r="O46" s="47"/>
      <c r="P46" s="48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2"/>
      <c r="FJ46" s="12"/>
      <c r="FK46" s="12"/>
      <c r="FL46" s="12"/>
      <c r="FM46" s="12"/>
      <c r="FN46" s="12"/>
      <c r="FO46" s="12"/>
      <c r="FP46" s="12"/>
      <c r="FQ46" s="12"/>
      <c r="FR46" s="12"/>
      <c r="FS46" s="12"/>
      <c r="FT46" s="12"/>
      <c r="FU46" s="12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2"/>
      <c r="GG46" s="12"/>
      <c r="GH46" s="12"/>
      <c r="GI46" s="12"/>
      <c r="GJ46" s="12"/>
      <c r="GK46" s="12"/>
      <c r="GL46" s="12"/>
      <c r="GM46" s="12"/>
      <c r="GN46" s="12"/>
      <c r="GO46" s="12"/>
      <c r="GP46" s="12"/>
      <c r="GQ46" s="12"/>
      <c r="GR46" s="12"/>
      <c r="GS46" s="12"/>
      <c r="GT46" s="12"/>
      <c r="GU46" s="12"/>
      <c r="GV46" s="12"/>
      <c r="GW46" s="12"/>
      <c r="GX46" s="12"/>
      <c r="GY46" s="12"/>
      <c r="GZ46" s="12"/>
      <c r="HA46" s="12"/>
      <c r="HB46" s="12"/>
      <c r="HC46" s="12"/>
      <c r="HD46" s="12"/>
      <c r="HE46" s="12"/>
      <c r="HF46" s="12"/>
      <c r="HG46" s="12"/>
      <c r="HH46" s="12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2"/>
      <c r="HT46" s="12"/>
      <c r="HU46" s="12"/>
      <c r="HV46" s="12"/>
      <c r="HW46" s="12"/>
      <c r="HX46" s="12"/>
      <c r="HY46" s="12"/>
      <c r="HZ46" s="12"/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  <c r="IL46" s="12"/>
      <c r="IM46" s="12"/>
      <c r="IN46" s="12"/>
      <c r="IO46" s="12"/>
      <c r="IP46" s="12"/>
      <c r="IQ46" s="12"/>
      <c r="IR46" s="12"/>
      <c r="IS46" s="12"/>
      <c r="IT46" s="12"/>
      <c r="IU46" s="12"/>
      <c r="IV46" s="12"/>
      <c r="IW46" s="12"/>
      <c r="IX46" s="12"/>
      <c r="IY46" s="12"/>
      <c r="IZ46" s="12"/>
      <c r="JA46" s="12"/>
      <c r="JB46" s="12"/>
      <c r="JC46" s="12"/>
      <c r="JD46" s="12"/>
      <c r="JE46" s="12"/>
      <c r="JF46" s="12"/>
      <c r="JG46" s="12"/>
      <c r="JH46" s="12"/>
      <c r="JI46" s="12"/>
      <c r="JJ46" s="12"/>
      <c r="JK46" s="12"/>
      <c r="JL46" s="12"/>
      <c r="JM46" s="12"/>
      <c r="JN46" s="12"/>
      <c r="JO46" s="12"/>
      <c r="JP46" s="12"/>
      <c r="JQ46" s="12"/>
      <c r="JR46" s="12"/>
      <c r="JS46" s="12"/>
      <c r="JT46" s="12"/>
      <c r="JU46" s="12"/>
      <c r="JV46" s="12"/>
      <c r="JW46" s="12"/>
      <c r="JX46" s="12"/>
      <c r="JY46" s="12"/>
      <c r="JZ46" s="12"/>
      <c r="KA46" s="12"/>
      <c r="KB46" s="12"/>
      <c r="KC46" s="12"/>
      <c r="KD46" s="12"/>
      <c r="KE46" s="12"/>
      <c r="KF46" s="12"/>
      <c r="KG46" s="12"/>
      <c r="KH46" s="12"/>
      <c r="KI46" s="12"/>
      <c r="KJ46" s="12"/>
      <c r="KK46" s="12"/>
      <c r="KL46" s="12"/>
      <c r="KM46" s="12"/>
      <c r="KN46" s="12"/>
      <c r="KO46" s="12"/>
      <c r="KP46" s="12"/>
      <c r="KQ46" s="12"/>
      <c r="KR46" s="12"/>
      <c r="KS46" s="12"/>
      <c r="KT46" s="12"/>
      <c r="KU46" s="12"/>
      <c r="KV46" s="12"/>
      <c r="KW46" s="12"/>
      <c r="KX46" s="12"/>
      <c r="KY46" s="12"/>
      <c r="KZ46" s="12"/>
      <c r="LA46" s="12"/>
      <c r="LB46" s="12"/>
      <c r="LC46" s="12"/>
      <c r="LD46" s="12"/>
      <c r="LE46" s="12"/>
      <c r="LF46" s="12"/>
      <c r="LG46" s="12"/>
      <c r="LH46" s="12"/>
      <c r="LI46" s="12"/>
      <c r="LJ46" s="12"/>
      <c r="LK46" s="12"/>
      <c r="LL46" s="12"/>
      <c r="LM46" s="12"/>
      <c r="LN46" s="12"/>
      <c r="LO46" s="12"/>
      <c r="LP46" s="12"/>
      <c r="LQ46" s="12"/>
      <c r="LR46" s="12"/>
      <c r="LS46" s="12"/>
      <c r="LT46" s="12"/>
      <c r="LU46" s="12"/>
      <c r="LV46" s="12"/>
      <c r="LW46" s="12"/>
      <c r="LX46" s="12"/>
      <c r="LY46" s="12"/>
      <c r="LZ46" s="12"/>
      <c r="MA46" s="12"/>
      <c r="MB46" s="12"/>
      <c r="MC46" s="12"/>
      <c r="MD46" s="12"/>
      <c r="ME46" s="12"/>
      <c r="MF46" s="12"/>
      <c r="MG46" s="12"/>
      <c r="MH46" s="12"/>
      <c r="MI46" s="12"/>
      <c r="MJ46" s="12"/>
      <c r="MK46" s="12"/>
      <c r="ML46" s="12"/>
      <c r="MM46" s="12"/>
      <c r="MN46" s="12"/>
      <c r="MO46" s="12"/>
      <c r="MP46" s="12"/>
      <c r="MQ46" s="12"/>
      <c r="MR46" s="12"/>
      <c r="MS46" s="12"/>
      <c r="MT46" s="12"/>
      <c r="MU46" s="12"/>
      <c r="MV46" s="12"/>
      <c r="MW46" s="12"/>
      <c r="MX46" s="12"/>
      <c r="MY46" s="12"/>
      <c r="MZ46" s="12"/>
      <c r="NA46" s="12"/>
      <c r="NB46" s="12"/>
      <c r="NC46" s="12"/>
      <c r="ND46" s="12"/>
      <c r="NE46" s="12"/>
      <c r="NF46" s="12"/>
      <c r="NG46" s="12"/>
      <c r="NH46" s="12"/>
      <c r="NI46" s="12"/>
      <c r="NJ46" s="12"/>
      <c r="NK46" s="12"/>
      <c r="NL46" s="12"/>
      <c r="NM46" s="12"/>
      <c r="NN46" s="12"/>
      <c r="NO46" s="12"/>
      <c r="NP46" s="12"/>
      <c r="NQ46" s="12"/>
      <c r="NR46" s="12"/>
      <c r="NS46" s="12"/>
      <c r="NT46" s="12"/>
      <c r="NU46" s="12"/>
      <c r="NV46" s="12"/>
      <c r="NW46" s="12"/>
      <c r="NX46" s="12"/>
      <c r="NY46" s="12"/>
      <c r="NZ46" s="12"/>
      <c r="OA46" s="12"/>
      <c r="OB46" s="12"/>
      <c r="OC46" s="12"/>
      <c r="OD46" s="12"/>
      <c r="OE46" s="12"/>
      <c r="OF46" s="12"/>
      <c r="OG46" s="12"/>
      <c r="OH46" s="12"/>
      <c r="OI46" s="12"/>
      <c r="OJ46" s="12"/>
      <c r="OK46" s="12"/>
      <c r="OL46" s="12"/>
      <c r="OM46" s="12"/>
      <c r="ON46" s="12"/>
      <c r="OO46" s="12"/>
      <c r="OP46" s="12"/>
      <c r="OQ46" s="12"/>
      <c r="OR46" s="12"/>
      <c r="OS46" s="12"/>
      <c r="OT46" s="12"/>
      <c r="OU46" s="12"/>
      <c r="OV46" s="12"/>
      <c r="OW46" s="12"/>
      <c r="OX46" s="12"/>
      <c r="OY46" s="12"/>
      <c r="OZ46" s="12"/>
      <c r="PA46" s="12"/>
      <c r="PB46" s="12"/>
      <c r="PC46" s="12"/>
      <c r="PD46" s="12"/>
      <c r="PE46" s="12"/>
      <c r="PF46" s="12"/>
      <c r="PG46" s="12"/>
      <c r="PH46" s="12"/>
      <c r="PI46" s="12"/>
      <c r="PJ46" s="12"/>
      <c r="PK46" s="12"/>
      <c r="PL46" s="12"/>
      <c r="PM46" s="12"/>
      <c r="PN46" s="12"/>
      <c r="PO46" s="12"/>
      <c r="PP46" s="12"/>
      <c r="PQ46" s="12"/>
      <c r="PR46" s="12"/>
      <c r="PS46" s="12"/>
      <c r="PT46" s="12"/>
      <c r="PU46" s="12"/>
      <c r="PV46" s="12"/>
      <c r="PW46" s="12"/>
      <c r="PX46" s="12"/>
      <c r="PY46" s="12"/>
      <c r="PZ46" s="12"/>
      <c r="QA46" s="12"/>
      <c r="QB46" s="12"/>
      <c r="QC46" s="12"/>
      <c r="QD46" s="12"/>
      <c r="QE46" s="12"/>
      <c r="QF46" s="12"/>
      <c r="QG46" s="12"/>
      <c r="QH46" s="12"/>
      <c r="QI46" s="12"/>
      <c r="QJ46" s="12"/>
      <c r="QK46" s="12"/>
      <c r="QL46" s="12"/>
      <c r="QM46" s="12"/>
      <c r="QN46" s="12"/>
      <c r="QO46" s="12"/>
      <c r="QP46" s="12"/>
      <c r="QQ46" s="12"/>
      <c r="QR46" s="12"/>
      <c r="QS46" s="12"/>
      <c r="QT46" s="12"/>
      <c r="QU46" s="12"/>
      <c r="QV46" s="12"/>
      <c r="QW46" s="12"/>
      <c r="QX46" s="12"/>
      <c r="QY46" s="12"/>
      <c r="QZ46" s="12"/>
      <c r="RA46" s="12"/>
      <c r="RB46" s="12"/>
      <c r="RC46" s="12"/>
      <c r="RD46" s="12"/>
      <c r="RE46" s="12"/>
      <c r="RF46" s="12"/>
      <c r="RG46" s="12"/>
      <c r="RH46" s="12"/>
      <c r="RI46" s="12"/>
      <c r="RJ46" s="12"/>
      <c r="RK46" s="12"/>
      <c r="RL46" s="12"/>
      <c r="RM46" s="12"/>
      <c r="RN46" s="12"/>
      <c r="RO46" s="12"/>
      <c r="RP46" s="12"/>
      <c r="RQ46" s="12"/>
      <c r="RR46" s="12"/>
      <c r="RS46" s="12"/>
      <c r="RT46" s="12"/>
      <c r="RU46" s="12"/>
      <c r="RV46" s="12"/>
      <c r="RW46" s="12"/>
      <c r="RX46" s="12"/>
      <c r="RY46" s="12"/>
      <c r="RZ46" s="12"/>
      <c r="SA46" s="12"/>
      <c r="SB46" s="12"/>
      <c r="SC46" s="12"/>
      <c r="SD46" s="12"/>
      <c r="SE46" s="12"/>
      <c r="SF46" s="12"/>
      <c r="SG46" s="12"/>
      <c r="SH46" s="12"/>
      <c r="SI46" s="12"/>
      <c r="SJ46" s="12"/>
      <c r="SK46" s="12"/>
      <c r="SL46" s="12"/>
      <c r="SM46" s="12"/>
      <c r="SN46" s="12"/>
      <c r="SO46" s="12"/>
      <c r="SP46" s="12"/>
      <c r="SQ46" s="12"/>
      <c r="SR46" s="12"/>
      <c r="SS46" s="12"/>
      <c r="ST46" s="12"/>
      <c r="SU46" s="12"/>
      <c r="SV46" s="12"/>
      <c r="SW46" s="12"/>
      <c r="SX46" s="12"/>
      <c r="SY46" s="12"/>
      <c r="SZ46" s="12"/>
      <c r="TA46" s="12"/>
      <c r="TB46" s="12"/>
      <c r="TC46" s="12"/>
      <c r="TD46" s="12"/>
      <c r="TE46" s="12"/>
      <c r="TF46" s="12"/>
      <c r="TG46" s="12"/>
      <c r="TH46" s="12"/>
      <c r="TI46" s="12"/>
      <c r="TJ46" s="12"/>
      <c r="TK46" s="12"/>
      <c r="TL46" s="12"/>
      <c r="TM46" s="12"/>
      <c r="TN46" s="12"/>
      <c r="TO46" s="12"/>
      <c r="TP46" s="12"/>
      <c r="TQ46" s="12"/>
      <c r="TR46" s="12"/>
      <c r="TS46" s="12"/>
      <c r="TT46" s="12"/>
      <c r="TU46" s="12"/>
      <c r="TV46" s="12"/>
      <c r="TW46" s="12"/>
      <c r="TX46" s="12"/>
      <c r="TY46" s="12"/>
      <c r="TZ46" s="12"/>
      <c r="UA46" s="12"/>
      <c r="UB46" s="12"/>
      <c r="UC46" s="12"/>
      <c r="UD46" s="12"/>
      <c r="UE46" s="12"/>
      <c r="UF46" s="12"/>
      <c r="UG46" s="12"/>
      <c r="UH46" s="12"/>
      <c r="UI46" s="12"/>
      <c r="UJ46" s="12"/>
      <c r="UK46" s="12"/>
      <c r="UL46" s="12"/>
      <c r="UM46" s="12"/>
      <c r="UN46" s="12"/>
      <c r="UO46" s="12"/>
      <c r="UP46" s="12"/>
      <c r="UQ46" s="12"/>
      <c r="UR46" s="12"/>
      <c r="US46" s="12"/>
      <c r="UT46" s="12"/>
      <c r="UU46" s="12"/>
      <c r="UV46" s="12"/>
      <c r="UW46" s="12"/>
      <c r="UX46" s="12"/>
      <c r="UY46" s="12"/>
      <c r="UZ46" s="12"/>
      <c r="VA46" s="12"/>
      <c r="VB46" s="12"/>
      <c r="VC46" s="12"/>
      <c r="VD46" s="12"/>
      <c r="VE46" s="12"/>
      <c r="VF46" s="12"/>
      <c r="VG46" s="12"/>
      <c r="VH46" s="12"/>
      <c r="VI46" s="12"/>
      <c r="VJ46" s="12"/>
      <c r="VK46" s="12"/>
      <c r="VL46" s="12"/>
      <c r="VM46" s="12"/>
      <c r="VN46" s="12"/>
      <c r="VO46" s="12"/>
      <c r="VP46" s="12"/>
      <c r="VQ46" s="12"/>
      <c r="VR46" s="12"/>
      <c r="VS46" s="12"/>
      <c r="VT46" s="12"/>
      <c r="VU46" s="12"/>
      <c r="VV46" s="12"/>
      <c r="VW46" s="12"/>
      <c r="VX46" s="12"/>
      <c r="VY46" s="12"/>
      <c r="VZ46" s="12"/>
      <c r="WA46" s="12"/>
      <c r="WB46" s="12"/>
      <c r="WC46" s="12"/>
      <c r="WD46" s="12"/>
      <c r="WE46" s="12"/>
      <c r="WF46" s="12"/>
      <c r="WG46" s="12"/>
      <c r="WH46" s="12"/>
      <c r="WI46" s="12"/>
      <c r="WJ46" s="12"/>
      <c r="WK46" s="12"/>
      <c r="WL46" s="12"/>
      <c r="WM46" s="12"/>
      <c r="WN46" s="12"/>
      <c r="WO46" s="12"/>
      <c r="WP46" s="12"/>
      <c r="WQ46" s="12"/>
      <c r="WR46" s="12"/>
      <c r="WS46" s="12"/>
      <c r="WT46" s="12"/>
      <c r="WU46" s="12"/>
      <c r="WV46" s="12"/>
      <c r="WW46" s="12"/>
      <c r="WX46" s="12"/>
      <c r="WY46" s="12"/>
      <c r="WZ46" s="12"/>
      <c r="XA46" s="12"/>
      <c r="XB46" s="12"/>
      <c r="XC46" s="12"/>
      <c r="XD46" s="12"/>
      <c r="XE46" s="12"/>
      <c r="XF46" s="12"/>
      <c r="XG46" s="12"/>
      <c r="XH46" s="12"/>
      <c r="XI46" s="12"/>
      <c r="XJ46" s="12"/>
      <c r="XK46" s="12"/>
      <c r="XL46" s="12"/>
      <c r="XM46" s="12"/>
      <c r="XN46" s="12"/>
      <c r="XO46" s="12"/>
      <c r="XP46" s="12"/>
      <c r="XQ46" s="12"/>
      <c r="XR46" s="12"/>
      <c r="XS46" s="12"/>
      <c r="XT46" s="12"/>
      <c r="XU46" s="12"/>
      <c r="XV46" s="12"/>
      <c r="XW46" s="12"/>
      <c r="XX46" s="12"/>
      <c r="XY46" s="12"/>
      <c r="XZ46" s="12"/>
      <c r="YA46" s="12"/>
      <c r="YB46" s="12"/>
      <c r="YC46" s="12"/>
      <c r="YD46" s="12"/>
      <c r="YE46" s="12"/>
      <c r="YF46" s="12"/>
      <c r="YG46" s="12"/>
      <c r="YH46" s="12"/>
      <c r="YI46" s="12"/>
      <c r="YJ46" s="12"/>
      <c r="YK46" s="12"/>
      <c r="YL46" s="12"/>
      <c r="YM46" s="12"/>
      <c r="YN46" s="12"/>
      <c r="YO46" s="12"/>
      <c r="YP46" s="12"/>
      <c r="YQ46" s="12"/>
      <c r="YR46" s="12"/>
      <c r="YS46" s="12"/>
      <c r="YT46" s="12"/>
      <c r="YU46" s="12"/>
      <c r="YV46" s="12"/>
      <c r="YW46" s="12"/>
      <c r="YX46" s="12"/>
      <c r="YY46" s="12"/>
      <c r="YZ46" s="12"/>
      <c r="ZA46" s="12"/>
      <c r="ZB46" s="12"/>
      <c r="ZC46" s="12"/>
      <c r="ZD46" s="12"/>
      <c r="ZE46" s="12"/>
      <c r="ZF46" s="12"/>
      <c r="ZG46" s="12"/>
      <c r="ZH46" s="12"/>
      <c r="ZI46" s="12"/>
      <c r="ZJ46" s="12"/>
      <c r="ZK46" s="12"/>
      <c r="ZL46" s="12"/>
      <c r="ZM46" s="12"/>
      <c r="ZN46" s="12"/>
      <c r="ZO46" s="12"/>
      <c r="ZP46" s="12"/>
      <c r="ZQ46" s="12"/>
      <c r="ZR46" s="12"/>
      <c r="ZS46" s="12"/>
      <c r="ZT46" s="12"/>
      <c r="ZU46" s="12"/>
      <c r="ZV46" s="12"/>
      <c r="ZW46" s="12"/>
      <c r="ZX46" s="12"/>
      <c r="ZY46" s="12"/>
      <c r="ZZ46" s="12"/>
      <c r="AAA46" s="12"/>
      <c r="AAB46" s="12"/>
      <c r="AAC46" s="12"/>
      <c r="AAD46" s="12"/>
      <c r="AAE46" s="12"/>
      <c r="AAF46" s="12"/>
      <c r="AAG46" s="12"/>
      <c r="AAH46" s="12"/>
      <c r="AAI46" s="12"/>
      <c r="AAJ46" s="12"/>
      <c r="AAK46" s="12"/>
      <c r="AAL46" s="12"/>
      <c r="AAM46" s="12"/>
      <c r="AAN46" s="12"/>
      <c r="AAO46" s="12"/>
      <c r="AAP46" s="12"/>
      <c r="AAQ46" s="12"/>
      <c r="AAR46" s="12"/>
      <c r="AAS46" s="12"/>
      <c r="AAT46" s="12"/>
      <c r="AAU46" s="12"/>
      <c r="AAV46" s="12"/>
      <c r="AAW46" s="12"/>
      <c r="AAX46" s="12"/>
      <c r="AAY46" s="12"/>
      <c r="AAZ46" s="12"/>
      <c r="ABA46" s="12"/>
      <c r="ABB46" s="12"/>
      <c r="ABC46" s="12"/>
      <c r="ABD46" s="12"/>
      <c r="ABE46" s="12"/>
      <c r="ABF46" s="12"/>
      <c r="ABG46" s="12"/>
      <c r="ABH46" s="12"/>
      <c r="ABI46" s="12"/>
      <c r="ABJ46" s="12"/>
      <c r="ABK46" s="12"/>
      <c r="ABL46" s="12"/>
      <c r="ABM46" s="12"/>
      <c r="ABN46" s="12"/>
      <c r="ABO46" s="12"/>
      <c r="ABP46" s="12"/>
      <c r="ABQ46" s="12"/>
      <c r="ABR46" s="12"/>
      <c r="ABS46" s="12"/>
      <c r="ABT46" s="12"/>
      <c r="ABU46" s="12"/>
      <c r="ABV46" s="12"/>
      <c r="ABW46" s="12"/>
      <c r="ABX46" s="12"/>
      <c r="ABY46" s="12"/>
      <c r="ABZ46" s="12"/>
      <c r="ACA46" s="12"/>
      <c r="ACB46" s="12"/>
      <c r="ACC46" s="12"/>
      <c r="ACD46" s="12"/>
      <c r="ACE46" s="12"/>
      <c r="ACF46" s="12"/>
      <c r="ACG46" s="12"/>
      <c r="ACH46" s="12"/>
      <c r="ACI46" s="12"/>
      <c r="ACJ46" s="12"/>
      <c r="ACK46" s="12"/>
      <c r="ACL46" s="12"/>
      <c r="ACM46" s="12"/>
      <c r="ACN46" s="12"/>
      <c r="ACO46" s="12"/>
      <c r="ACP46" s="12"/>
      <c r="ACQ46" s="12"/>
      <c r="ACR46" s="12"/>
      <c r="ACS46" s="12"/>
      <c r="ACT46" s="12"/>
      <c r="ACU46" s="12"/>
      <c r="ACV46" s="12"/>
      <c r="ACW46" s="12"/>
      <c r="ACX46" s="12"/>
      <c r="ACY46" s="12"/>
      <c r="ACZ46" s="12"/>
      <c r="ADA46" s="12"/>
      <c r="ADB46" s="12"/>
      <c r="ADC46" s="12"/>
      <c r="ADD46" s="12"/>
      <c r="ADE46" s="12"/>
      <c r="ADF46" s="12"/>
      <c r="ADG46" s="12"/>
      <c r="ADH46" s="12"/>
      <c r="ADI46" s="12"/>
      <c r="ADJ46" s="12"/>
      <c r="ADK46" s="12"/>
      <c r="ADL46" s="12"/>
      <c r="ADM46" s="12"/>
      <c r="ADN46" s="12"/>
      <c r="ADO46" s="12"/>
      <c r="ADP46" s="12"/>
      <c r="ADQ46" s="12"/>
      <c r="ADR46" s="12"/>
      <c r="ADS46" s="12"/>
      <c r="ADT46" s="12"/>
      <c r="ADU46" s="12"/>
      <c r="ADV46" s="12"/>
      <c r="ADW46" s="12"/>
      <c r="ADX46" s="12"/>
      <c r="ADY46" s="12"/>
      <c r="ADZ46" s="12"/>
      <c r="AEA46" s="12"/>
      <c r="AEB46" s="12"/>
      <c r="AEC46" s="12"/>
      <c r="AED46" s="12"/>
      <c r="AEE46" s="12"/>
      <c r="AEF46" s="12"/>
      <c r="AEG46" s="12"/>
      <c r="AEH46" s="12"/>
      <c r="AEI46" s="12"/>
      <c r="AEJ46" s="12"/>
      <c r="AEK46" s="12"/>
      <c r="AEL46" s="12"/>
      <c r="AEM46" s="12"/>
      <c r="AEN46" s="12"/>
      <c r="AEO46" s="12"/>
      <c r="AEP46" s="12"/>
      <c r="AEQ46" s="12"/>
      <c r="AER46" s="12"/>
      <c r="AES46" s="12"/>
      <c r="AET46" s="12"/>
      <c r="AEU46" s="12"/>
      <c r="AEV46" s="12"/>
    </row>
    <row r="47" spans="1:828" s="60" customFormat="1" ht="19" x14ac:dyDescent="0.2">
      <c r="A47" s="52" t="s">
        <v>43</v>
      </c>
      <c r="B47" s="53">
        <f t="shared" si="0"/>
        <v>2.0981955518254302E-3</v>
      </c>
      <c r="C47" s="54" t="s">
        <v>44</v>
      </c>
      <c r="D47" s="55">
        <v>260</v>
      </c>
      <c r="E47" s="56">
        <f>SUM(G47:G49)/D74</f>
        <v>4.7451499402821262E-3</v>
      </c>
      <c r="F47" s="57" t="s">
        <v>73</v>
      </c>
      <c r="G47" s="57">
        <v>542</v>
      </c>
      <c r="H47" s="58">
        <f>J47/J74</f>
        <v>6.170826324281644E-3</v>
      </c>
      <c r="I47" s="54" t="s">
        <v>45</v>
      </c>
      <c r="J47" s="55">
        <v>719</v>
      </c>
      <c r="K47" s="58">
        <f>SUM(M47:M49)/J74</f>
        <v>1.5551512238662501E-2</v>
      </c>
      <c r="L47" s="54" t="s">
        <v>46</v>
      </c>
      <c r="M47" s="55">
        <v>1590</v>
      </c>
      <c r="N47" s="47">
        <f t="shared" si="1"/>
        <v>4.3739307272668585E-3</v>
      </c>
      <c r="O47" s="47">
        <f t="shared" si="2"/>
        <v>1.3646194514058156E-2</v>
      </c>
      <c r="P47" s="48"/>
      <c r="Q47" s="12"/>
      <c r="R47" s="12"/>
      <c r="S47" s="12"/>
      <c r="T47" s="12"/>
      <c r="U47" s="12"/>
      <c r="V47" s="12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9"/>
      <c r="AV47" s="59"/>
      <c r="AW47" s="59"/>
      <c r="AX47" s="59"/>
      <c r="AY47" s="59"/>
      <c r="AZ47" s="59"/>
      <c r="BA47" s="59"/>
      <c r="BB47" s="59"/>
      <c r="BC47" s="59"/>
      <c r="BD47" s="59"/>
      <c r="BE47" s="59"/>
      <c r="BF47" s="59"/>
      <c r="BG47" s="59"/>
      <c r="BH47" s="59"/>
      <c r="BI47" s="59"/>
      <c r="BJ47" s="59"/>
      <c r="BK47" s="59"/>
      <c r="BL47" s="59"/>
      <c r="BM47" s="59"/>
      <c r="BN47" s="59"/>
      <c r="BO47" s="59"/>
      <c r="BP47" s="59"/>
      <c r="BQ47" s="59"/>
      <c r="BR47" s="59"/>
      <c r="BS47" s="59"/>
      <c r="BT47" s="59"/>
      <c r="BU47" s="59"/>
      <c r="BV47" s="59"/>
      <c r="BW47" s="59"/>
      <c r="BX47" s="59"/>
      <c r="BY47" s="59"/>
      <c r="BZ47" s="59"/>
      <c r="CA47" s="59"/>
      <c r="CB47" s="59"/>
      <c r="CC47" s="59"/>
      <c r="CD47" s="59"/>
      <c r="CE47" s="59"/>
      <c r="CF47" s="59"/>
      <c r="CG47" s="59"/>
      <c r="CH47" s="59"/>
      <c r="CI47" s="59"/>
      <c r="CJ47" s="59"/>
      <c r="CK47" s="59"/>
      <c r="CL47" s="59"/>
      <c r="CM47" s="59"/>
      <c r="CN47" s="59"/>
      <c r="CO47" s="59"/>
      <c r="CP47" s="59"/>
      <c r="CQ47" s="59"/>
      <c r="CR47" s="59"/>
      <c r="CS47" s="59"/>
      <c r="CT47" s="59"/>
      <c r="CU47" s="59"/>
      <c r="CV47" s="59"/>
      <c r="CW47" s="59"/>
      <c r="CX47" s="59"/>
      <c r="CY47" s="59"/>
      <c r="CZ47" s="59"/>
      <c r="DA47" s="59"/>
      <c r="DB47" s="59"/>
      <c r="DC47" s="59"/>
      <c r="DD47" s="59"/>
      <c r="DE47" s="59"/>
      <c r="DF47" s="59"/>
      <c r="DG47" s="59"/>
      <c r="DH47" s="59"/>
      <c r="DI47" s="59"/>
      <c r="DJ47" s="59"/>
      <c r="DK47" s="59"/>
      <c r="DL47" s="59"/>
      <c r="DM47" s="59"/>
      <c r="DN47" s="59"/>
      <c r="DO47" s="59"/>
      <c r="DP47" s="59"/>
      <c r="DQ47" s="59"/>
      <c r="DR47" s="59"/>
      <c r="DS47" s="59"/>
      <c r="DT47" s="59"/>
      <c r="DU47" s="59"/>
      <c r="DV47" s="59"/>
      <c r="DW47" s="59"/>
      <c r="DX47" s="59"/>
      <c r="DY47" s="59"/>
      <c r="DZ47" s="59"/>
      <c r="EA47" s="59"/>
      <c r="EB47" s="59"/>
      <c r="EC47" s="59"/>
      <c r="ED47" s="59"/>
      <c r="EE47" s="59"/>
      <c r="EF47" s="59"/>
      <c r="EG47" s="59"/>
      <c r="EH47" s="59"/>
      <c r="EI47" s="59"/>
      <c r="EJ47" s="59"/>
      <c r="EK47" s="59"/>
      <c r="EL47" s="59"/>
      <c r="EM47" s="59"/>
      <c r="EN47" s="59"/>
      <c r="EO47" s="59"/>
      <c r="EP47" s="59"/>
      <c r="EQ47" s="59"/>
      <c r="ER47" s="59"/>
      <c r="ES47" s="59"/>
      <c r="ET47" s="59"/>
      <c r="EU47" s="59"/>
      <c r="EV47" s="59"/>
      <c r="EW47" s="59"/>
      <c r="EX47" s="59"/>
      <c r="EY47" s="59"/>
      <c r="EZ47" s="59"/>
      <c r="FA47" s="59"/>
      <c r="FB47" s="59"/>
      <c r="FC47" s="59"/>
      <c r="FD47" s="59"/>
      <c r="FE47" s="59"/>
      <c r="FF47" s="59"/>
      <c r="FG47" s="59"/>
      <c r="FH47" s="59"/>
      <c r="FI47" s="59"/>
      <c r="FJ47" s="59"/>
      <c r="FK47" s="59"/>
      <c r="FL47" s="59"/>
      <c r="FM47" s="59"/>
      <c r="FN47" s="59"/>
      <c r="FO47" s="59"/>
      <c r="FP47" s="59"/>
      <c r="FQ47" s="59"/>
      <c r="FR47" s="59"/>
      <c r="FS47" s="59"/>
      <c r="FT47" s="59"/>
      <c r="FU47" s="59"/>
      <c r="FV47" s="59"/>
      <c r="FW47" s="59"/>
      <c r="FX47" s="59"/>
      <c r="FY47" s="59"/>
      <c r="FZ47" s="59"/>
      <c r="GA47" s="59"/>
      <c r="GB47" s="59"/>
      <c r="GC47" s="59"/>
      <c r="GD47" s="59"/>
      <c r="GE47" s="59"/>
      <c r="GF47" s="59"/>
      <c r="GG47" s="59"/>
      <c r="GH47" s="59"/>
      <c r="GI47" s="59"/>
      <c r="GJ47" s="59"/>
      <c r="GK47" s="59"/>
      <c r="GL47" s="59"/>
      <c r="GM47" s="59"/>
      <c r="GN47" s="59"/>
      <c r="GO47" s="59"/>
      <c r="GP47" s="59"/>
      <c r="GQ47" s="59"/>
      <c r="GR47" s="59"/>
      <c r="GS47" s="59"/>
      <c r="GT47" s="59"/>
      <c r="GU47" s="59"/>
      <c r="GV47" s="59"/>
      <c r="GW47" s="59"/>
      <c r="GX47" s="59"/>
      <c r="GY47" s="59"/>
      <c r="GZ47" s="59"/>
      <c r="HA47" s="59"/>
      <c r="HB47" s="59"/>
      <c r="HC47" s="59"/>
      <c r="HD47" s="59"/>
      <c r="HE47" s="59"/>
      <c r="HF47" s="59"/>
      <c r="HG47" s="59"/>
      <c r="HH47" s="59"/>
      <c r="HI47" s="59"/>
      <c r="HJ47" s="59"/>
      <c r="HK47" s="59"/>
      <c r="HL47" s="59"/>
      <c r="HM47" s="59"/>
      <c r="HN47" s="59"/>
      <c r="HO47" s="59"/>
      <c r="HP47" s="59"/>
      <c r="HQ47" s="59"/>
      <c r="HR47" s="59"/>
      <c r="HS47" s="59"/>
      <c r="HT47" s="59"/>
      <c r="HU47" s="59"/>
      <c r="HV47" s="59"/>
      <c r="HW47" s="59"/>
      <c r="HX47" s="59"/>
      <c r="HY47" s="59"/>
      <c r="HZ47" s="59"/>
      <c r="IA47" s="59"/>
      <c r="IB47" s="59"/>
      <c r="IC47" s="59"/>
      <c r="ID47" s="59"/>
      <c r="IE47" s="59"/>
      <c r="IF47" s="59"/>
      <c r="IG47" s="59"/>
      <c r="IH47" s="59"/>
      <c r="II47" s="59"/>
      <c r="IJ47" s="59"/>
      <c r="IK47" s="59"/>
      <c r="IL47" s="59"/>
      <c r="IM47" s="59"/>
      <c r="IN47" s="59"/>
      <c r="IO47" s="59"/>
      <c r="IP47" s="59"/>
      <c r="IQ47" s="59"/>
      <c r="IR47" s="59"/>
      <c r="IS47" s="59"/>
      <c r="IT47" s="59"/>
      <c r="IU47" s="59"/>
      <c r="IV47" s="59"/>
      <c r="IW47" s="59"/>
      <c r="IX47" s="59"/>
      <c r="IY47" s="59"/>
      <c r="IZ47" s="59"/>
      <c r="JA47" s="59"/>
      <c r="JB47" s="59"/>
      <c r="JC47" s="59"/>
      <c r="JD47" s="59"/>
      <c r="JE47" s="59"/>
      <c r="JF47" s="59"/>
      <c r="JG47" s="59"/>
      <c r="JH47" s="59"/>
      <c r="JI47" s="59"/>
      <c r="JJ47" s="59"/>
      <c r="JK47" s="59"/>
      <c r="JL47" s="59"/>
      <c r="JM47" s="59"/>
      <c r="JN47" s="59"/>
      <c r="JO47" s="59"/>
      <c r="JP47" s="59"/>
      <c r="JQ47" s="59"/>
      <c r="JR47" s="59"/>
      <c r="JS47" s="59"/>
      <c r="JT47" s="59"/>
      <c r="JU47" s="59"/>
      <c r="JV47" s="59"/>
      <c r="JW47" s="59"/>
      <c r="JX47" s="59"/>
      <c r="JY47" s="59"/>
      <c r="JZ47" s="59"/>
      <c r="KA47" s="59"/>
      <c r="KB47" s="59"/>
      <c r="KC47" s="59"/>
      <c r="KD47" s="59"/>
      <c r="KE47" s="59"/>
      <c r="KF47" s="59"/>
      <c r="KG47" s="59"/>
      <c r="KH47" s="59"/>
      <c r="KI47" s="59"/>
      <c r="KJ47" s="59"/>
      <c r="KK47" s="59"/>
      <c r="KL47" s="59"/>
      <c r="KM47" s="59"/>
      <c r="KN47" s="59"/>
      <c r="KO47" s="59"/>
      <c r="KP47" s="59"/>
      <c r="KQ47" s="59"/>
      <c r="KR47" s="59"/>
      <c r="KS47" s="59"/>
      <c r="KT47" s="59"/>
      <c r="KU47" s="59"/>
      <c r="KV47" s="59"/>
      <c r="KW47" s="59"/>
      <c r="KX47" s="59"/>
      <c r="KY47" s="59"/>
      <c r="KZ47" s="59"/>
      <c r="LA47" s="59"/>
      <c r="LB47" s="59"/>
      <c r="LC47" s="59"/>
      <c r="LD47" s="59"/>
      <c r="LE47" s="59"/>
      <c r="LF47" s="59"/>
      <c r="LG47" s="59"/>
      <c r="LH47" s="59"/>
      <c r="LI47" s="59"/>
      <c r="LJ47" s="59"/>
      <c r="LK47" s="59"/>
      <c r="LL47" s="59"/>
      <c r="LM47" s="59"/>
      <c r="LN47" s="59"/>
      <c r="LO47" s="59"/>
      <c r="LP47" s="59"/>
      <c r="LQ47" s="59"/>
      <c r="LR47" s="59"/>
      <c r="LS47" s="59"/>
      <c r="LT47" s="59"/>
      <c r="LU47" s="59"/>
      <c r="LV47" s="59"/>
      <c r="LW47" s="59"/>
      <c r="LX47" s="59"/>
      <c r="LY47" s="59"/>
      <c r="LZ47" s="59"/>
      <c r="MA47" s="59"/>
      <c r="MB47" s="59"/>
      <c r="MC47" s="59"/>
      <c r="MD47" s="59"/>
      <c r="ME47" s="59"/>
      <c r="MF47" s="59"/>
      <c r="MG47" s="59"/>
      <c r="MH47" s="59"/>
      <c r="MI47" s="59"/>
      <c r="MJ47" s="59"/>
      <c r="MK47" s="59"/>
      <c r="ML47" s="59"/>
      <c r="MM47" s="59"/>
      <c r="MN47" s="59"/>
      <c r="MO47" s="59"/>
      <c r="MP47" s="59"/>
      <c r="MQ47" s="59"/>
      <c r="MR47" s="59"/>
      <c r="MS47" s="59"/>
      <c r="MT47" s="59"/>
      <c r="MU47" s="59"/>
      <c r="MV47" s="59"/>
      <c r="MW47" s="59"/>
      <c r="MX47" s="59"/>
      <c r="MY47" s="59"/>
      <c r="MZ47" s="59"/>
      <c r="NA47" s="59"/>
      <c r="NB47" s="59"/>
      <c r="NC47" s="59"/>
      <c r="ND47" s="59"/>
      <c r="NE47" s="59"/>
      <c r="NF47" s="59"/>
      <c r="NG47" s="59"/>
      <c r="NH47" s="59"/>
      <c r="NI47" s="59"/>
      <c r="NJ47" s="59"/>
      <c r="NK47" s="59"/>
      <c r="NL47" s="59"/>
      <c r="NM47" s="59"/>
      <c r="NN47" s="59"/>
      <c r="NO47" s="59"/>
      <c r="NP47" s="59"/>
      <c r="NQ47" s="59"/>
      <c r="NR47" s="59"/>
      <c r="NS47" s="59"/>
      <c r="NT47" s="59"/>
      <c r="NU47" s="59"/>
      <c r="NV47" s="59"/>
      <c r="NW47" s="59"/>
      <c r="NX47" s="59"/>
      <c r="NY47" s="59"/>
      <c r="NZ47" s="59"/>
      <c r="OA47" s="59"/>
      <c r="OB47" s="59"/>
      <c r="OC47" s="59"/>
      <c r="OD47" s="59"/>
      <c r="OE47" s="59"/>
      <c r="OF47" s="59"/>
      <c r="OG47" s="59"/>
      <c r="OH47" s="59"/>
      <c r="OI47" s="59"/>
      <c r="OJ47" s="59"/>
      <c r="OK47" s="59"/>
      <c r="OL47" s="59"/>
      <c r="OM47" s="59"/>
      <c r="ON47" s="59"/>
      <c r="OO47" s="59"/>
      <c r="OP47" s="59"/>
      <c r="OQ47" s="59"/>
      <c r="OR47" s="59"/>
      <c r="OS47" s="59"/>
      <c r="OT47" s="59"/>
      <c r="OU47" s="59"/>
      <c r="OV47" s="59"/>
      <c r="OW47" s="59"/>
      <c r="OX47" s="59"/>
      <c r="OY47" s="59"/>
      <c r="OZ47" s="59"/>
      <c r="PA47" s="59"/>
      <c r="PB47" s="59"/>
      <c r="PC47" s="59"/>
      <c r="PD47" s="59"/>
      <c r="PE47" s="59"/>
      <c r="PF47" s="59"/>
      <c r="PG47" s="59"/>
      <c r="PH47" s="59"/>
      <c r="PI47" s="59"/>
      <c r="PJ47" s="59"/>
      <c r="PK47" s="59"/>
      <c r="PL47" s="59"/>
      <c r="PM47" s="59"/>
      <c r="PN47" s="59"/>
      <c r="PO47" s="59"/>
      <c r="PP47" s="59"/>
      <c r="PQ47" s="59"/>
      <c r="PR47" s="59"/>
      <c r="PS47" s="59"/>
      <c r="PT47" s="59"/>
      <c r="PU47" s="59"/>
      <c r="PV47" s="59"/>
      <c r="PW47" s="59"/>
      <c r="PX47" s="59"/>
      <c r="PY47" s="59"/>
      <c r="PZ47" s="59"/>
      <c r="QA47" s="59"/>
      <c r="QB47" s="59"/>
      <c r="QC47" s="59"/>
      <c r="QD47" s="59"/>
      <c r="QE47" s="59"/>
      <c r="QF47" s="59"/>
      <c r="QG47" s="59"/>
      <c r="QH47" s="59"/>
      <c r="QI47" s="59"/>
      <c r="QJ47" s="59"/>
      <c r="QK47" s="59"/>
      <c r="QL47" s="59"/>
      <c r="QM47" s="59"/>
      <c r="QN47" s="59"/>
      <c r="QO47" s="59"/>
      <c r="QP47" s="59"/>
      <c r="QQ47" s="59"/>
      <c r="QR47" s="59"/>
      <c r="QS47" s="59"/>
      <c r="QT47" s="59"/>
      <c r="QU47" s="59"/>
      <c r="QV47" s="59"/>
      <c r="QW47" s="59"/>
      <c r="QX47" s="59"/>
      <c r="QY47" s="59"/>
      <c r="QZ47" s="59"/>
      <c r="RA47" s="59"/>
      <c r="RB47" s="59"/>
      <c r="RC47" s="59"/>
      <c r="RD47" s="59"/>
      <c r="RE47" s="59"/>
      <c r="RF47" s="59"/>
      <c r="RG47" s="59"/>
      <c r="RH47" s="59"/>
      <c r="RI47" s="59"/>
      <c r="RJ47" s="59"/>
      <c r="RK47" s="59"/>
      <c r="RL47" s="59"/>
      <c r="RM47" s="59"/>
      <c r="RN47" s="59"/>
      <c r="RO47" s="59"/>
      <c r="RP47" s="59"/>
      <c r="RQ47" s="59"/>
      <c r="RR47" s="59"/>
      <c r="RS47" s="59"/>
      <c r="RT47" s="59"/>
      <c r="RU47" s="59"/>
      <c r="RV47" s="59"/>
      <c r="RW47" s="59"/>
      <c r="RX47" s="59"/>
      <c r="RY47" s="59"/>
      <c r="RZ47" s="59"/>
      <c r="SA47" s="59"/>
      <c r="SB47" s="59"/>
      <c r="SC47" s="59"/>
      <c r="SD47" s="59"/>
      <c r="SE47" s="59"/>
      <c r="SF47" s="59"/>
      <c r="SG47" s="59"/>
      <c r="SH47" s="59"/>
      <c r="SI47" s="59"/>
      <c r="SJ47" s="59"/>
      <c r="SK47" s="59"/>
      <c r="SL47" s="59"/>
      <c r="SM47" s="59"/>
      <c r="SN47" s="59"/>
      <c r="SO47" s="59"/>
      <c r="SP47" s="59"/>
      <c r="SQ47" s="59"/>
      <c r="SR47" s="59"/>
      <c r="SS47" s="59"/>
      <c r="ST47" s="59"/>
      <c r="SU47" s="59"/>
      <c r="SV47" s="59"/>
      <c r="SW47" s="59"/>
      <c r="SX47" s="59"/>
      <c r="SY47" s="59"/>
      <c r="SZ47" s="59"/>
      <c r="TA47" s="59"/>
      <c r="TB47" s="59"/>
      <c r="TC47" s="59"/>
      <c r="TD47" s="59"/>
      <c r="TE47" s="59"/>
      <c r="TF47" s="59"/>
      <c r="TG47" s="59"/>
      <c r="TH47" s="59"/>
      <c r="TI47" s="59"/>
      <c r="TJ47" s="59"/>
      <c r="TK47" s="59"/>
      <c r="TL47" s="59"/>
      <c r="TM47" s="59"/>
      <c r="TN47" s="59"/>
      <c r="TO47" s="59"/>
      <c r="TP47" s="59"/>
      <c r="TQ47" s="59"/>
      <c r="TR47" s="59"/>
      <c r="TS47" s="59"/>
      <c r="TT47" s="59"/>
      <c r="TU47" s="59"/>
      <c r="TV47" s="59"/>
      <c r="TW47" s="59"/>
      <c r="TX47" s="59"/>
      <c r="TY47" s="59"/>
      <c r="TZ47" s="59"/>
      <c r="UA47" s="59"/>
      <c r="UB47" s="59"/>
      <c r="UC47" s="59"/>
      <c r="UD47" s="59"/>
      <c r="UE47" s="59"/>
      <c r="UF47" s="59"/>
      <c r="UG47" s="59"/>
      <c r="UH47" s="59"/>
      <c r="UI47" s="59"/>
      <c r="UJ47" s="59"/>
      <c r="UK47" s="59"/>
      <c r="UL47" s="59"/>
      <c r="UM47" s="59"/>
      <c r="UN47" s="59"/>
      <c r="UO47" s="59"/>
      <c r="UP47" s="59"/>
      <c r="UQ47" s="59"/>
      <c r="UR47" s="59"/>
      <c r="US47" s="59"/>
      <c r="UT47" s="59"/>
      <c r="UU47" s="59"/>
      <c r="UV47" s="59"/>
      <c r="UW47" s="59"/>
      <c r="UX47" s="59"/>
      <c r="UY47" s="59"/>
      <c r="UZ47" s="59"/>
      <c r="VA47" s="59"/>
      <c r="VB47" s="59"/>
      <c r="VC47" s="59"/>
      <c r="VD47" s="59"/>
      <c r="VE47" s="59"/>
      <c r="VF47" s="59"/>
      <c r="VG47" s="59"/>
      <c r="VH47" s="59"/>
      <c r="VI47" s="59"/>
      <c r="VJ47" s="59"/>
      <c r="VK47" s="59"/>
      <c r="VL47" s="59"/>
      <c r="VM47" s="59"/>
      <c r="VN47" s="59"/>
      <c r="VO47" s="59"/>
      <c r="VP47" s="59"/>
      <c r="VQ47" s="59"/>
      <c r="VR47" s="59"/>
      <c r="VS47" s="59"/>
      <c r="VT47" s="59"/>
      <c r="VU47" s="59"/>
      <c r="VV47" s="59"/>
      <c r="VW47" s="59"/>
      <c r="VX47" s="59"/>
      <c r="VY47" s="59"/>
      <c r="VZ47" s="59"/>
      <c r="WA47" s="59"/>
      <c r="WB47" s="59"/>
      <c r="WC47" s="59"/>
      <c r="WD47" s="59"/>
      <c r="WE47" s="59"/>
      <c r="WF47" s="59"/>
      <c r="WG47" s="59"/>
      <c r="WH47" s="59"/>
      <c r="WI47" s="59"/>
      <c r="WJ47" s="59"/>
      <c r="WK47" s="59"/>
      <c r="WL47" s="59"/>
      <c r="WM47" s="59"/>
      <c r="WN47" s="59"/>
      <c r="WO47" s="59"/>
      <c r="WP47" s="59"/>
      <c r="WQ47" s="59"/>
      <c r="WR47" s="59"/>
      <c r="WS47" s="59"/>
      <c r="WT47" s="59"/>
      <c r="WU47" s="59"/>
      <c r="WV47" s="59"/>
      <c r="WW47" s="59"/>
      <c r="WX47" s="59"/>
      <c r="WY47" s="59"/>
      <c r="WZ47" s="59"/>
      <c r="XA47" s="59"/>
      <c r="XB47" s="59"/>
      <c r="XC47" s="59"/>
      <c r="XD47" s="59"/>
      <c r="XE47" s="59"/>
      <c r="XF47" s="59"/>
      <c r="XG47" s="59"/>
      <c r="XH47" s="59"/>
      <c r="XI47" s="59"/>
      <c r="XJ47" s="59"/>
      <c r="XK47" s="59"/>
      <c r="XL47" s="59"/>
      <c r="XM47" s="59"/>
      <c r="XN47" s="59"/>
      <c r="XO47" s="59"/>
      <c r="XP47" s="59"/>
      <c r="XQ47" s="59"/>
      <c r="XR47" s="59"/>
      <c r="XS47" s="59"/>
      <c r="XT47" s="59"/>
      <c r="XU47" s="59"/>
      <c r="XV47" s="59"/>
      <c r="XW47" s="59"/>
      <c r="XX47" s="59"/>
      <c r="XY47" s="59"/>
      <c r="XZ47" s="59"/>
      <c r="YA47" s="59"/>
      <c r="YB47" s="59"/>
      <c r="YC47" s="59"/>
      <c r="YD47" s="59"/>
      <c r="YE47" s="59"/>
      <c r="YF47" s="59"/>
      <c r="YG47" s="59"/>
      <c r="YH47" s="59"/>
      <c r="YI47" s="59"/>
      <c r="YJ47" s="59"/>
      <c r="YK47" s="59"/>
      <c r="YL47" s="59"/>
      <c r="YM47" s="59"/>
      <c r="YN47" s="59"/>
      <c r="YO47" s="59"/>
      <c r="YP47" s="59"/>
      <c r="YQ47" s="59"/>
      <c r="YR47" s="59"/>
      <c r="YS47" s="59"/>
      <c r="YT47" s="59"/>
      <c r="YU47" s="59"/>
      <c r="YV47" s="59"/>
      <c r="YW47" s="59"/>
      <c r="YX47" s="59"/>
      <c r="YY47" s="59"/>
      <c r="YZ47" s="59"/>
      <c r="ZA47" s="59"/>
      <c r="ZB47" s="59"/>
      <c r="ZC47" s="59"/>
      <c r="ZD47" s="59"/>
      <c r="ZE47" s="59"/>
      <c r="ZF47" s="59"/>
      <c r="ZG47" s="59"/>
      <c r="ZH47" s="59"/>
      <c r="ZI47" s="59"/>
      <c r="ZJ47" s="59"/>
      <c r="ZK47" s="59"/>
      <c r="ZL47" s="59"/>
      <c r="ZM47" s="59"/>
      <c r="ZN47" s="59"/>
      <c r="ZO47" s="59"/>
      <c r="ZP47" s="59"/>
      <c r="ZQ47" s="59"/>
      <c r="ZR47" s="59"/>
      <c r="ZS47" s="59"/>
      <c r="ZT47" s="59"/>
      <c r="ZU47" s="59"/>
      <c r="ZV47" s="59"/>
      <c r="ZW47" s="59"/>
      <c r="ZX47" s="59"/>
      <c r="ZY47" s="59"/>
      <c r="ZZ47" s="59"/>
      <c r="AAA47" s="59"/>
      <c r="AAB47" s="59"/>
      <c r="AAC47" s="59"/>
      <c r="AAD47" s="59"/>
      <c r="AAE47" s="59"/>
      <c r="AAF47" s="59"/>
      <c r="AAG47" s="59"/>
      <c r="AAH47" s="59"/>
      <c r="AAI47" s="59"/>
      <c r="AAJ47" s="59"/>
      <c r="AAK47" s="59"/>
      <c r="AAL47" s="59"/>
      <c r="AAM47" s="59"/>
      <c r="AAN47" s="59"/>
      <c r="AAO47" s="59"/>
      <c r="AAP47" s="59"/>
      <c r="AAQ47" s="59"/>
      <c r="AAR47" s="59"/>
      <c r="AAS47" s="59"/>
      <c r="AAT47" s="59"/>
      <c r="AAU47" s="59"/>
      <c r="AAV47" s="59"/>
      <c r="AAW47" s="59"/>
      <c r="AAX47" s="59"/>
      <c r="AAY47" s="59"/>
      <c r="AAZ47" s="59"/>
      <c r="ABA47" s="59"/>
      <c r="ABB47" s="59"/>
      <c r="ABC47" s="59"/>
      <c r="ABD47" s="59"/>
      <c r="ABE47" s="59"/>
      <c r="ABF47" s="59"/>
      <c r="ABG47" s="59"/>
      <c r="ABH47" s="59"/>
      <c r="ABI47" s="59"/>
      <c r="ABJ47" s="59"/>
      <c r="ABK47" s="59"/>
      <c r="ABL47" s="59"/>
      <c r="ABM47" s="59"/>
      <c r="ABN47" s="59"/>
      <c r="ABO47" s="59"/>
      <c r="ABP47" s="59"/>
      <c r="ABQ47" s="59"/>
      <c r="ABR47" s="59"/>
      <c r="ABS47" s="59"/>
      <c r="ABT47" s="59"/>
      <c r="ABU47" s="59"/>
      <c r="ABV47" s="59"/>
      <c r="ABW47" s="59"/>
      <c r="ABX47" s="59"/>
      <c r="ABY47" s="59"/>
      <c r="ABZ47" s="59"/>
      <c r="ACA47" s="59"/>
      <c r="ACB47" s="59"/>
      <c r="ACC47" s="59"/>
      <c r="ACD47" s="59"/>
      <c r="ACE47" s="59"/>
      <c r="ACF47" s="59"/>
      <c r="ACG47" s="59"/>
      <c r="ACH47" s="59"/>
      <c r="ACI47" s="59"/>
      <c r="ACJ47" s="59"/>
      <c r="ACK47" s="59"/>
      <c r="ACL47" s="59"/>
      <c r="ACM47" s="59"/>
      <c r="ACN47" s="59"/>
      <c r="ACO47" s="59"/>
      <c r="ACP47" s="59"/>
      <c r="ACQ47" s="59"/>
      <c r="ACR47" s="59"/>
      <c r="ACS47" s="59"/>
      <c r="ACT47" s="59"/>
      <c r="ACU47" s="59"/>
      <c r="ACV47" s="59"/>
      <c r="ACW47" s="59"/>
      <c r="ACX47" s="59"/>
      <c r="ACY47" s="59"/>
      <c r="ACZ47" s="59"/>
      <c r="ADA47" s="59"/>
      <c r="ADB47" s="59"/>
      <c r="ADC47" s="59"/>
      <c r="ADD47" s="59"/>
      <c r="ADE47" s="59"/>
      <c r="ADF47" s="59"/>
      <c r="ADG47" s="59"/>
      <c r="ADH47" s="59"/>
      <c r="ADI47" s="59"/>
      <c r="ADJ47" s="59"/>
      <c r="ADK47" s="59"/>
      <c r="ADL47" s="59"/>
      <c r="ADM47" s="59"/>
      <c r="ADN47" s="59"/>
      <c r="ADO47" s="59"/>
      <c r="ADP47" s="59"/>
      <c r="ADQ47" s="59"/>
      <c r="ADR47" s="59"/>
      <c r="ADS47" s="59"/>
      <c r="ADT47" s="59"/>
      <c r="ADU47" s="59"/>
      <c r="ADV47" s="59"/>
      <c r="ADW47" s="59"/>
      <c r="ADX47" s="59"/>
      <c r="ADY47" s="59"/>
      <c r="ADZ47" s="59"/>
      <c r="AEA47" s="59"/>
      <c r="AEB47" s="59"/>
      <c r="AEC47" s="59"/>
      <c r="AED47" s="59"/>
      <c r="AEE47" s="59"/>
      <c r="AEF47" s="59"/>
      <c r="AEG47" s="59"/>
      <c r="AEH47" s="59"/>
      <c r="AEI47" s="59"/>
      <c r="AEJ47" s="59"/>
      <c r="AEK47" s="59"/>
      <c r="AEL47" s="59"/>
      <c r="AEM47" s="59"/>
      <c r="AEN47" s="59"/>
      <c r="AEO47" s="59"/>
      <c r="AEP47" s="59"/>
      <c r="AEQ47" s="59"/>
      <c r="AER47" s="59"/>
      <c r="AES47" s="59"/>
      <c r="AET47" s="59"/>
      <c r="AEU47" s="59"/>
      <c r="AEV47" s="59"/>
    </row>
    <row r="48" spans="1:828" s="27" customFormat="1" ht="18" x14ac:dyDescent="0.2">
      <c r="A48" s="61"/>
      <c r="D48" s="29"/>
      <c r="E48" s="23"/>
      <c r="F48" s="27" t="s">
        <v>47</v>
      </c>
      <c r="G48" s="29">
        <v>30</v>
      </c>
      <c r="H48" s="30"/>
      <c r="K48" s="30"/>
      <c r="L48" s="23" t="s">
        <v>47</v>
      </c>
      <c r="M48" s="29">
        <v>145</v>
      </c>
      <c r="N48" s="47">
        <f t="shared" si="1"/>
        <v>2.420994867490881E-4</v>
      </c>
      <c r="O48" s="47">
        <f t="shared" si="2"/>
        <v>1.2444642795839198E-3</v>
      </c>
      <c r="P48" s="48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2"/>
      <c r="FJ48" s="12"/>
      <c r="FK48" s="12"/>
      <c r="FL48" s="12"/>
      <c r="FM48" s="12"/>
      <c r="FN48" s="12"/>
      <c r="FO48" s="12"/>
      <c r="FP48" s="12"/>
      <c r="FQ48" s="12"/>
      <c r="FR48" s="12"/>
      <c r="FS48" s="12"/>
      <c r="FT48" s="12"/>
      <c r="FU48" s="12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2"/>
      <c r="GG48" s="12"/>
      <c r="GH48" s="12"/>
      <c r="GI48" s="12"/>
      <c r="GJ48" s="12"/>
      <c r="GK48" s="12"/>
      <c r="GL48" s="12"/>
      <c r="GM48" s="12"/>
      <c r="GN48" s="12"/>
      <c r="GO48" s="12"/>
      <c r="GP48" s="12"/>
      <c r="GQ48" s="12"/>
      <c r="GR48" s="12"/>
      <c r="GS48" s="12"/>
      <c r="GT48" s="12"/>
      <c r="GU48" s="12"/>
      <c r="GV48" s="12"/>
      <c r="GW48" s="12"/>
      <c r="GX48" s="12"/>
      <c r="GY48" s="12"/>
      <c r="GZ48" s="12"/>
      <c r="HA48" s="12"/>
      <c r="HB48" s="12"/>
      <c r="HC48" s="12"/>
      <c r="HD48" s="12"/>
      <c r="HE48" s="12"/>
      <c r="HF48" s="12"/>
      <c r="HG48" s="12"/>
      <c r="HH48" s="12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2"/>
      <c r="HT48" s="12"/>
      <c r="HU48" s="12"/>
      <c r="HV48" s="12"/>
      <c r="HW48" s="12"/>
      <c r="HX48" s="12"/>
      <c r="HY48" s="12"/>
      <c r="HZ48" s="12"/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  <c r="IL48" s="12"/>
      <c r="IM48" s="12"/>
      <c r="IN48" s="12"/>
      <c r="IO48" s="12"/>
      <c r="IP48" s="12"/>
      <c r="IQ48" s="12"/>
      <c r="IR48" s="12"/>
      <c r="IS48" s="12"/>
      <c r="IT48" s="12"/>
      <c r="IU48" s="12"/>
      <c r="IV48" s="12"/>
      <c r="IW48" s="12"/>
      <c r="IX48" s="12"/>
      <c r="IY48" s="12"/>
      <c r="IZ48" s="12"/>
      <c r="JA48" s="12"/>
      <c r="JB48" s="12"/>
      <c r="JC48" s="12"/>
      <c r="JD48" s="12"/>
      <c r="JE48" s="12"/>
      <c r="JF48" s="12"/>
      <c r="JG48" s="12"/>
      <c r="JH48" s="12"/>
      <c r="JI48" s="12"/>
      <c r="JJ48" s="12"/>
      <c r="JK48" s="12"/>
      <c r="JL48" s="12"/>
      <c r="JM48" s="12"/>
      <c r="JN48" s="12"/>
      <c r="JO48" s="12"/>
      <c r="JP48" s="12"/>
      <c r="JQ48" s="12"/>
      <c r="JR48" s="12"/>
      <c r="JS48" s="12"/>
      <c r="JT48" s="12"/>
      <c r="JU48" s="12"/>
      <c r="JV48" s="12"/>
      <c r="JW48" s="12"/>
      <c r="JX48" s="12"/>
      <c r="JY48" s="12"/>
      <c r="JZ48" s="12"/>
      <c r="KA48" s="12"/>
      <c r="KB48" s="12"/>
      <c r="KC48" s="12"/>
      <c r="KD48" s="12"/>
      <c r="KE48" s="12"/>
      <c r="KF48" s="12"/>
      <c r="KG48" s="12"/>
      <c r="KH48" s="12"/>
      <c r="KI48" s="12"/>
      <c r="KJ48" s="12"/>
      <c r="KK48" s="12"/>
      <c r="KL48" s="12"/>
      <c r="KM48" s="12"/>
      <c r="KN48" s="12"/>
      <c r="KO48" s="12"/>
      <c r="KP48" s="12"/>
      <c r="KQ48" s="12"/>
      <c r="KR48" s="12"/>
      <c r="KS48" s="12"/>
      <c r="KT48" s="12"/>
      <c r="KU48" s="12"/>
      <c r="KV48" s="12"/>
      <c r="KW48" s="12"/>
      <c r="KX48" s="12"/>
      <c r="KY48" s="12"/>
      <c r="KZ48" s="12"/>
      <c r="LA48" s="12"/>
      <c r="LB48" s="12"/>
      <c r="LC48" s="12"/>
      <c r="LD48" s="12"/>
      <c r="LE48" s="12"/>
      <c r="LF48" s="12"/>
      <c r="LG48" s="12"/>
      <c r="LH48" s="12"/>
      <c r="LI48" s="12"/>
      <c r="LJ48" s="12"/>
      <c r="LK48" s="12"/>
      <c r="LL48" s="12"/>
      <c r="LM48" s="12"/>
      <c r="LN48" s="12"/>
      <c r="LO48" s="12"/>
      <c r="LP48" s="12"/>
      <c r="LQ48" s="12"/>
      <c r="LR48" s="12"/>
      <c r="LS48" s="12"/>
      <c r="LT48" s="12"/>
      <c r="LU48" s="12"/>
      <c r="LV48" s="12"/>
      <c r="LW48" s="12"/>
      <c r="LX48" s="12"/>
      <c r="LY48" s="12"/>
      <c r="LZ48" s="12"/>
      <c r="MA48" s="12"/>
      <c r="MB48" s="12"/>
      <c r="MC48" s="12"/>
      <c r="MD48" s="12"/>
      <c r="ME48" s="12"/>
      <c r="MF48" s="12"/>
      <c r="MG48" s="12"/>
      <c r="MH48" s="12"/>
      <c r="MI48" s="12"/>
      <c r="MJ48" s="12"/>
      <c r="MK48" s="12"/>
      <c r="ML48" s="12"/>
      <c r="MM48" s="12"/>
      <c r="MN48" s="12"/>
      <c r="MO48" s="12"/>
      <c r="MP48" s="12"/>
      <c r="MQ48" s="12"/>
      <c r="MR48" s="12"/>
      <c r="MS48" s="12"/>
      <c r="MT48" s="12"/>
      <c r="MU48" s="12"/>
      <c r="MV48" s="12"/>
      <c r="MW48" s="12"/>
      <c r="MX48" s="12"/>
      <c r="MY48" s="12"/>
      <c r="MZ48" s="12"/>
      <c r="NA48" s="12"/>
      <c r="NB48" s="12"/>
      <c r="NC48" s="12"/>
      <c r="ND48" s="12"/>
      <c r="NE48" s="12"/>
      <c r="NF48" s="12"/>
      <c r="NG48" s="12"/>
      <c r="NH48" s="12"/>
      <c r="NI48" s="12"/>
      <c r="NJ48" s="12"/>
      <c r="NK48" s="12"/>
      <c r="NL48" s="12"/>
      <c r="NM48" s="12"/>
      <c r="NN48" s="12"/>
      <c r="NO48" s="12"/>
      <c r="NP48" s="12"/>
      <c r="NQ48" s="12"/>
      <c r="NR48" s="12"/>
      <c r="NS48" s="12"/>
      <c r="NT48" s="12"/>
      <c r="NU48" s="12"/>
      <c r="NV48" s="12"/>
      <c r="NW48" s="12"/>
      <c r="NX48" s="12"/>
      <c r="NY48" s="12"/>
      <c r="NZ48" s="12"/>
      <c r="OA48" s="12"/>
      <c r="OB48" s="12"/>
      <c r="OC48" s="12"/>
      <c r="OD48" s="12"/>
      <c r="OE48" s="12"/>
      <c r="OF48" s="12"/>
      <c r="OG48" s="12"/>
      <c r="OH48" s="12"/>
      <c r="OI48" s="12"/>
      <c r="OJ48" s="12"/>
      <c r="OK48" s="12"/>
      <c r="OL48" s="12"/>
      <c r="OM48" s="12"/>
      <c r="ON48" s="12"/>
      <c r="OO48" s="12"/>
      <c r="OP48" s="12"/>
      <c r="OQ48" s="12"/>
      <c r="OR48" s="12"/>
      <c r="OS48" s="12"/>
      <c r="OT48" s="12"/>
      <c r="OU48" s="12"/>
      <c r="OV48" s="12"/>
      <c r="OW48" s="12"/>
      <c r="OX48" s="12"/>
      <c r="OY48" s="12"/>
      <c r="OZ48" s="12"/>
      <c r="PA48" s="12"/>
      <c r="PB48" s="12"/>
      <c r="PC48" s="12"/>
      <c r="PD48" s="12"/>
      <c r="PE48" s="12"/>
      <c r="PF48" s="12"/>
      <c r="PG48" s="12"/>
      <c r="PH48" s="12"/>
      <c r="PI48" s="12"/>
      <c r="PJ48" s="12"/>
      <c r="PK48" s="12"/>
      <c r="PL48" s="12"/>
      <c r="PM48" s="12"/>
      <c r="PN48" s="12"/>
      <c r="PO48" s="12"/>
      <c r="PP48" s="12"/>
      <c r="PQ48" s="12"/>
      <c r="PR48" s="12"/>
      <c r="PS48" s="12"/>
      <c r="PT48" s="12"/>
      <c r="PU48" s="12"/>
      <c r="PV48" s="12"/>
      <c r="PW48" s="12"/>
      <c r="PX48" s="12"/>
      <c r="PY48" s="12"/>
      <c r="PZ48" s="12"/>
      <c r="QA48" s="12"/>
      <c r="QB48" s="12"/>
      <c r="QC48" s="12"/>
      <c r="QD48" s="12"/>
      <c r="QE48" s="12"/>
      <c r="QF48" s="12"/>
      <c r="QG48" s="12"/>
      <c r="QH48" s="12"/>
      <c r="QI48" s="12"/>
      <c r="QJ48" s="12"/>
      <c r="QK48" s="12"/>
      <c r="QL48" s="12"/>
      <c r="QM48" s="12"/>
      <c r="QN48" s="12"/>
      <c r="QO48" s="12"/>
      <c r="QP48" s="12"/>
      <c r="QQ48" s="12"/>
      <c r="QR48" s="12"/>
      <c r="QS48" s="12"/>
      <c r="QT48" s="12"/>
      <c r="QU48" s="12"/>
      <c r="QV48" s="12"/>
      <c r="QW48" s="12"/>
      <c r="QX48" s="12"/>
      <c r="QY48" s="12"/>
      <c r="QZ48" s="12"/>
      <c r="RA48" s="12"/>
      <c r="RB48" s="12"/>
      <c r="RC48" s="12"/>
      <c r="RD48" s="12"/>
      <c r="RE48" s="12"/>
      <c r="RF48" s="12"/>
      <c r="RG48" s="12"/>
      <c r="RH48" s="12"/>
      <c r="RI48" s="12"/>
      <c r="RJ48" s="12"/>
      <c r="RK48" s="12"/>
      <c r="RL48" s="12"/>
      <c r="RM48" s="12"/>
      <c r="RN48" s="12"/>
      <c r="RO48" s="12"/>
      <c r="RP48" s="12"/>
      <c r="RQ48" s="12"/>
      <c r="RR48" s="12"/>
      <c r="RS48" s="12"/>
      <c r="RT48" s="12"/>
      <c r="RU48" s="12"/>
      <c r="RV48" s="12"/>
      <c r="RW48" s="12"/>
      <c r="RX48" s="12"/>
      <c r="RY48" s="12"/>
      <c r="RZ48" s="12"/>
      <c r="SA48" s="12"/>
      <c r="SB48" s="12"/>
      <c r="SC48" s="12"/>
      <c r="SD48" s="12"/>
      <c r="SE48" s="12"/>
      <c r="SF48" s="12"/>
      <c r="SG48" s="12"/>
      <c r="SH48" s="12"/>
      <c r="SI48" s="12"/>
      <c r="SJ48" s="12"/>
      <c r="SK48" s="12"/>
      <c r="SL48" s="12"/>
      <c r="SM48" s="12"/>
      <c r="SN48" s="12"/>
      <c r="SO48" s="12"/>
      <c r="SP48" s="12"/>
      <c r="SQ48" s="12"/>
      <c r="SR48" s="12"/>
      <c r="SS48" s="12"/>
      <c r="ST48" s="12"/>
      <c r="SU48" s="12"/>
      <c r="SV48" s="12"/>
      <c r="SW48" s="12"/>
      <c r="SX48" s="12"/>
      <c r="SY48" s="12"/>
      <c r="SZ48" s="12"/>
      <c r="TA48" s="12"/>
      <c r="TB48" s="12"/>
      <c r="TC48" s="12"/>
      <c r="TD48" s="12"/>
      <c r="TE48" s="12"/>
      <c r="TF48" s="12"/>
      <c r="TG48" s="12"/>
      <c r="TH48" s="12"/>
      <c r="TI48" s="12"/>
      <c r="TJ48" s="12"/>
      <c r="TK48" s="12"/>
      <c r="TL48" s="12"/>
      <c r="TM48" s="12"/>
      <c r="TN48" s="12"/>
      <c r="TO48" s="12"/>
      <c r="TP48" s="12"/>
      <c r="TQ48" s="12"/>
      <c r="TR48" s="12"/>
      <c r="TS48" s="12"/>
      <c r="TT48" s="12"/>
      <c r="TU48" s="12"/>
      <c r="TV48" s="12"/>
      <c r="TW48" s="12"/>
      <c r="TX48" s="12"/>
      <c r="TY48" s="12"/>
      <c r="TZ48" s="12"/>
      <c r="UA48" s="12"/>
      <c r="UB48" s="12"/>
      <c r="UC48" s="12"/>
      <c r="UD48" s="12"/>
      <c r="UE48" s="12"/>
      <c r="UF48" s="12"/>
      <c r="UG48" s="12"/>
      <c r="UH48" s="12"/>
      <c r="UI48" s="12"/>
      <c r="UJ48" s="12"/>
      <c r="UK48" s="12"/>
      <c r="UL48" s="12"/>
      <c r="UM48" s="12"/>
      <c r="UN48" s="12"/>
      <c r="UO48" s="12"/>
      <c r="UP48" s="12"/>
      <c r="UQ48" s="12"/>
      <c r="UR48" s="12"/>
      <c r="US48" s="12"/>
      <c r="UT48" s="12"/>
      <c r="UU48" s="12"/>
      <c r="UV48" s="12"/>
      <c r="UW48" s="12"/>
      <c r="UX48" s="12"/>
      <c r="UY48" s="12"/>
      <c r="UZ48" s="12"/>
      <c r="VA48" s="12"/>
      <c r="VB48" s="12"/>
      <c r="VC48" s="12"/>
      <c r="VD48" s="12"/>
      <c r="VE48" s="12"/>
      <c r="VF48" s="12"/>
      <c r="VG48" s="12"/>
      <c r="VH48" s="12"/>
      <c r="VI48" s="12"/>
      <c r="VJ48" s="12"/>
      <c r="VK48" s="12"/>
      <c r="VL48" s="12"/>
      <c r="VM48" s="12"/>
      <c r="VN48" s="12"/>
      <c r="VO48" s="12"/>
      <c r="VP48" s="12"/>
      <c r="VQ48" s="12"/>
      <c r="VR48" s="12"/>
      <c r="VS48" s="12"/>
      <c r="VT48" s="12"/>
      <c r="VU48" s="12"/>
      <c r="VV48" s="12"/>
      <c r="VW48" s="12"/>
      <c r="VX48" s="12"/>
      <c r="VY48" s="12"/>
      <c r="VZ48" s="12"/>
      <c r="WA48" s="12"/>
      <c r="WB48" s="12"/>
      <c r="WC48" s="12"/>
      <c r="WD48" s="12"/>
      <c r="WE48" s="12"/>
      <c r="WF48" s="12"/>
      <c r="WG48" s="12"/>
      <c r="WH48" s="12"/>
      <c r="WI48" s="12"/>
      <c r="WJ48" s="12"/>
      <c r="WK48" s="12"/>
      <c r="WL48" s="12"/>
      <c r="WM48" s="12"/>
      <c r="WN48" s="12"/>
      <c r="WO48" s="12"/>
      <c r="WP48" s="12"/>
      <c r="WQ48" s="12"/>
      <c r="WR48" s="12"/>
      <c r="WS48" s="12"/>
      <c r="WT48" s="12"/>
      <c r="WU48" s="12"/>
      <c r="WV48" s="12"/>
      <c r="WW48" s="12"/>
      <c r="WX48" s="12"/>
      <c r="WY48" s="12"/>
      <c r="WZ48" s="12"/>
      <c r="XA48" s="12"/>
      <c r="XB48" s="12"/>
      <c r="XC48" s="12"/>
      <c r="XD48" s="12"/>
      <c r="XE48" s="12"/>
      <c r="XF48" s="12"/>
      <c r="XG48" s="12"/>
      <c r="XH48" s="12"/>
      <c r="XI48" s="12"/>
      <c r="XJ48" s="12"/>
      <c r="XK48" s="12"/>
      <c r="XL48" s="12"/>
      <c r="XM48" s="12"/>
      <c r="XN48" s="12"/>
      <c r="XO48" s="12"/>
      <c r="XP48" s="12"/>
      <c r="XQ48" s="12"/>
      <c r="XR48" s="12"/>
      <c r="XS48" s="12"/>
      <c r="XT48" s="12"/>
      <c r="XU48" s="12"/>
      <c r="XV48" s="12"/>
      <c r="XW48" s="12"/>
      <c r="XX48" s="12"/>
      <c r="XY48" s="12"/>
      <c r="XZ48" s="12"/>
      <c r="YA48" s="12"/>
      <c r="YB48" s="12"/>
      <c r="YC48" s="12"/>
      <c r="YD48" s="12"/>
      <c r="YE48" s="12"/>
      <c r="YF48" s="12"/>
      <c r="YG48" s="12"/>
      <c r="YH48" s="12"/>
      <c r="YI48" s="12"/>
      <c r="YJ48" s="12"/>
      <c r="YK48" s="12"/>
      <c r="YL48" s="12"/>
      <c r="YM48" s="12"/>
      <c r="YN48" s="12"/>
      <c r="YO48" s="12"/>
      <c r="YP48" s="12"/>
      <c r="YQ48" s="12"/>
      <c r="YR48" s="12"/>
      <c r="YS48" s="12"/>
      <c r="YT48" s="12"/>
      <c r="YU48" s="12"/>
      <c r="YV48" s="12"/>
      <c r="YW48" s="12"/>
      <c r="YX48" s="12"/>
      <c r="YY48" s="12"/>
      <c r="YZ48" s="12"/>
      <c r="ZA48" s="12"/>
      <c r="ZB48" s="12"/>
      <c r="ZC48" s="12"/>
      <c r="ZD48" s="12"/>
      <c r="ZE48" s="12"/>
      <c r="ZF48" s="12"/>
      <c r="ZG48" s="12"/>
      <c r="ZH48" s="12"/>
      <c r="ZI48" s="12"/>
      <c r="ZJ48" s="12"/>
      <c r="ZK48" s="12"/>
      <c r="ZL48" s="12"/>
      <c r="ZM48" s="12"/>
      <c r="ZN48" s="12"/>
      <c r="ZO48" s="12"/>
      <c r="ZP48" s="12"/>
      <c r="ZQ48" s="12"/>
      <c r="ZR48" s="12"/>
      <c r="ZS48" s="12"/>
      <c r="ZT48" s="12"/>
      <c r="ZU48" s="12"/>
      <c r="ZV48" s="12"/>
      <c r="ZW48" s="12"/>
      <c r="ZX48" s="12"/>
      <c r="ZY48" s="12"/>
      <c r="ZZ48" s="12"/>
      <c r="AAA48" s="12"/>
      <c r="AAB48" s="12"/>
      <c r="AAC48" s="12"/>
      <c r="AAD48" s="12"/>
      <c r="AAE48" s="12"/>
      <c r="AAF48" s="12"/>
      <c r="AAG48" s="12"/>
      <c r="AAH48" s="12"/>
      <c r="AAI48" s="12"/>
      <c r="AAJ48" s="12"/>
      <c r="AAK48" s="12"/>
      <c r="AAL48" s="12"/>
      <c r="AAM48" s="12"/>
      <c r="AAN48" s="12"/>
      <c r="AAO48" s="12"/>
      <c r="AAP48" s="12"/>
      <c r="AAQ48" s="12"/>
      <c r="AAR48" s="12"/>
      <c r="AAS48" s="12"/>
      <c r="AAT48" s="12"/>
      <c r="AAU48" s="12"/>
      <c r="AAV48" s="12"/>
      <c r="AAW48" s="12"/>
      <c r="AAX48" s="12"/>
      <c r="AAY48" s="12"/>
      <c r="AAZ48" s="12"/>
      <c r="ABA48" s="12"/>
      <c r="ABB48" s="12"/>
      <c r="ABC48" s="12"/>
      <c r="ABD48" s="12"/>
      <c r="ABE48" s="12"/>
      <c r="ABF48" s="12"/>
      <c r="ABG48" s="12"/>
      <c r="ABH48" s="12"/>
      <c r="ABI48" s="12"/>
      <c r="ABJ48" s="12"/>
      <c r="ABK48" s="12"/>
      <c r="ABL48" s="12"/>
      <c r="ABM48" s="12"/>
      <c r="ABN48" s="12"/>
      <c r="ABO48" s="12"/>
      <c r="ABP48" s="12"/>
      <c r="ABQ48" s="12"/>
      <c r="ABR48" s="12"/>
      <c r="ABS48" s="12"/>
      <c r="ABT48" s="12"/>
      <c r="ABU48" s="12"/>
      <c r="ABV48" s="12"/>
      <c r="ABW48" s="12"/>
      <c r="ABX48" s="12"/>
      <c r="ABY48" s="12"/>
      <c r="ABZ48" s="12"/>
      <c r="ACA48" s="12"/>
      <c r="ACB48" s="12"/>
      <c r="ACC48" s="12"/>
      <c r="ACD48" s="12"/>
      <c r="ACE48" s="12"/>
      <c r="ACF48" s="12"/>
      <c r="ACG48" s="12"/>
      <c r="ACH48" s="12"/>
      <c r="ACI48" s="12"/>
      <c r="ACJ48" s="12"/>
      <c r="ACK48" s="12"/>
      <c r="ACL48" s="12"/>
      <c r="ACM48" s="12"/>
      <c r="ACN48" s="12"/>
      <c r="ACO48" s="12"/>
      <c r="ACP48" s="12"/>
      <c r="ACQ48" s="12"/>
      <c r="ACR48" s="12"/>
      <c r="ACS48" s="12"/>
      <c r="ACT48" s="12"/>
      <c r="ACU48" s="12"/>
      <c r="ACV48" s="12"/>
      <c r="ACW48" s="12"/>
      <c r="ACX48" s="12"/>
      <c r="ACY48" s="12"/>
      <c r="ACZ48" s="12"/>
      <c r="ADA48" s="12"/>
      <c r="ADB48" s="12"/>
      <c r="ADC48" s="12"/>
      <c r="ADD48" s="12"/>
      <c r="ADE48" s="12"/>
      <c r="ADF48" s="12"/>
      <c r="ADG48" s="12"/>
      <c r="ADH48" s="12"/>
      <c r="ADI48" s="12"/>
      <c r="ADJ48" s="12"/>
      <c r="ADK48" s="12"/>
      <c r="ADL48" s="12"/>
      <c r="ADM48" s="12"/>
      <c r="ADN48" s="12"/>
      <c r="ADO48" s="12"/>
      <c r="ADP48" s="12"/>
      <c r="ADQ48" s="12"/>
      <c r="ADR48" s="12"/>
      <c r="ADS48" s="12"/>
      <c r="ADT48" s="12"/>
      <c r="ADU48" s="12"/>
      <c r="ADV48" s="12"/>
      <c r="ADW48" s="12"/>
      <c r="ADX48" s="12"/>
      <c r="ADY48" s="12"/>
      <c r="ADZ48" s="12"/>
      <c r="AEA48" s="12"/>
      <c r="AEB48" s="12"/>
      <c r="AEC48" s="12"/>
      <c r="AED48" s="12"/>
      <c r="AEE48" s="12"/>
      <c r="AEF48" s="12"/>
      <c r="AEG48" s="12"/>
      <c r="AEH48" s="12"/>
      <c r="AEI48" s="12"/>
      <c r="AEJ48" s="12"/>
      <c r="AEK48" s="12"/>
      <c r="AEL48" s="12"/>
      <c r="AEM48" s="12"/>
      <c r="AEN48" s="12"/>
      <c r="AEO48" s="12"/>
      <c r="AEP48" s="12"/>
      <c r="AEQ48" s="12"/>
      <c r="AER48" s="12"/>
      <c r="AES48" s="12"/>
      <c r="AET48" s="12"/>
      <c r="AEU48" s="12"/>
      <c r="AEV48" s="12"/>
    </row>
    <row r="49" spans="1:828" s="27" customFormat="1" ht="18" x14ac:dyDescent="0.2">
      <c r="A49" s="61"/>
      <c r="D49" s="29"/>
      <c r="E49" s="23"/>
      <c r="F49" s="27" t="s">
        <v>75</v>
      </c>
      <c r="G49" s="29">
        <v>16</v>
      </c>
      <c r="H49" s="30"/>
      <c r="K49" s="30"/>
      <c r="L49" s="23" t="s">
        <v>48</v>
      </c>
      <c r="M49" s="29">
        <v>77</v>
      </c>
      <c r="N49" s="47">
        <f t="shared" si="1"/>
        <v>1.2911972626618033E-4</v>
      </c>
      <c r="O49" s="47">
        <f t="shared" si="2"/>
        <v>6.6085344502042642E-4</v>
      </c>
      <c r="P49" s="48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2"/>
      <c r="FJ49" s="12"/>
      <c r="FK49" s="12"/>
      <c r="FL49" s="12"/>
      <c r="FM49" s="12"/>
      <c r="FN49" s="12"/>
      <c r="FO49" s="12"/>
      <c r="FP49" s="12"/>
      <c r="FQ49" s="12"/>
      <c r="FR49" s="12"/>
      <c r="FS49" s="12"/>
      <c r="FT49" s="12"/>
      <c r="FU49" s="12"/>
      <c r="FV49" s="12"/>
      <c r="FW49" s="12"/>
      <c r="FX49" s="12"/>
      <c r="FY49" s="12"/>
      <c r="FZ49" s="12"/>
      <c r="GA49" s="12"/>
      <c r="GB49" s="12"/>
      <c r="GC49" s="12"/>
      <c r="GD49" s="12"/>
      <c r="GE49" s="12"/>
      <c r="GF49" s="12"/>
      <c r="GG49" s="12"/>
      <c r="GH49" s="12"/>
      <c r="GI49" s="12"/>
      <c r="GJ49" s="12"/>
      <c r="GK49" s="12"/>
      <c r="GL49" s="12"/>
      <c r="GM49" s="12"/>
      <c r="GN49" s="12"/>
      <c r="GO49" s="12"/>
      <c r="GP49" s="12"/>
      <c r="GQ49" s="12"/>
      <c r="GR49" s="12"/>
      <c r="GS49" s="12"/>
      <c r="GT49" s="12"/>
      <c r="GU49" s="12"/>
      <c r="GV49" s="12"/>
      <c r="GW49" s="12"/>
      <c r="GX49" s="12"/>
      <c r="GY49" s="12"/>
      <c r="GZ49" s="12"/>
      <c r="HA49" s="12"/>
      <c r="HB49" s="12"/>
      <c r="HC49" s="12"/>
      <c r="HD49" s="12"/>
      <c r="HE49" s="12"/>
      <c r="HF49" s="12"/>
      <c r="HG49" s="12"/>
      <c r="HH49" s="12"/>
      <c r="HI49" s="12"/>
      <c r="HJ49" s="12"/>
      <c r="HK49" s="12"/>
      <c r="HL49" s="12"/>
      <c r="HM49" s="12"/>
      <c r="HN49" s="12"/>
      <c r="HO49" s="12"/>
      <c r="HP49" s="12"/>
      <c r="HQ49" s="12"/>
      <c r="HR49" s="12"/>
      <c r="HS49" s="12"/>
      <c r="HT49" s="12"/>
      <c r="HU49" s="12"/>
      <c r="HV49" s="12"/>
      <c r="HW49" s="12"/>
      <c r="HX49" s="12"/>
      <c r="HY49" s="12"/>
      <c r="HZ49" s="12"/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  <c r="IL49" s="12"/>
      <c r="IM49" s="12"/>
      <c r="IN49" s="12"/>
      <c r="IO49" s="12"/>
      <c r="IP49" s="12"/>
      <c r="IQ49" s="12"/>
      <c r="IR49" s="12"/>
      <c r="IS49" s="12"/>
      <c r="IT49" s="12"/>
      <c r="IU49" s="12"/>
      <c r="IV49" s="12"/>
      <c r="IW49" s="12"/>
      <c r="IX49" s="12"/>
      <c r="IY49" s="12"/>
      <c r="IZ49" s="12"/>
      <c r="JA49" s="12"/>
      <c r="JB49" s="12"/>
      <c r="JC49" s="12"/>
      <c r="JD49" s="12"/>
      <c r="JE49" s="12"/>
      <c r="JF49" s="12"/>
      <c r="JG49" s="12"/>
      <c r="JH49" s="12"/>
      <c r="JI49" s="12"/>
      <c r="JJ49" s="12"/>
      <c r="JK49" s="12"/>
      <c r="JL49" s="12"/>
      <c r="JM49" s="12"/>
      <c r="JN49" s="12"/>
      <c r="JO49" s="12"/>
      <c r="JP49" s="12"/>
      <c r="JQ49" s="12"/>
      <c r="JR49" s="12"/>
      <c r="JS49" s="12"/>
      <c r="JT49" s="12"/>
      <c r="JU49" s="12"/>
      <c r="JV49" s="12"/>
      <c r="JW49" s="12"/>
      <c r="JX49" s="12"/>
      <c r="JY49" s="12"/>
      <c r="JZ49" s="12"/>
      <c r="KA49" s="12"/>
      <c r="KB49" s="12"/>
      <c r="KC49" s="12"/>
      <c r="KD49" s="12"/>
      <c r="KE49" s="12"/>
      <c r="KF49" s="12"/>
      <c r="KG49" s="12"/>
      <c r="KH49" s="12"/>
      <c r="KI49" s="12"/>
      <c r="KJ49" s="12"/>
      <c r="KK49" s="12"/>
      <c r="KL49" s="12"/>
      <c r="KM49" s="12"/>
      <c r="KN49" s="12"/>
      <c r="KO49" s="12"/>
      <c r="KP49" s="12"/>
      <c r="KQ49" s="12"/>
      <c r="KR49" s="12"/>
      <c r="KS49" s="12"/>
      <c r="KT49" s="12"/>
      <c r="KU49" s="12"/>
      <c r="KV49" s="12"/>
      <c r="KW49" s="12"/>
      <c r="KX49" s="12"/>
      <c r="KY49" s="12"/>
      <c r="KZ49" s="12"/>
      <c r="LA49" s="12"/>
      <c r="LB49" s="12"/>
      <c r="LC49" s="12"/>
      <c r="LD49" s="12"/>
      <c r="LE49" s="12"/>
      <c r="LF49" s="12"/>
      <c r="LG49" s="12"/>
      <c r="LH49" s="12"/>
      <c r="LI49" s="12"/>
      <c r="LJ49" s="12"/>
      <c r="LK49" s="12"/>
      <c r="LL49" s="12"/>
      <c r="LM49" s="12"/>
      <c r="LN49" s="12"/>
      <c r="LO49" s="12"/>
      <c r="LP49" s="12"/>
      <c r="LQ49" s="12"/>
      <c r="LR49" s="12"/>
      <c r="LS49" s="12"/>
      <c r="LT49" s="12"/>
      <c r="LU49" s="12"/>
      <c r="LV49" s="12"/>
      <c r="LW49" s="12"/>
      <c r="LX49" s="12"/>
      <c r="LY49" s="12"/>
      <c r="LZ49" s="12"/>
      <c r="MA49" s="12"/>
      <c r="MB49" s="12"/>
      <c r="MC49" s="12"/>
      <c r="MD49" s="12"/>
      <c r="ME49" s="12"/>
      <c r="MF49" s="12"/>
      <c r="MG49" s="12"/>
      <c r="MH49" s="12"/>
      <c r="MI49" s="12"/>
      <c r="MJ49" s="12"/>
      <c r="MK49" s="12"/>
      <c r="ML49" s="12"/>
      <c r="MM49" s="12"/>
      <c r="MN49" s="12"/>
      <c r="MO49" s="12"/>
      <c r="MP49" s="12"/>
      <c r="MQ49" s="12"/>
      <c r="MR49" s="12"/>
      <c r="MS49" s="12"/>
      <c r="MT49" s="12"/>
      <c r="MU49" s="12"/>
      <c r="MV49" s="12"/>
      <c r="MW49" s="12"/>
      <c r="MX49" s="12"/>
      <c r="MY49" s="12"/>
      <c r="MZ49" s="12"/>
      <c r="NA49" s="12"/>
      <c r="NB49" s="12"/>
      <c r="NC49" s="12"/>
      <c r="ND49" s="12"/>
      <c r="NE49" s="12"/>
      <c r="NF49" s="12"/>
      <c r="NG49" s="12"/>
      <c r="NH49" s="12"/>
      <c r="NI49" s="12"/>
      <c r="NJ49" s="12"/>
      <c r="NK49" s="12"/>
      <c r="NL49" s="12"/>
      <c r="NM49" s="12"/>
      <c r="NN49" s="12"/>
      <c r="NO49" s="12"/>
      <c r="NP49" s="12"/>
      <c r="NQ49" s="12"/>
      <c r="NR49" s="12"/>
      <c r="NS49" s="12"/>
      <c r="NT49" s="12"/>
      <c r="NU49" s="12"/>
      <c r="NV49" s="12"/>
      <c r="NW49" s="12"/>
      <c r="NX49" s="12"/>
      <c r="NY49" s="12"/>
      <c r="NZ49" s="12"/>
      <c r="OA49" s="12"/>
      <c r="OB49" s="12"/>
      <c r="OC49" s="12"/>
      <c r="OD49" s="12"/>
      <c r="OE49" s="12"/>
      <c r="OF49" s="12"/>
      <c r="OG49" s="12"/>
      <c r="OH49" s="12"/>
      <c r="OI49" s="12"/>
      <c r="OJ49" s="12"/>
      <c r="OK49" s="12"/>
      <c r="OL49" s="12"/>
      <c r="OM49" s="12"/>
      <c r="ON49" s="12"/>
      <c r="OO49" s="12"/>
      <c r="OP49" s="12"/>
      <c r="OQ49" s="12"/>
      <c r="OR49" s="12"/>
      <c r="OS49" s="12"/>
      <c r="OT49" s="12"/>
      <c r="OU49" s="12"/>
      <c r="OV49" s="12"/>
      <c r="OW49" s="12"/>
      <c r="OX49" s="12"/>
      <c r="OY49" s="12"/>
      <c r="OZ49" s="12"/>
      <c r="PA49" s="12"/>
      <c r="PB49" s="12"/>
      <c r="PC49" s="12"/>
      <c r="PD49" s="12"/>
      <c r="PE49" s="12"/>
      <c r="PF49" s="12"/>
      <c r="PG49" s="12"/>
      <c r="PH49" s="12"/>
      <c r="PI49" s="12"/>
      <c r="PJ49" s="12"/>
      <c r="PK49" s="12"/>
      <c r="PL49" s="12"/>
      <c r="PM49" s="12"/>
      <c r="PN49" s="12"/>
      <c r="PO49" s="12"/>
      <c r="PP49" s="12"/>
      <c r="PQ49" s="12"/>
      <c r="PR49" s="12"/>
      <c r="PS49" s="12"/>
      <c r="PT49" s="12"/>
      <c r="PU49" s="12"/>
      <c r="PV49" s="12"/>
      <c r="PW49" s="12"/>
      <c r="PX49" s="12"/>
      <c r="PY49" s="12"/>
      <c r="PZ49" s="12"/>
      <c r="QA49" s="12"/>
      <c r="QB49" s="12"/>
      <c r="QC49" s="12"/>
      <c r="QD49" s="12"/>
      <c r="QE49" s="12"/>
      <c r="QF49" s="12"/>
      <c r="QG49" s="12"/>
      <c r="QH49" s="12"/>
      <c r="QI49" s="12"/>
      <c r="QJ49" s="12"/>
      <c r="QK49" s="12"/>
      <c r="QL49" s="12"/>
      <c r="QM49" s="12"/>
      <c r="QN49" s="12"/>
      <c r="QO49" s="12"/>
      <c r="QP49" s="12"/>
      <c r="QQ49" s="12"/>
      <c r="QR49" s="12"/>
      <c r="QS49" s="12"/>
      <c r="QT49" s="12"/>
      <c r="QU49" s="12"/>
      <c r="QV49" s="12"/>
      <c r="QW49" s="12"/>
      <c r="QX49" s="12"/>
      <c r="QY49" s="12"/>
      <c r="QZ49" s="12"/>
      <c r="RA49" s="12"/>
      <c r="RB49" s="12"/>
      <c r="RC49" s="12"/>
      <c r="RD49" s="12"/>
      <c r="RE49" s="12"/>
      <c r="RF49" s="12"/>
      <c r="RG49" s="12"/>
      <c r="RH49" s="12"/>
      <c r="RI49" s="12"/>
      <c r="RJ49" s="12"/>
      <c r="RK49" s="12"/>
      <c r="RL49" s="12"/>
      <c r="RM49" s="12"/>
      <c r="RN49" s="12"/>
      <c r="RO49" s="12"/>
      <c r="RP49" s="12"/>
      <c r="RQ49" s="12"/>
      <c r="RR49" s="12"/>
      <c r="RS49" s="12"/>
      <c r="RT49" s="12"/>
      <c r="RU49" s="12"/>
      <c r="RV49" s="12"/>
      <c r="RW49" s="12"/>
      <c r="RX49" s="12"/>
      <c r="RY49" s="12"/>
      <c r="RZ49" s="12"/>
      <c r="SA49" s="12"/>
      <c r="SB49" s="12"/>
      <c r="SC49" s="12"/>
      <c r="SD49" s="12"/>
      <c r="SE49" s="12"/>
      <c r="SF49" s="12"/>
      <c r="SG49" s="12"/>
      <c r="SH49" s="12"/>
      <c r="SI49" s="12"/>
      <c r="SJ49" s="12"/>
      <c r="SK49" s="12"/>
      <c r="SL49" s="12"/>
      <c r="SM49" s="12"/>
      <c r="SN49" s="12"/>
      <c r="SO49" s="12"/>
      <c r="SP49" s="12"/>
      <c r="SQ49" s="12"/>
      <c r="SR49" s="12"/>
      <c r="SS49" s="12"/>
      <c r="ST49" s="12"/>
      <c r="SU49" s="12"/>
      <c r="SV49" s="12"/>
      <c r="SW49" s="12"/>
      <c r="SX49" s="12"/>
      <c r="SY49" s="12"/>
      <c r="SZ49" s="12"/>
      <c r="TA49" s="12"/>
      <c r="TB49" s="12"/>
      <c r="TC49" s="12"/>
      <c r="TD49" s="12"/>
      <c r="TE49" s="12"/>
      <c r="TF49" s="12"/>
      <c r="TG49" s="12"/>
      <c r="TH49" s="12"/>
      <c r="TI49" s="12"/>
      <c r="TJ49" s="12"/>
      <c r="TK49" s="12"/>
      <c r="TL49" s="12"/>
      <c r="TM49" s="12"/>
      <c r="TN49" s="12"/>
      <c r="TO49" s="12"/>
      <c r="TP49" s="12"/>
      <c r="TQ49" s="12"/>
      <c r="TR49" s="12"/>
      <c r="TS49" s="12"/>
      <c r="TT49" s="12"/>
      <c r="TU49" s="12"/>
      <c r="TV49" s="12"/>
      <c r="TW49" s="12"/>
      <c r="TX49" s="12"/>
      <c r="TY49" s="12"/>
      <c r="TZ49" s="12"/>
      <c r="UA49" s="12"/>
      <c r="UB49" s="12"/>
      <c r="UC49" s="12"/>
      <c r="UD49" s="12"/>
      <c r="UE49" s="12"/>
      <c r="UF49" s="12"/>
      <c r="UG49" s="12"/>
      <c r="UH49" s="12"/>
      <c r="UI49" s="12"/>
      <c r="UJ49" s="12"/>
      <c r="UK49" s="12"/>
      <c r="UL49" s="12"/>
      <c r="UM49" s="12"/>
      <c r="UN49" s="12"/>
      <c r="UO49" s="12"/>
      <c r="UP49" s="12"/>
      <c r="UQ49" s="12"/>
      <c r="UR49" s="12"/>
      <c r="US49" s="12"/>
      <c r="UT49" s="12"/>
      <c r="UU49" s="12"/>
      <c r="UV49" s="12"/>
      <c r="UW49" s="12"/>
      <c r="UX49" s="12"/>
      <c r="UY49" s="12"/>
      <c r="UZ49" s="12"/>
      <c r="VA49" s="12"/>
      <c r="VB49" s="12"/>
      <c r="VC49" s="12"/>
      <c r="VD49" s="12"/>
      <c r="VE49" s="12"/>
      <c r="VF49" s="12"/>
      <c r="VG49" s="12"/>
      <c r="VH49" s="12"/>
      <c r="VI49" s="12"/>
      <c r="VJ49" s="12"/>
      <c r="VK49" s="12"/>
      <c r="VL49" s="12"/>
      <c r="VM49" s="12"/>
      <c r="VN49" s="12"/>
      <c r="VO49" s="12"/>
      <c r="VP49" s="12"/>
      <c r="VQ49" s="12"/>
      <c r="VR49" s="12"/>
      <c r="VS49" s="12"/>
      <c r="VT49" s="12"/>
      <c r="VU49" s="12"/>
      <c r="VV49" s="12"/>
      <c r="VW49" s="12"/>
      <c r="VX49" s="12"/>
      <c r="VY49" s="12"/>
      <c r="VZ49" s="12"/>
      <c r="WA49" s="12"/>
      <c r="WB49" s="12"/>
      <c r="WC49" s="12"/>
      <c r="WD49" s="12"/>
      <c r="WE49" s="12"/>
      <c r="WF49" s="12"/>
      <c r="WG49" s="12"/>
      <c r="WH49" s="12"/>
      <c r="WI49" s="12"/>
      <c r="WJ49" s="12"/>
      <c r="WK49" s="12"/>
      <c r="WL49" s="12"/>
      <c r="WM49" s="12"/>
      <c r="WN49" s="12"/>
      <c r="WO49" s="12"/>
      <c r="WP49" s="12"/>
      <c r="WQ49" s="12"/>
      <c r="WR49" s="12"/>
      <c r="WS49" s="12"/>
      <c r="WT49" s="12"/>
      <c r="WU49" s="12"/>
      <c r="WV49" s="12"/>
      <c r="WW49" s="12"/>
      <c r="WX49" s="12"/>
      <c r="WY49" s="12"/>
      <c r="WZ49" s="12"/>
      <c r="XA49" s="12"/>
      <c r="XB49" s="12"/>
      <c r="XC49" s="12"/>
      <c r="XD49" s="12"/>
      <c r="XE49" s="12"/>
      <c r="XF49" s="12"/>
      <c r="XG49" s="12"/>
      <c r="XH49" s="12"/>
      <c r="XI49" s="12"/>
      <c r="XJ49" s="12"/>
      <c r="XK49" s="12"/>
      <c r="XL49" s="12"/>
      <c r="XM49" s="12"/>
      <c r="XN49" s="12"/>
      <c r="XO49" s="12"/>
      <c r="XP49" s="12"/>
      <c r="XQ49" s="12"/>
      <c r="XR49" s="12"/>
      <c r="XS49" s="12"/>
      <c r="XT49" s="12"/>
      <c r="XU49" s="12"/>
      <c r="XV49" s="12"/>
      <c r="XW49" s="12"/>
      <c r="XX49" s="12"/>
      <c r="XY49" s="12"/>
      <c r="XZ49" s="12"/>
      <c r="YA49" s="12"/>
      <c r="YB49" s="12"/>
      <c r="YC49" s="12"/>
      <c r="YD49" s="12"/>
      <c r="YE49" s="12"/>
      <c r="YF49" s="12"/>
      <c r="YG49" s="12"/>
      <c r="YH49" s="12"/>
      <c r="YI49" s="12"/>
      <c r="YJ49" s="12"/>
      <c r="YK49" s="12"/>
      <c r="YL49" s="12"/>
      <c r="YM49" s="12"/>
      <c r="YN49" s="12"/>
      <c r="YO49" s="12"/>
      <c r="YP49" s="12"/>
      <c r="YQ49" s="12"/>
      <c r="YR49" s="12"/>
      <c r="YS49" s="12"/>
      <c r="YT49" s="12"/>
      <c r="YU49" s="12"/>
      <c r="YV49" s="12"/>
      <c r="YW49" s="12"/>
      <c r="YX49" s="12"/>
      <c r="YY49" s="12"/>
      <c r="YZ49" s="12"/>
      <c r="ZA49" s="12"/>
      <c r="ZB49" s="12"/>
      <c r="ZC49" s="12"/>
      <c r="ZD49" s="12"/>
      <c r="ZE49" s="12"/>
      <c r="ZF49" s="12"/>
      <c r="ZG49" s="12"/>
      <c r="ZH49" s="12"/>
      <c r="ZI49" s="12"/>
      <c r="ZJ49" s="12"/>
      <c r="ZK49" s="12"/>
      <c r="ZL49" s="12"/>
      <c r="ZM49" s="12"/>
      <c r="ZN49" s="12"/>
      <c r="ZO49" s="12"/>
      <c r="ZP49" s="12"/>
      <c r="ZQ49" s="12"/>
      <c r="ZR49" s="12"/>
      <c r="ZS49" s="12"/>
      <c r="ZT49" s="12"/>
      <c r="ZU49" s="12"/>
      <c r="ZV49" s="12"/>
      <c r="ZW49" s="12"/>
      <c r="ZX49" s="12"/>
      <c r="ZY49" s="12"/>
      <c r="ZZ49" s="12"/>
      <c r="AAA49" s="12"/>
      <c r="AAB49" s="12"/>
      <c r="AAC49" s="12"/>
      <c r="AAD49" s="12"/>
      <c r="AAE49" s="12"/>
      <c r="AAF49" s="12"/>
      <c r="AAG49" s="12"/>
      <c r="AAH49" s="12"/>
      <c r="AAI49" s="12"/>
      <c r="AAJ49" s="12"/>
      <c r="AAK49" s="12"/>
      <c r="AAL49" s="12"/>
      <c r="AAM49" s="12"/>
      <c r="AAN49" s="12"/>
      <c r="AAO49" s="12"/>
      <c r="AAP49" s="12"/>
      <c r="AAQ49" s="12"/>
      <c r="AAR49" s="12"/>
      <c r="AAS49" s="12"/>
      <c r="AAT49" s="12"/>
      <c r="AAU49" s="12"/>
      <c r="AAV49" s="12"/>
      <c r="AAW49" s="12"/>
      <c r="AAX49" s="12"/>
      <c r="AAY49" s="12"/>
      <c r="AAZ49" s="12"/>
      <c r="ABA49" s="12"/>
      <c r="ABB49" s="12"/>
      <c r="ABC49" s="12"/>
      <c r="ABD49" s="12"/>
      <c r="ABE49" s="12"/>
      <c r="ABF49" s="12"/>
      <c r="ABG49" s="12"/>
      <c r="ABH49" s="12"/>
      <c r="ABI49" s="12"/>
      <c r="ABJ49" s="12"/>
      <c r="ABK49" s="12"/>
      <c r="ABL49" s="12"/>
      <c r="ABM49" s="12"/>
      <c r="ABN49" s="12"/>
      <c r="ABO49" s="12"/>
      <c r="ABP49" s="12"/>
      <c r="ABQ49" s="12"/>
      <c r="ABR49" s="12"/>
      <c r="ABS49" s="12"/>
      <c r="ABT49" s="12"/>
      <c r="ABU49" s="12"/>
      <c r="ABV49" s="12"/>
      <c r="ABW49" s="12"/>
      <c r="ABX49" s="12"/>
      <c r="ABY49" s="12"/>
      <c r="ABZ49" s="12"/>
      <c r="ACA49" s="12"/>
      <c r="ACB49" s="12"/>
      <c r="ACC49" s="12"/>
      <c r="ACD49" s="12"/>
      <c r="ACE49" s="12"/>
      <c r="ACF49" s="12"/>
      <c r="ACG49" s="12"/>
      <c r="ACH49" s="12"/>
      <c r="ACI49" s="12"/>
      <c r="ACJ49" s="12"/>
      <c r="ACK49" s="12"/>
      <c r="ACL49" s="12"/>
      <c r="ACM49" s="12"/>
      <c r="ACN49" s="12"/>
      <c r="ACO49" s="12"/>
      <c r="ACP49" s="12"/>
      <c r="ACQ49" s="12"/>
      <c r="ACR49" s="12"/>
      <c r="ACS49" s="12"/>
      <c r="ACT49" s="12"/>
      <c r="ACU49" s="12"/>
      <c r="ACV49" s="12"/>
      <c r="ACW49" s="12"/>
      <c r="ACX49" s="12"/>
      <c r="ACY49" s="12"/>
      <c r="ACZ49" s="12"/>
      <c r="ADA49" s="12"/>
      <c r="ADB49" s="12"/>
      <c r="ADC49" s="12"/>
      <c r="ADD49" s="12"/>
      <c r="ADE49" s="12"/>
      <c r="ADF49" s="12"/>
      <c r="ADG49" s="12"/>
      <c r="ADH49" s="12"/>
      <c r="ADI49" s="12"/>
      <c r="ADJ49" s="12"/>
      <c r="ADK49" s="12"/>
      <c r="ADL49" s="12"/>
      <c r="ADM49" s="12"/>
      <c r="ADN49" s="12"/>
      <c r="ADO49" s="12"/>
      <c r="ADP49" s="12"/>
      <c r="ADQ49" s="12"/>
      <c r="ADR49" s="12"/>
      <c r="ADS49" s="12"/>
      <c r="ADT49" s="12"/>
      <c r="ADU49" s="12"/>
      <c r="ADV49" s="12"/>
      <c r="ADW49" s="12"/>
      <c r="ADX49" s="12"/>
      <c r="ADY49" s="12"/>
      <c r="ADZ49" s="12"/>
      <c r="AEA49" s="12"/>
      <c r="AEB49" s="12"/>
      <c r="AEC49" s="12"/>
      <c r="AED49" s="12"/>
      <c r="AEE49" s="12"/>
      <c r="AEF49" s="12"/>
      <c r="AEG49" s="12"/>
      <c r="AEH49" s="12"/>
      <c r="AEI49" s="12"/>
      <c r="AEJ49" s="12"/>
      <c r="AEK49" s="12"/>
      <c r="AEL49" s="12"/>
      <c r="AEM49" s="12"/>
      <c r="AEN49" s="12"/>
      <c r="AEO49" s="12"/>
      <c r="AEP49" s="12"/>
      <c r="AEQ49" s="12"/>
      <c r="AER49" s="12"/>
      <c r="AES49" s="12"/>
      <c r="AET49" s="12"/>
      <c r="AEU49" s="12"/>
      <c r="AEV49" s="12"/>
    </row>
    <row r="50" spans="1:828" s="27" customFormat="1" ht="18" x14ac:dyDescent="0.2">
      <c r="A50" s="61"/>
      <c r="D50" s="29"/>
      <c r="E50" s="23"/>
      <c r="F50" s="23"/>
      <c r="G50" s="23"/>
      <c r="H50" s="30"/>
      <c r="K50" s="30"/>
      <c r="L50" s="23"/>
      <c r="M50" s="29"/>
      <c r="N50" s="47"/>
      <c r="O50" s="47"/>
      <c r="P50" s="48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2"/>
      <c r="FJ50" s="12"/>
      <c r="FK50" s="12"/>
      <c r="FL50" s="12"/>
      <c r="FM50" s="12"/>
      <c r="FN50" s="12"/>
      <c r="FO50" s="12"/>
      <c r="FP50" s="12"/>
      <c r="FQ50" s="12"/>
      <c r="FR50" s="12"/>
      <c r="FS50" s="12"/>
      <c r="FT50" s="12"/>
      <c r="FU50" s="12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2"/>
      <c r="GG50" s="12"/>
      <c r="GH50" s="12"/>
      <c r="GI50" s="12"/>
      <c r="GJ50" s="12"/>
      <c r="GK50" s="12"/>
      <c r="GL50" s="12"/>
      <c r="GM50" s="12"/>
      <c r="GN50" s="12"/>
      <c r="GO50" s="12"/>
      <c r="GP50" s="12"/>
      <c r="GQ50" s="12"/>
      <c r="GR50" s="12"/>
      <c r="GS50" s="12"/>
      <c r="GT50" s="12"/>
      <c r="GU50" s="12"/>
      <c r="GV50" s="12"/>
      <c r="GW50" s="12"/>
      <c r="GX50" s="12"/>
      <c r="GY50" s="12"/>
      <c r="GZ50" s="12"/>
      <c r="HA50" s="12"/>
      <c r="HB50" s="12"/>
      <c r="HC50" s="12"/>
      <c r="HD50" s="12"/>
      <c r="HE50" s="12"/>
      <c r="HF50" s="12"/>
      <c r="HG50" s="12"/>
      <c r="HH50" s="12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2"/>
      <c r="HT50" s="12"/>
      <c r="HU50" s="12"/>
      <c r="HV50" s="12"/>
      <c r="HW50" s="12"/>
      <c r="HX50" s="12"/>
      <c r="HY50" s="12"/>
      <c r="HZ50" s="12"/>
      <c r="IA50" s="12"/>
      <c r="IB50" s="12"/>
      <c r="IC50" s="12"/>
      <c r="ID50" s="12"/>
      <c r="IE50" s="12"/>
      <c r="IF50" s="12"/>
      <c r="IG50" s="12"/>
      <c r="IH50" s="12"/>
      <c r="II50" s="12"/>
      <c r="IJ50" s="12"/>
      <c r="IK50" s="12"/>
      <c r="IL50" s="12"/>
      <c r="IM50" s="12"/>
      <c r="IN50" s="12"/>
      <c r="IO50" s="12"/>
      <c r="IP50" s="12"/>
      <c r="IQ50" s="12"/>
      <c r="IR50" s="12"/>
      <c r="IS50" s="12"/>
      <c r="IT50" s="12"/>
      <c r="IU50" s="12"/>
      <c r="IV50" s="12"/>
      <c r="IW50" s="12"/>
      <c r="IX50" s="12"/>
      <c r="IY50" s="12"/>
      <c r="IZ50" s="12"/>
      <c r="JA50" s="12"/>
      <c r="JB50" s="12"/>
      <c r="JC50" s="12"/>
      <c r="JD50" s="12"/>
      <c r="JE50" s="12"/>
      <c r="JF50" s="12"/>
      <c r="JG50" s="12"/>
      <c r="JH50" s="12"/>
      <c r="JI50" s="12"/>
      <c r="JJ50" s="12"/>
      <c r="JK50" s="12"/>
      <c r="JL50" s="12"/>
      <c r="JM50" s="12"/>
      <c r="JN50" s="12"/>
      <c r="JO50" s="12"/>
      <c r="JP50" s="12"/>
      <c r="JQ50" s="12"/>
      <c r="JR50" s="12"/>
      <c r="JS50" s="12"/>
      <c r="JT50" s="12"/>
      <c r="JU50" s="12"/>
      <c r="JV50" s="12"/>
      <c r="JW50" s="12"/>
      <c r="JX50" s="12"/>
      <c r="JY50" s="12"/>
      <c r="JZ50" s="12"/>
      <c r="KA50" s="12"/>
      <c r="KB50" s="12"/>
      <c r="KC50" s="12"/>
      <c r="KD50" s="12"/>
      <c r="KE50" s="12"/>
      <c r="KF50" s="12"/>
      <c r="KG50" s="12"/>
      <c r="KH50" s="12"/>
      <c r="KI50" s="12"/>
      <c r="KJ50" s="12"/>
      <c r="KK50" s="12"/>
      <c r="KL50" s="12"/>
      <c r="KM50" s="12"/>
      <c r="KN50" s="12"/>
      <c r="KO50" s="12"/>
      <c r="KP50" s="12"/>
      <c r="KQ50" s="12"/>
      <c r="KR50" s="12"/>
      <c r="KS50" s="12"/>
      <c r="KT50" s="12"/>
      <c r="KU50" s="12"/>
      <c r="KV50" s="12"/>
      <c r="KW50" s="12"/>
      <c r="KX50" s="12"/>
      <c r="KY50" s="12"/>
      <c r="KZ50" s="12"/>
      <c r="LA50" s="12"/>
      <c r="LB50" s="12"/>
      <c r="LC50" s="12"/>
      <c r="LD50" s="12"/>
      <c r="LE50" s="12"/>
      <c r="LF50" s="12"/>
      <c r="LG50" s="12"/>
      <c r="LH50" s="12"/>
      <c r="LI50" s="12"/>
      <c r="LJ50" s="12"/>
      <c r="LK50" s="12"/>
      <c r="LL50" s="12"/>
      <c r="LM50" s="12"/>
      <c r="LN50" s="12"/>
      <c r="LO50" s="12"/>
      <c r="LP50" s="12"/>
      <c r="LQ50" s="12"/>
      <c r="LR50" s="12"/>
      <c r="LS50" s="12"/>
      <c r="LT50" s="12"/>
      <c r="LU50" s="12"/>
      <c r="LV50" s="12"/>
      <c r="LW50" s="12"/>
      <c r="LX50" s="12"/>
      <c r="LY50" s="12"/>
      <c r="LZ50" s="12"/>
      <c r="MA50" s="12"/>
      <c r="MB50" s="12"/>
      <c r="MC50" s="12"/>
      <c r="MD50" s="12"/>
      <c r="ME50" s="12"/>
      <c r="MF50" s="12"/>
      <c r="MG50" s="12"/>
      <c r="MH50" s="12"/>
      <c r="MI50" s="12"/>
      <c r="MJ50" s="12"/>
      <c r="MK50" s="12"/>
      <c r="ML50" s="12"/>
      <c r="MM50" s="12"/>
      <c r="MN50" s="12"/>
      <c r="MO50" s="12"/>
      <c r="MP50" s="12"/>
      <c r="MQ50" s="12"/>
      <c r="MR50" s="12"/>
      <c r="MS50" s="12"/>
      <c r="MT50" s="12"/>
      <c r="MU50" s="12"/>
      <c r="MV50" s="12"/>
      <c r="MW50" s="12"/>
      <c r="MX50" s="12"/>
      <c r="MY50" s="12"/>
      <c r="MZ50" s="12"/>
      <c r="NA50" s="12"/>
      <c r="NB50" s="12"/>
      <c r="NC50" s="12"/>
      <c r="ND50" s="12"/>
      <c r="NE50" s="12"/>
      <c r="NF50" s="12"/>
      <c r="NG50" s="12"/>
      <c r="NH50" s="12"/>
      <c r="NI50" s="12"/>
      <c r="NJ50" s="12"/>
      <c r="NK50" s="12"/>
      <c r="NL50" s="12"/>
      <c r="NM50" s="12"/>
      <c r="NN50" s="12"/>
      <c r="NO50" s="12"/>
      <c r="NP50" s="12"/>
      <c r="NQ50" s="12"/>
      <c r="NR50" s="12"/>
      <c r="NS50" s="12"/>
      <c r="NT50" s="12"/>
      <c r="NU50" s="12"/>
      <c r="NV50" s="12"/>
      <c r="NW50" s="12"/>
      <c r="NX50" s="12"/>
      <c r="NY50" s="12"/>
      <c r="NZ50" s="12"/>
      <c r="OA50" s="12"/>
      <c r="OB50" s="12"/>
      <c r="OC50" s="12"/>
      <c r="OD50" s="12"/>
      <c r="OE50" s="12"/>
      <c r="OF50" s="12"/>
      <c r="OG50" s="12"/>
      <c r="OH50" s="12"/>
      <c r="OI50" s="12"/>
      <c r="OJ50" s="12"/>
      <c r="OK50" s="12"/>
      <c r="OL50" s="12"/>
      <c r="OM50" s="12"/>
      <c r="ON50" s="12"/>
      <c r="OO50" s="12"/>
      <c r="OP50" s="12"/>
      <c r="OQ50" s="12"/>
      <c r="OR50" s="12"/>
      <c r="OS50" s="12"/>
      <c r="OT50" s="12"/>
      <c r="OU50" s="12"/>
      <c r="OV50" s="12"/>
      <c r="OW50" s="12"/>
      <c r="OX50" s="12"/>
      <c r="OY50" s="12"/>
      <c r="OZ50" s="12"/>
      <c r="PA50" s="12"/>
      <c r="PB50" s="12"/>
      <c r="PC50" s="12"/>
      <c r="PD50" s="12"/>
      <c r="PE50" s="12"/>
      <c r="PF50" s="12"/>
      <c r="PG50" s="12"/>
      <c r="PH50" s="12"/>
      <c r="PI50" s="12"/>
      <c r="PJ50" s="12"/>
      <c r="PK50" s="12"/>
      <c r="PL50" s="12"/>
      <c r="PM50" s="12"/>
      <c r="PN50" s="12"/>
      <c r="PO50" s="12"/>
      <c r="PP50" s="12"/>
      <c r="PQ50" s="12"/>
      <c r="PR50" s="12"/>
      <c r="PS50" s="12"/>
      <c r="PT50" s="12"/>
      <c r="PU50" s="12"/>
      <c r="PV50" s="12"/>
      <c r="PW50" s="12"/>
      <c r="PX50" s="12"/>
      <c r="PY50" s="12"/>
      <c r="PZ50" s="12"/>
      <c r="QA50" s="12"/>
      <c r="QB50" s="12"/>
      <c r="QC50" s="12"/>
      <c r="QD50" s="12"/>
      <c r="QE50" s="12"/>
      <c r="QF50" s="12"/>
      <c r="QG50" s="12"/>
      <c r="QH50" s="12"/>
      <c r="QI50" s="12"/>
      <c r="QJ50" s="12"/>
      <c r="QK50" s="12"/>
      <c r="QL50" s="12"/>
      <c r="QM50" s="12"/>
      <c r="QN50" s="12"/>
      <c r="QO50" s="12"/>
      <c r="QP50" s="12"/>
      <c r="QQ50" s="12"/>
      <c r="QR50" s="12"/>
      <c r="QS50" s="12"/>
      <c r="QT50" s="12"/>
      <c r="QU50" s="12"/>
      <c r="QV50" s="12"/>
      <c r="QW50" s="12"/>
      <c r="QX50" s="12"/>
      <c r="QY50" s="12"/>
      <c r="QZ50" s="12"/>
      <c r="RA50" s="12"/>
      <c r="RB50" s="12"/>
      <c r="RC50" s="12"/>
      <c r="RD50" s="12"/>
      <c r="RE50" s="12"/>
      <c r="RF50" s="12"/>
      <c r="RG50" s="12"/>
      <c r="RH50" s="12"/>
      <c r="RI50" s="12"/>
      <c r="RJ50" s="12"/>
      <c r="RK50" s="12"/>
      <c r="RL50" s="12"/>
      <c r="RM50" s="12"/>
      <c r="RN50" s="12"/>
      <c r="RO50" s="12"/>
      <c r="RP50" s="12"/>
      <c r="RQ50" s="12"/>
      <c r="RR50" s="12"/>
      <c r="RS50" s="12"/>
      <c r="RT50" s="12"/>
      <c r="RU50" s="12"/>
      <c r="RV50" s="12"/>
      <c r="RW50" s="12"/>
      <c r="RX50" s="12"/>
      <c r="RY50" s="12"/>
      <c r="RZ50" s="12"/>
      <c r="SA50" s="12"/>
      <c r="SB50" s="12"/>
      <c r="SC50" s="12"/>
      <c r="SD50" s="12"/>
      <c r="SE50" s="12"/>
      <c r="SF50" s="12"/>
      <c r="SG50" s="12"/>
      <c r="SH50" s="12"/>
      <c r="SI50" s="12"/>
      <c r="SJ50" s="12"/>
      <c r="SK50" s="12"/>
      <c r="SL50" s="12"/>
      <c r="SM50" s="12"/>
      <c r="SN50" s="12"/>
      <c r="SO50" s="12"/>
      <c r="SP50" s="12"/>
      <c r="SQ50" s="12"/>
      <c r="SR50" s="12"/>
      <c r="SS50" s="12"/>
      <c r="ST50" s="12"/>
      <c r="SU50" s="12"/>
      <c r="SV50" s="12"/>
      <c r="SW50" s="12"/>
      <c r="SX50" s="12"/>
      <c r="SY50" s="12"/>
      <c r="SZ50" s="12"/>
      <c r="TA50" s="12"/>
      <c r="TB50" s="12"/>
      <c r="TC50" s="12"/>
      <c r="TD50" s="12"/>
      <c r="TE50" s="12"/>
      <c r="TF50" s="12"/>
      <c r="TG50" s="12"/>
      <c r="TH50" s="12"/>
      <c r="TI50" s="12"/>
      <c r="TJ50" s="12"/>
      <c r="TK50" s="12"/>
      <c r="TL50" s="12"/>
      <c r="TM50" s="12"/>
      <c r="TN50" s="12"/>
      <c r="TO50" s="12"/>
      <c r="TP50" s="12"/>
      <c r="TQ50" s="12"/>
      <c r="TR50" s="12"/>
      <c r="TS50" s="12"/>
      <c r="TT50" s="12"/>
      <c r="TU50" s="12"/>
      <c r="TV50" s="12"/>
      <c r="TW50" s="12"/>
      <c r="TX50" s="12"/>
      <c r="TY50" s="12"/>
      <c r="TZ50" s="12"/>
      <c r="UA50" s="12"/>
      <c r="UB50" s="12"/>
      <c r="UC50" s="12"/>
      <c r="UD50" s="12"/>
      <c r="UE50" s="12"/>
      <c r="UF50" s="12"/>
      <c r="UG50" s="12"/>
      <c r="UH50" s="12"/>
      <c r="UI50" s="12"/>
      <c r="UJ50" s="12"/>
      <c r="UK50" s="12"/>
      <c r="UL50" s="12"/>
      <c r="UM50" s="12"/>
      <c r="UN50" s="12"/>
      <c r="UO50" s="12"/>
      <c r="UP50" s="12"/>
      <c r="UQ50" s="12"/>
      <c r="UR50" s="12"/>
      <c r="US50" s="12"/>
      <c r="UT50" s="12"/>
      <c r="UU50" s="12"/>
      <c r="UV50" s="12"/>
      <c r="UW50" s="12"/>
      <c r="UX50" s="12"/>
      <c r="UY50" s="12"/>
      <c r="UZ50" s="12"/>
      <c r="VA50" s="12"/>
      <c r="VB50" s="12"/>
      <c r="VC50" s="12"/>
      <c r="VD50" s="12"/>
      <c r="VE50" s="12"/>
      <c r="VF50" s="12"/>
      <c r="VG50" s="12"/>
      <c r="VH50" s="12"/>
      <c r="VI50" s="12"/>
      <c r="VJ50" s="12"/>
      <c r="VK50" s="12"/>
      <c r="VL50" s="12"/>
      <c r="VM50" s="12"/>
      <c r="VN50" s="12"/>
      <c r="VO50" s="12"/>
      <c r="VP50" s="12"/>
      <c r="VQ50" s="12"/>
      <c r="VR50" s="12"/>
      <c r="VS50" s="12"/>
      <c r="VT50" s="12"/>
      <c r="VU50" s="12"/>
      <c r="VV50" s="12"/>
      <c r="VW50" s="12"/>
      <c r="VX50" s="12"/>
      <c r="VY50" s="12"/>
      <c r="VZ50" s="12"/>
      <c r="WA50" s="12"/>
      <c r="WB50" s="12"/>
      <c r="WC50" s="12"/>
      <c r="WD50" s="12"/>
      <c r="WE50" s="12"/>
      <c r="WF50" s="12"/>
      <c r="WG50" s="12"/>
      <c r="WH50" s="12"/>
      <c r="WI50" s="12"/>
      <c r="WJ50" s="12"/>
      <c r="WK50" s="12"/>
      <c r="WL50" s="12"/>
      <c r="WM50" s="12"/>
      <c r="WN50" s="12"/>
      <c r="WO50" s="12"/>
      <c r="WP50" s="12"/>
      <c r="WQ50" s="12"/>
      <c r="WR50" s="12"/>
      <c r="WS50" s="12"/>
      <c r="WT50" s="12"/>
      <c r="WU50" s="12"/>
      <c r="WV50" s="12"/>
      <c r="WW50" s="12"/>
      <c r="WX50" s="12"/>
      <c r="WY50" s="12"/>
      <c r="WZ50" s="12"/>
      <c r="XA50" s="12"/>
      <c r="XB50" s="12"/>
      <c r="XC50" s="12"/>
      <c r="XD50" s="12"/>
      <c r="XE50" s="12"/>
      <c r="XF50" s="12"/>
      <c r="XG50" s="12"/>
      <c r="XH50" s="12"/>
      <c r="XI50" s="12"/>
      <c r="XJ50" s="12"/>
      <c r="XK50" s="12"/>
      <c r="XL50" s="12"/>
      <c r="XM50" s="12"/>
      <c r="XN50" s="12"/>
      <c r="XO50" s="12"/>
      <c r="XP50" s="12"/>
      <c r="XQ50" s="12"/>
      <c r="XR50" s="12"/>
      <c r="XS50" s="12"/>
      <c r="XT50" s="12"/>
      <c r="XU50" s="12"/>
      <c r="XV50" s="12"/>
      <c r="XW50" s="12"/>
      <c r="XX50" s="12"/>
      <c r="XY50" s="12"/>
      <c r="XZ50" s="12"/>
      <c r="YA50" s="12"/>
      <c r="YB50" s="12"/>
      <c r="YC50" s="12"/>
      <c r="YD50" s="12"/>
      <c r="YE50" s="12"/>
      <c r="YF50" s="12"/>
      <c r="YG50" s="12"/>
      <c r="YH50" s="12"/>
      <c r="YI50" s="12"/>
      <c r="YJ50" s="12"/>
      <c r="YK50" s="12"/>
      <c r="YL50" s="12"/>
      <c r="YM50" s="12"/>
      <c r="YN50" s="12"/>
      <c r="YO50" s="12"/>
      <c r="YP50" s="12"/>
      <c r="YQ50" s="12"/>
      <c r="YR50" s="12"/>
      <c r="YS50" s="12"/>
      <c r="YT50" s="12"/>
      <c r="YU50" s="12"/>
      <c r="YV50" s="12"/>
      <c r="YW50" s="12"/>
      <c r="YX50" s="12"/>
      <c r="YY50" s="12"/>
      <c r="YZ50" s="12"/>
      <c r="ZA50" s="12"/>
      <c r="ZB50" s="12"/>
      <c r="ZC50" s="12"/>
      <c r="ZD50" s="12"/>
      <c r="ZE50" s="12"/>
      <c r="ZF50" s="12"/>
      <c r="ZG50" s="12"/>
      <c r="ZH50" s="12"/>
      <c r="ZI50" s="12"/>
      <c r="ZJ50" s="12"/>
      <c r="ZK50" s="12"/>
      <c r="ZL50" s="12"/>
      <c r="ZM50" s="12"/>
      <c r="ZN50" s="12"/>
      <c r="ZO50" s="12"/>
      <c r="ZP50" s="12"/>
      <c r="ZQ50" s="12"/>
      <c r="ZR50" s="12"/>
      <c r="ZS50" s="12"/>
      <c r="ZT50" s="12"/>
      <c r="ZU50" s="12"/>
      <c r="ZV50" s="12"/>
      <c r="ZW50" s="12"/>
      <c r="ZX50" s="12"/>
      <c r="ZY50" s="12"/>
      <c r="ZZ50" s="12"/>
      <c r="AAA50" s="12"/>
      <c r="AAB50" s="12"/>
      <c r="AAC50" s="12"/>
      <c r="AAD50" s="12"/>
      <c r="AAE50" s="12"/>
      <c r="AAF50" s="12"/>
      <c r="AAG50" s="12"/>
      <c r="AAH50" s="12"/>
      <c r="AAI50" s="12"/>
      <c r="AAJ50" s="12"/>
      <c r="AAK50" s="12"/>
      <c r="AAL50" s="12"/>
      <c r="AAM50" s="12"/>
      <c r="AAN50" s="12"/>
      <c r="AAO50" s="12"/>
      <c r="AAP50" s="12"/>
      <c r="AAQ50" s="12"/>
      <c r="AAR50" s="12"/>
      <c r="AAS50" s="12"/>
      <c r="AAT50" s="12"/>
      <c r="AAU50" s="12"/>
      <c r="AAV50" s="12"/>
      <c r="AAW50" s="12"/>
      <c r="AAX50" s="12"/>
      <c r="AAY50" s="12"/>
      <c r="AAZ50" s="12"/>
      <c r="ABA50" s="12"/>
      <c r="ABB50" s="12"/>
      <c r="ABC50" s="12"/>
      <c r="ABD50" s="12"/>
      <c r="ABE50" s="12"/>
      <c r="ABF50" s="12"/>
      <c r="ABG50" s="12"/>
      <c r="ABH50" s="12"/>
      <c r="ABI50" s="12"/>
      <c r="ABJ50" s="12"/>
      <c r="ABK50" s="12"/>
      <c r="ABL50" s="12"/>
      <c r="ABM50" s="12"/>
      <c r="ABN50" s="12"/>
      <c r="ABO50" s="12"/>
      <c r="ABP50" s="12"/>
      <c r="ABQ50" s="12"/>
      <c r="ABR50" s="12"/>
      <c r="ABS50" s="12"/>
      <c r="ABT50" s="12"/>
      <c r="ABU50" s="12"/>
      <c r="ABV50" s="12"/>
      <c r="ABW50" s="12"/>
      <c r="ABX50" s="12"/>
      <c r="ABY50" s="12"/>
      <c r="ABZ50" s="12"/>
      <c r="ACA50" s="12"/>
      <c r="ACB50" s="12"/>
      <c r="ACC50" s="12"/>
      <c r="ACD50" s="12"/>
      <c r="ACE50" s="12"/>
      <c r="ACF50" s="12"/>
      <c r="ACG50" s="12"/>
      <c r="ACH50" s="12"/>
      <c r="ACI50" s="12"/>
      <c r="ACJ50" s="12"/>
      <c r="ACK50" s="12"/>
      <c r="ACL50" s="12"/>
      <c r="ACM50" s="12"/>
      <c r="ACN50" s="12"/>
      <c r="ACO50" s="12"/>
      <c r="ACP50" s="12"/>
      <c r="ACQ50" s="12"/>
      <c r="ACR50" s="12"/>
      <c r="ACS50" s="12"/>
      <c r="ACT50" s="12"/>
      <c r="ACU50" s="12"/>
      <c r="ACV50" s="12"/>
      <c r="ACW50" s="12"/>
      <c r="ACX50" s="12"/>
      <c r="ACY50" s="12"/>
      <c r="ACZ50" s="12"/>
      <c r="ADA50" s="12"/>
      <c r="ADB50" s="12"/>
      <c r="ADC50" s="12"/>
      <c r="ADD50" s="12"/>
      <c r="ADE50" s="12"/>
      <c r="ADF50" s="12"/>
      <c r="ADG50" s="12"/>
      <c r="ADH50" s="12"/>
      <c r="ADI50" s="12"/>
      <c r="ADJ50" s="12"/>
      <c r="ADK50" s="12"/>
      <c r="ADL50" s="12"/>
      <c r="ADM50" s="12"/>
      <c r="ADN50" s="12"/>
      <c r="ADO50" s="12"/>
      <c r="ADP50" s="12"/>
      <c r="ADQ50" s="12"/>
      <c r="ADR50" s="12"/>
      <c r="ADS50" s="12"/>
      <c r="ADT50" s="12"/>
      <c r="ADU50" s="12"/>
      <c r="ADV50" s="12"/>
      <c r="ADW50" s="12"/>
      <c r="ADX50" s="12"/>
      <c r="ADY50" s="12"/>
      <c r="ADZ50" s="12"/>
      <c r="AEA50" s="12"/>
      <c r="AEB50" s="12"/>
      <c r="AEC50" s="12"/>
      <c r="AED50" s="12"/>
      <c r="AEE50" s="12"/>
      <c r="AEF50" s="12"/>
      <c r="AEG50" s="12"/>
      <c r="AEH50" s="12"/>
      <c r="AEI50" s="12"/>
      <c r="AEJ50" s="12"/>
      <c r="AEK50" s="12"/>
      <c r="AEL50" s="12"/>
      <c r="AEM50" s="12"/>
      <c r="AEN50" s="12"/>
      <c r="AEO50" s="12"/>
      <c r="AEP50" s="12"/>
      <c r="AEQ50" s="12"/>
      <c r="AER50" s="12"/>
      <c r="AES50" s="12"/>
      <c r="AET50" s="12"/>
      <c r="AEU50" s="12"/>
      <c r="AEV50" s="12"/>
    </row>
    <row r="51" spans="1:828" s="27" customFormat="1" ht="18" x14ac:dyDescent="0.2">
      <c r="A51" s="61"/>
      <c r="D51" s="29"/>
      <c r="E51" s="23"/>
      <c r="F51" s="23"/>
      <c r="G51" s="23"/>
      <c r="H51" s="30"/>
      <c r="I51" s="23"/>
      <c r="J51" s="29"/>
      <c r="K51" s="30"/>
      <c r="L51" s="23"/>
      <c r="M51" s="29"/>
      <c r="N51" s="47"/>
      <c r="O51" s="47"/>
      <c r="P51" s="48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  <c r="FZ51" s="12"/>
      <c r="GA51" s="12"/>
      <c r="GB51" s="12"/>
      <c r="GC51" s="12"/>
      <c r="GD51" s="12"/>
      <c r="GE51" s="12"/>
      <c r="GF51" s="12"/>
      <c r="GG51" s="12"/>
      <c r="GH51" s="12"/>
      <c r="GI51" s="12"/>
      <c r="GJ51" s="12"/>
      <c r="GK51" s="12"/>
      <c r="GL51" s="12"/>
      <c r="GM51" s="12"/>
      <c r="GN51" s="12"/>
      <c r="GO51" s="12"/>
      <c r="GP51" s="12"/>
      <c r="GQ51" s="12"/>
      <c r="GR51" s="12"/>
      <c r="GS51" s="12"/>
      <c r="GT51" s="12"/>
      <c r="GU51" s="12"/>
      <c r="GV51" s="12"/>
      <c r="GW51" s="12"/>
      <c r="GX51" s="12"/>
      <c r="GY51" s="12"/>
      <c r="GZ51" s="12"/>
      <c r="HA51" s="12"/>
      <c r="HB51" s="12"/>
      <c r="HC51" s="12"/>
      <c r="HD51" s="12"/>
      <c r="HE51" s="12"/>
      <c r="HF51" s="12"/>
      <c r="HG51" s="12"/>
      <c r="HH51" s="12"/>
      <c r="HI51" s="12"/>
      <c r="HJ51" s="12"/>
      <c r="HK51" s="12"/>
      <c r="HL51" s="12"/>
      <c r="HM51" s="12"/>
      <c r="HN51" s="12"/>
      <c r="HO51" s="12"/>
      <c r="HP51" s="12"/>
      <c r="HQ51" s="12"/>
      <c r="HR51" s="12"/>
      <c r="HS51" s="12"/>
      <c r="HT51" s="12"/>
      <c r="HU51" s="12"/>
      <c r="HV51" s="12"/>
      <c r="HW51" s="12"/>
      <c r="HX51" s="12"/>
      <c r="HY51" s="12"/>
      <c r="HZ51" s="12"/>
      <c r="IA51" s="12"/>
      <c r="IB51" s="12"/>
      <c r="IC51" s="12"/>
      <c r="ID51" s="12"/>
      <c r="IE51" s="12"/>
      <c r="IF51" s="12"/>
      <c r="IG51" s="12"/>
      <c r="IH51" s="12"/>
      <c r="II51" s="12"/>
      <c r="IJ51" s="12"/>
      <c r="IK51" s="12"/>
      <c r="IL51" s="12"/>
      <c r="IM51" s="12"/>
      <c r="IN51" s="12"/>
      <c r="IO51" s="12"/>
      <c r="IP51" s="12"/>
      <c r="IQ51" s="12"/>
      <c r="IR51" s="12"/>
      <c r="IS51" s="12"/>
      <c r="IT51" s="12"/>
      <c r="IU51" s="12"/>
      <c r="IV51" s="12"/>
      <c r="IW51" s="12"/>
      <c r="IX51" s="12"/>
      <c r="IY51" s="12"/>
      <c r="IZ51" s="12"/>
      <c r="JA51" s="12"/>
      <c r="JB51" s="12"/>
      <c r="JC51" s="12"/>
      <c r="JD51" s="12"/>
      <c r="JE51" s="12"/>
      <c r="JF51" s="12"/>
      <c r="JG51" s="12"/>
      <c r="JH51" s="12"/>
      <c r="JI51" s="12"/>
      <c r="JJ51" s="12"/>
      <c r="JK51" s="12"/>
      <c r="JL51" s="12"/>
      <c r="JM51" s="12"/>
      <c r="JN51" s="12"/>
      <c r="JO51" s="12"/>
      <c r="JP51" s="12"/>
      <c r="JQ51" s="12"/>
      <c r="JR51" s="12"/>
      <c r="JS51" s="12"/>
      <c r="JT51" s="12"/>
      <c r="JU51" s="12"/>
      <c r="JV51" s="12"/>
      <c r="JW51" s="12"/>
      <c r="JX51" s="12"/>
      <c r="JY51" s="12"/>
      <c r="JZ51" s="12"/>
      <c r="KA51" s="12"/>
      <c r="KB51" s="12"/>
      <c r="KC51" s="12"/>
      <c r="KD51" s="12"/>
      <c r="KE51" s="12"/>
      <c r="KF51" s="12"/>
      <c r="KG51" s="12"/>
      <c r="KH51" s="12"/>
      <c r="KI51" s="12"/>
      <c r="KJ51" s="12"/>
      <c r="KK51" s="12"/>
      <c r="KL51" s="12"/>
      <c r="KM51" s="12"/>
      <c r="KN51" s="12"/>
      <c r="KO51" s="12"/>
      <c r="KP51" s="12"/>
      <c r="KQ51" s="12"/>
      <c r="KR51" s="12"/>
      <c r="KS51" s="12"/>
      <c r="KT51" s="12"/>
      <c r="KU51" s="12"/>
      <c r="KV51" s="12"/>
      <c r="KW51" s="12"/>
      <c r="KX51" s="12"/>
      <c r="KY51" s="12"/>
      <c r="KZ51" s="12"/>
      <c r="LA51" s="12"/>
      <c r="LB51" s="12"/>
      <c r="LC51" s="12"/>
      <c r="LD51" s="12"/>
      <c r="LE51" s="12"/>
      <c r="LF51" s="12"/>
      <c r="LG51" s="12"/>
      <c r="LH51" s="12"/>
      <c r="LI51" s="12"/>
      <c r="LJ51" s="12"/>
      <c r="LK51" s="12"/>
      <c r="LL51" s="12"/>
      <c r="LM51" s="12"/>
      <c r="LN51" s="12"/>
      <c r="LO51" s="12"/>
      <c r="LP51" s="12"/>
      <c r="LQ51" s="12"/>
      <c r="LR51" s="12"/>
      <c r="LS51" s="12"/>
      <c r="LT51" s="12"/>
      <c r="LU51" s="12"/>
      <c r="LV51" s="12"/>
      <c r="LW51" s="12"/>
      <c r="LX51" s="12"/>
      <c r="LY51" s="12"/>
      <c r="LZ51" s="12"/>
      <c r="MA51" s="12"/>
      <c r="MB51" s="12"/>
      <c r="MC51" s="12"/>
      <c r="MD51" s="12"/>
      <c r="ME51" s="12"/>
      <c r="MF51" s="12"/>
      <c r="MG51" s="12"/>
      <c r="MH51" s="12"/>
      <c r="MI51" s="12"/>
      <c r="MJ51" s="12"/>
      <c r="MK51" s="12"/>
      <c r="ML51" s="12"/>
      <c r="MM51" s="12"/>
      <c r="MN51" s="12"/>
      <c r="MO51" s="12"/>
      <c r="MP51" s="12"/>
      <c r="MQ51" s="12"/>
      <c r="MR51" s="12"/>
      <c r="MS51" s="12"/>
      <c r="MT51" s="12"/>
      <c r="MU51" s="12"/>
      <c r="MV51" s="12"/>
      <c r="MW51" s="12"/>
      <c r="MX51" s="12"/>
      <c r="MY51" s="12"/>
      <c r="MZ51" s="12"/>
      <c r="NA51" s="12"/>
      <c r="NB51" s="12"/>
      <c r="NC51" s="12"/>
      <c r="ND51" s="12"/>
      <c r="NE51" s="12"/>
      <c r="NF51" s="12"/>
      <c r="NG51" s="12"/>
      <c r="NH51" s="12"/>
      <c r="NI51" s="12"/>
      <c r="NJ51" s="12"/>
      <c r="NK51" s="12"/>
      <c r="NL51" s="12"/>
      <c r="NM51" s="12"/>
      <c r="NN51" s="12"/>
      <c r="NO51" s="12"/>
      <c r="NP51" s="12"/>
      <c r="NQ51" s="12"/>
      <c r="NR51" s="12"/>
      <c r="NS51" s="12"/>
      <c r="NT51" s="12"/>
      <c r="NU51" s="12"/>
      <c r="NV51" s="12"/>
      <c r="NW51" s="12"/>
      <c r="NX51" s="12"/>
      <c r="NY51" s="12"/>
      <c r="NZ51" s="12"/>
      <c r="OA51" s="12"/>
      <c r="OB51" s="12"/>
      <c r="OC51" s="12"/>
      <c r="OD51" s="12"/>
      <c r="OE51" s="12"/>
      <c r="OF51" s="12"/>
      <c r="OG51" s="12"/>
      <c r="OH51" s="12"/>
      <c r="OI51" s="12"/>
      <c r="OJ51" s="12"/>
      <c r="OK51" s="12"/>
      <c r="OL51" s="12"/>
      <c r="OM51" s="12"/>
      <c r="ON51" s="12"/>
      <c r="OO51" s="12"/>
      <c r="OP51" s="12"/>
      <c r="OQ51" s="12"/>
      <c r="OR51" s="12"/>
      <c r="OS51" s="12"/>
      <c r="OT51" s="12"/>
      <c r="OU51" s="12"/>
      <c r="OV51" s="12"/>
      <c r="OW51" s="12"/>
      <c r="OX51" s="12"/>
      <c r="OY51" s="12"/>
      <c r="OZ51" s="12"/>
      <c r="PA51" s="12"/>
      <c r="PB51" s="12"/>
      <c r="PC51" s="12"/>
      <c r="PD51" s="12"/>
      <c r="PE51" s="12"/>
      <c r="PF51" s="12"/>
      <c r="PG51" s="12"/>
      <c r="PH51" s="12"/>
      <c r="PI51" s="12"/>
      <c r="PJ51" s="12"/>
      <c r="PK51" s="12"/>
      <c r="PL51" s="12"/>
      <c r="PM51" s="12"/>
      <c r="PN51" s="12"/>
      <c r="PO51" s="12"/>
      <c r="PP51" s="12"/>
      <c r="PQ51" s="12"/>
      <c r="PR51" s="12"/>
      <c r="PS51" s="12"/>
      <c r="PT51" s="12"/>
      <c r="PU51" s="12"/>
      <c r="PV51" s="12"/>
      <c r="PW51" s="12"/>
      <c r="PX51" s="12"/>
      <c r="PY51" s="12"/>
      <c r="PZ51" s="12"/>
      <c r="QA51" s="12"/>
      <c r="QB51" s="12"/>
      <c r="QC51" s="12"/>
      <c r="QD51" s="12"/>
      <c r="QE51" s="12"/>
      <c r="QF51" s="12"/>
      <c r="QG51" s="12"/>
      <c r="QH51" s="12"/>
      <c r="QI51" s="12"/>
      <c r="QJ51" s="12"/>
      <c r="QK51" s="12"/>
      <c r="QL51" s="12"/>
      <c r="QM51" s="12"/>
      <c r="QN51" s="12"/>
      <c r="QO51" s="12"/>
      <c r="QP51" s="12"/>
      <c r="QQ51" s="12"/>
      <c r="QR51" s="12"/>
      <c r="QS51" s="12"/>
      <c r="QT51" s="12"/>
      <c r="QU51" s="12"/>
      <c r="QV51" s="12"/>
      <c r="QW51" s="12"/>
      <c r="QX51" s="12"/>
      <c r="QY51" s="12"/>
      <c r="QZ51" s="12"/>
      <c r="RA51" s="12"/>
      <c r="RB51" s="12"/>
      <c r="RC51" s="12"/>
      <c r="RD51" s="12"/>
      <c r="RE51" s="12"/>
      <c r="RF51" s="12"/>
      <c r="RG51" s="12"/>
      <c r="RH51" s="12"/>
      <c r="RI51" s="12"/>
      <c r="RJ51" s="12"/>
      <c r="RK51" s="12"/>
      <c r="RL51" s="12"/>
      <c r="RM51" s="12"/>
      <c r="RN51" s="12"/>
      <c r="RO51" s="12"/>
      <c r="RP51" s="12"/>
      <c r="RQ51" s="12"/>
      <c r="RR51" s="12"/>
      <c r="RS51" s="12"/>
      <c r="RT51" s="12"/>
      <c r="RU51" s="12"/>
      <c r="RV51" s="12"/>
      <c r="RW51" s="12"/>
      <c r="RX51" s="12"/>
      <c r="RY51" s="12"/>
      <c r="RZ51" s="12"/>
      <c r="SA51" s="12"/>
      <c r="SB51" s="12"/>
      <c r="SC51" s="12"/>
      <c r="SD51" s="12"/>
      <c r="SE51" s="12"/>
      <c r="SF51" s="12"/>
      <c r="SG51" s="12"/>
      <c r="SH51" s="12"/>
      <c r="SI51" s="12"/>
      <c r="SJ51" s="12"/>
      <c r="SK51" s="12"/>
      <c r="SL51" s="12"/>
      <c r="SM51" s="12"/>
      <c r="SN51" s="12"/>
      <c r="SO51" s="12"/>
      <c r="SP51" s="12"/>
      <c r="SQ51" s="12"/>
      <c r="SR51" s="12"/>
      <c r="SS51" s="12"/>
      <c r="ST51" s="12"/>
      <c r="SU51" s="12"/>
      <c r="SV51" s="12"/>
      <c r="SW51" s="12"/>
      <c r="SX51" s="12"/>
      <c r="SY51" s="12"/>
      <c r="SZ51" s="12"/>
      <c r="TA51" s="12"/>
      <c r="TB51" s="12"/>
      <c r="TC51" s="12"/>
      <c r="TD51" s="12"/>
      <c r="TE51" s="12"/>
      <c r="TF51" s="12"/>
      <c r="TG51" s="12"/>
      <c r="TH51" s="12"/>
      <c r="TI51" s="12"/>
      <c r="TJ51" s="12"/>
      <c r="TK51" s="12"/>
      <c r="TL51" s="12"/>
      <c r="TM51" s="12"/>
      <c r="TN51" s="12"/>
      <c r="TO51" s="12"/>
      <c r="TP51" s="12"/>
      <c r="TQ51" s="12"/>
      <c r="TR51" s="12"/>
      <c r="TS51" s="12"/>
      <c r="TT51" s="12"/>
      <c r="TU51" s="12"/>
      <c r="TV51" s="12"/>
      <c r="TW51" s="12"/>
      <c r="TX51" s="12"/>
      <c r="TY51" s="12"/>
      <c r="TZ51" s="12"/>
      <c r="UA51" s="12"/>
      <c r="UB51" s="12"/>
      <c r="UC51" s="12"/>
      <c r="UD51" s="12"/>
      <c r="UE51" s="12"/>
      <c r="UF51" s="12"/>
      <c r="UG51" s="12"/>
      <c r="UH51" s="12"/>
      <c r="UI51" s="12"/>
      <c r="UJ51" s="12"/>
      <c r="UK51" s="12"/>
      <c r="UL51" s="12"/>
      <c r="UM51" s="12"/>
      <c r="UN51" s="12"/>
      <c r="UO51" s="12"/>
      <c r="UP51" s="12"/>
      <c r="UQ51" s="12"/>
      <c r="UR51" s="12"/>
      <c r="US51" s="12"/>
      <c r="UT51" s="12"/>
      <c r="UU51" s="12"/>
      <c r="UV51" s="12"/>
      <c r="UW51" s="12"/>
      <c r="UX51" s="12"/>
      <c r="UY51" s="12"/>
      <c r="UZ51" s="12"/>
      <c r="VA51" s="12"/>
      <c r="VB51" s="12"/>
      <c r="VC51" s="12"/>
      <c r="VD51" s="12"/>
      <c r="VE51" s="12"/>
      <c r="VF51" s="12"/>
      <c r="VG51" s="12"/>
      <c r="VH51" s="12"/>
      <c r="VI51" s="12"/>
      <c r="VJ51" s="12"/>
      <c r="VK51" s="12"/>
      <c r="VL51" s="12"/>
      <c r="VM51" s="12"/>
      <c r="VN51" s="12"/>
      <c r="VO51" s="12"/>
      <c r="VP51" s="12"/>
      <c r="VQ51" s="12"/>
      <c r="VR51" s="12"/>
      <c r="VS51" s="12"/>
      <c r="VT51" s="12"/>
      <c r="VU51" s="12"/>
      <c r="VV51" s="12"/>
      <c r="VW51" s="12"/>
      <c r="VX51" s="12"/>
      <c r="VY51" s="12"/>
      <c r="VZ51" s="12"/>
      <c r="WA51" s="12"/>
      <c r="WB51" s="12"/>
      <c r="WC51" s="12"/>
      <c r="WD51" s="12"/>
      <c r="WE51" s="12"/>
      <c r="WF51" s="12"/>
      <c r="WG51" s="12"/>
      <c r="WH51" s="12"/>
      <c r="WI51" s="12"/>
      <c r="WJ51" s="12"/>
      <c r="WK51" s="12"/>
      <c r="WL51" s="12"/>
      <c r="WM51" s="12"/>
      <c r="WN51" s="12"/>
      <c r="WO51" s="12"/>
      <c r="WP51" s="12"/>
      <c r="WQ51" s="12"/>
      <c r="WR51" s="12"/>
      <c r="WS51" s="12"/>
      <c r="WT51" s="12"/>
      <c r="WU51" s="12"/>
      <c r="WV51" s="12"/>
      <c r="WW51" s="12"/>
      <c r="WX51" s="12"/>
      <c r="WY51" s="12"/>
      <c r="WZ51" s="12"/>
      <c r="XA51" s="12"/>
      <c r="XB51" s="12"/>
      <c r="XC51" s="12"/>
      <c r="XD51" s="12"/>
      <c r="XE51" s="12"/>
      <c r="XF51" s="12"/>
      <c r="XG51" s="12"/>
      <c r="XH51" s="12"/>
      <c r="XI51" s="12"/>
      <c r="XJ51" s="12"/>
      <c r="XK51" s="12"/>
      <c r="XL51" s="12"/>
      <c r="XM51" s="12"/>
      <c r="XN51" s="12"/>
      <c r="XO51" s="12"/>
      <c r="XP51" s="12"/>
      <c r="XQ51" s="12"/>
      <c r="XR51" s="12"/>
      <c r="XS51" s="12"/>
      <c r="XT51" s="12"/>
      <c r="XU51" s="12"/>
      <c r="XV51" s="12"/>
      <c r="XW51" s="12"/>
      <c r="XX51" s="12"/>
      <c r="XY51" s="12"/>
      <c r="XZ51" s="12"/>
      <c r="YA51" s="12"/>
      <c r="YB51" s="12"/>
      <c r="YC51" s="12"/>
      <c r="YD51" s="12"/>
      <c r="YE51" s="12"/>
      <c r="YF51" s="12"/>
      <c r="YG51" s="12"/>
      <c r="YH51" s="12"/>
      <c r="YI51" s="12"/>
      <c r="YJ51" s="12"/>
      <c r="YK51" s="12"/>
      <c r="YL51" s="12"/>
      <c r="YM51" s="12"/>
      <c r="YN51" s="12"/>
      <c r="YO51" s="12"/>
      <c r="YP51" s="12"/>
      <c r="YQ51" s="12"/>
      <c r="YR51" s="12"/>
      <c r="YS51" s="12"/>
      <c r="YT51" s="12"/>
      <c r="YU51" s="12"/>
      <c r="YV51" s="12"/>
      <c r="YW51" s="12"/>
      <c r="YX51" s="12"/>
      <c r="YY51" s="12"/>
      <c r="YZ51" s="12"/>
      <c r="ZA51" s="12"/>
      <c r="ZB51" s="12"/>
      <c r="ZC51" s="12"/>
      <c r="ZD51" s="12"/>
      <c r="ZE51" s="12"/>
      <c r="ZF51" s="12"/>
      <c r="ZG51" s="12"/>
      <c r="ZH51" s="12"/>
      <c r="ZI51" s="12"/>
      <c r="ZJ51" s="12"/>
      <c r="ZK51" s="12"/>
      <c r="ZL51" s="12"/>
      <c r="ZM51" s="12"/>
      <c r="ZN51" s="12"/>
      <c r="ZO51" s="12"/>
      <c r="ZP51" s="12"/>
      <c r="ZQ51" s="12"/>
      <c r="ZR51" s="12"/>
      <c r="ZS51" s="12"/>
      <c r="ZT51" s="12"/>
      <c r="ZU51" s="12"/>
      <c r="ZV51" s="12"/>
      <c r="ZW51" s="12"/>
      <c r="ZX51" s="12"/>
      <c r="ZY51" s="12"/>
      <c r="ZZ51" s="12"/>
      <c r="AAA51" s="12"/>
      <c r="AAB51" s="12"/>
      <c r="AAC51" s="12"/>
      <c r="AAD51" s="12"/>
      <c r="AAE51" s="12"/>
      <c r="AAF51" s="12"/>
      <c r="AAG51" s="12"/>
      <c r="AAH51" s="12"/>
      <c r="AAI51" s="12"/>
      <c r="AAJ51" s="12"/>
      <c r="AAK51" s="12"/>
      <c r="AAL51" s="12"/>
      <c r="AAM51" s="12"/>
      <c r="AAN51" s="12"/>
      <c r="AAO51" s="12"/>
      <c r="AAP51" s="12"/>
      <c r="AAQ51" s="12"/>
      <c r="AAR51" s="12"/>
      <c r="AAS51" s="12"/>
      <c r="AAT51" s="12"/>
      <c r="AAU51" s="12"/>
      <c r="AAV51" s="12"/>
      <c r="AAW51" s="12"/>
      <c r="AAX51" s="12"/>
      <c r="AAY51" s="12"/>
      <c r="AAZ51" s="12"/>
      <c r="ABA51" s="12"/>
      <c r="ABB51" s="12"/>
      <c r="ABC51" s="12"/>
      <c r="ABD51" s="12"/>
      <c r="ABE51" s="12"/>
      <c r="ABF51" s="12"/>
      <c r="ABG51" s="12"/>
      <c r="ABH51" s="12"/>
      <c r="ABI51" s="12"/>
      <c r="ABJ51" s="12"/>
      <c r="ABK51" s="12"/>
      <c r="ABL51" s="12"/>
      <c r="ABM51" s="12"/>
      <c r="ABN51" s="12"/>
      <c r="ABO51" s="12"/>
      <c r="ABP51" s="12"/>
      <c r="ABQ51" s="12"/>
      <c r="ABR51" s="12"/>
      <c r="ABS51" s="12"/>
      <c r="ABT51" s="12"/>
      <c r="ABU51" s="12"/>
      <c r="ABV51" s="12"/>
      <c r="ABW51" s="12"/>
      <c r="ABX51" s="12"/>
      <c r="ABY51" s="12"/>
      <c r="ABZ51" s="12"/>
      <c r="ACA51" s="12"/>
      <c r="ACB51" s="12"/>
      <c r="ACC51" s="12"/>
      <c r="ACD51" s="12"/>
      <c r="ACE51" s="12"/>
      <c r="ACF51" s="12"/>
      <c r="ACG51" s="12"/>
      <c r="ACH51" s="12"/>
      <c r="ACI51" s="12"/>
      <c r="ACJ51" s="12"/>
      <c r="ACK51" s="12"/>
      <c r="ACL51" s="12"/>
      <c r="ACM51" s="12"/>
      <c r="ACN51" s="12"/>
      <c r="ACO51" s="12"/>
      <c r="ACP51" s="12"/>
      <c r="ACQ51" s="12"/>
      <c r="ACR51" s="12"/>
      <c r="ACS51" s="12"/>
      <c r="ACT51" s="12"/>
      <c r="ACU51" s="12"/>
      <c r="ACV51" s="12"/>
      <c r="ACW51" s="12"/>
      <c r="ACX51" s="12"/>
      <c r="ACY51" s="12"/>
      <c r="ACZ51" s="12"/>
      <c r="ADA51" s="12"/>
      <c r="ADB51" s="12"/>
      <c r="ADC51" s="12"/>
      <c r="ADD51" s="12"/>
      <c r="ADE51" s="12"/>
      <c r="ADF51" s="12"/>
      <c r="ADG51" s="12"/>
      <c r="ADH51" s="12"/>
      <c r="ADI51" s="12"/>
      <c r="ADJ51" s="12"/>
      <c r="ADK51" s="12"/>
      <c r="ADL51" s="12"/>
      <c r="ADM51" s="12"/>
      <c r="ADN51" s="12"/>
      <c r="ADO51" s="12"/>
      <c r="ADP51" s="12"/>
      <c r="ADQ51" s="12"/>
      <c r="ADR51" s="12"/>
      <c r="ADS51" s="12"/>
      <c r="ADT51" s="12"/>
      <c r="ADU51" s="12"/>
      <c r="ADV51" s="12"/>
      <c r="ADW51" s="12"/>
      <c r="ADX51" s="12"/>
      <c r="ADY51" s="12"/>
      <c r="ADZ51" s="12"/>
      <c r="AEA51" s="12"/>
      <c r="AEB51" s="12"/>
      <c r="AEC51" s="12"/>
      <c r="AED51" s="12"/>
      <c r="AEE51" s="12"/>
      <c r="AEF51" s="12"/>
      <c r="AEG51" s="12"/>
      <c r="AEH51" s="12"/>
      <c r="AEI51" s="12"/>
      <c r="AEJ51" s="12"/>
      <c r="AEK51" s="12"/>
      <c r="AEL51" s="12"/>
      <c r="AEM51" s="12"/>
      <c r="AEN51" s="12"/>
      <c r="AEO51" s="12"/>
      <c r="AEP51" s="12"/>
      <c r="AEQ51" s="12"/>
      <c r="AER51" s="12"/>
      <c r="AES51" s="12"/>
      <c r="AET51" s="12"/>
      <c r="AEU51" s="12"/>
      <c r="AEV51" s="12"/>
    </row>
    <row r="52" spans="1:828" s="27" customFormat="1" ht="18" x14ac:dyDescent="0.2">
      <c r="A52" s="61"/>
      <c r="D52" s="29"/>
      <c r="E52" s="23"/>
      <c r="F52" s="23"/>
      <c r="G52" s="23"/>
      <c r="H52" s="30"/>
      <c r="I52" s="23"/>
      <c r="J52" s="29"/>
      <c r="K52" s="30"/>
      <c r="L52" s="23"/>
      <c r="M52" s="29"/>
      <c r="N52" s="47"/>
      <c r="O52" s="47"/>
      <c r="P52" s="48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  <c r="FZ52" s="12"/>
      <c r="GA52" s="12"/>
      <c r="GB52" s="12"/>
      <c r="GC52" s="12"/>
      <c r="GD52" s="12"/>
      <c r="GE52" s="12"/>
      <c r="GF52" s="12"/>
      <c r="GG52" s="12"/>
      <c r="GH52" s="12"/>
      <c r="GI52" s="12"/>
      <c r="GJ52" s="12"/>
      <c r="GK52" s="12"/>
      <c r="GL52" s="12"/>
      <c r="GM52" s="12"/>
      <c r="GN52" s="12"/>
      <c r="GO52" s="12"/>
      <c r="GP52" s="12"/>
      <c r="GQ52" s="12"/>
      <c r="GR52" s="12"/>
      <c r="GS52" s="12"/>
      <c r="GT52" s="12"/>
      <c r="GU52" s="12"/>
      <c r="GV52" s="12"/>
      <c r="GW52" s="12"/>
      <c r="GX52" s="12"/>
      <c r="GY52" s="12"/>
      <c r="GZ52" s="12"/>
      <c r="HA52" s="12"/>
      <c r="HB52" s="12"/>
      <c r="HC52" s="12"/>
      <c r="HD52" s="12"/>
      <c r="HE52" s="12"/>
      <c r="HF52" s="12"/>
      <c r="HG52" s="12"/>
      <c r="HH52" s="12"/>
      <c r="HI52" s="12"/>
      <c r="HJ52" s="12"/>
      <c r="HK52" s="12"/>
      <c r="HL52" s="12"/>
      <c r="HM52" s="12"/>
      <c r="HN52" s="12"/>
      <c r="HO52" s="12"/>
      <c r="HP52" s="12"/>
      <c r="HQ52" s="12"/>
      <c r="HR52" s="12"/>
      <c r="HS52" s="12"/>
      <c r="HT52" s="12"/>
      <c r="HU52" s="12"/>
      <c r="HV52" s="12"/>
      <c r="HW52" s="12"/>
      <c r="HX52" s="12"/>
      <c r="HY52" s="12"/>
      <c r="HZ52" s="12"/>
      <c r="IA52" s="12"/>
      <c r="IB52" s="12"/>
      <c r="IC52" s="12"/>
      <c r="ID52" s="12"/>
      <c r="IE52" s="12"/>
      <c r="IF52" s="12"/>
      <c r="IG52" s="12"/>
      <c r="IH52" s="12"/>
      <c r="II52" s="12"/>
      <c r="IJ52" s="12"/>
      <c r="IK52" s="12"/>
      <c r="IL52" s="12"/>
      <c r="IM52" s="12"/>
      <c r="IN52" s="12"/>
      <c r="IO52" s="12"/>
      <c r="IP52" s="12"/>
      <c r="IQ52" s="12"/>
      <c r="IR52" s="12"/>
      <c r="IS52" s="12"/>
      <c r="IT52" s="12"/>
      <c r="IU52" s="12"/>
      <c r="IV52" s="12"/>
      <c r="IW52" s="12"/>
      <c r="IX52" s="12"/>
      <c r="IY52" s="12"/>
      <c r="IZ52" s="12"/>
      <c r="JA52" s="12"/>
      <c r="JB52" s="12"/>
      <c r="JC52" s="12"/>
      <c r="JD52" s="12"/>
      <c r="JE52" s="12"/>
      <c r="JF52" s="12"/>
      <c r="JG52" s="12"/>
      <c r="JH52" s="12"/>
      <c r="JI52" s="12"/>
      <c r="JJ52" s="12"/>
      <c r="JK52" s="12"/>
      <c r="JL52" s="12"/>
      <c r="JM52" s="12"/>
      <c r="JN52" s="12"/>
      <c r="JO52" s="12"/>
      <c r="JP52" s="12"/>
      <c r="JQ52" s="12"/>
      <c r="JR52" s="12"/>
      <c r="JS52" s="12"/>
      <c r="JT52" s="12"/>
      <c r="JU52" s="12"/>
      <c r="JV52" s="12"/>
      <c r="JW52" s="12"/>
      <c r="JX52" s="12"/>
      <c r="JY52" s="12"/>
      <c r="JZ52" s="12"/>
      <c r="KA52" s="12"/>
      <c r="KB52" s="12"/>
      <c r="KC52" s="12"/>
      <c r="KD52" s="12"/>
      <c r="KE52" s="12"/>
      <c r="KF52" s="12"/>
      <c r="KG52" s="12"/>
      <c r="KH52" s="12"/>
      <c r="KI52" s="12"/>
      <c r="KJ52" s="12"/>
      <c r="KK52" s="12"/>
      <c r="KL52" s="12"/>
      <c r="KM52" s="12"/>
      <c r="KN52" s="12"/>
      <c r="KO52" s="12"/>
      <c r="KP52" s="12"/>
      <c r="KQ52" s="12"/>
      <c r="KR52" s="12"/>
      <c r="KS52" s="12"/>
      <c r="KT52" s="12"/>
      <c r="KU52" s="12"/>
      <c r="KV52" s="12"/>
      <c r="KW52" s="12"/>
      <c r="KX52" s="12"/>
      <c r="KY52" s="12"/>
      <c r="KZ52" s="12"/>
      <c r="LA52" s="12"/>
      <c r="LB52" s="12"/>
      <c r="LC52" s="12"/>
      <c r="LD52" s="12"/>
      <c r="LE52" s="12"/>
      <c r="LF52" s="12"/>
      <c r="LG52" s="12"/>
      <c r="LH52" s="12"/>
      <c r="LI52" s="12"/>
      <c r="LJ52" s="12"/>
      <c r="LK52" s="12"/>
      <c r="LL52" s="12"/>
      <c r="LM52" s="12"/>
      <c r="LN52" s="12"/>
      <c r="LO52" s="12"/>
      <c r="LP52" s="12"/>
      <c r="LQ52" s="12"/>
      <c r="LR52" s="12"/>
      <c r="LS52" s="12"/>
      <c r="LT52" s="12"/>
      <c r="LU52" s="12"/>
      <c r="LV52" s="12"/>
      <c r="LW52" s="12"/>
      <c r="LX52" s="12"/>
      <c r="LY52" s="12"/>
      <c r="LZ52" s="12"/>
      <c r="MA52" s="12"/>
      <c r="MB52" s="12"/>
      <c r="MC52" s="12"/>
      <c r="MD52" s="12"/>
      <c r="ME52" s="12"/>
      <c r="MF52" s="12"/>
      <c r="MG52" s="12"/>
      <c r="MH52" s="12"/>
      <c r="MI52" s="12"/>
      <c r="MJ52" s="12"/>
      <c r="MK52" s="12"/>
      <c r="ML52" s="12"/>
      <c r="MM52" s="12"/>
      <c r="MN52" s="12"/>
      <c r="MO52" s="12"/>
      <c r="MP52" s="12"/>
      <c r="MQ52" s="12"/>
      <c r="MR52" s="12"/>
      <c r="MS52" s="12"/>
      <c r="MT52" s="12"/>
      <c r="MU52" s="12"/>
      <c r="MV52" s="12"/>
      <c r="MW52" s="12"/>
      <c r="MX52" s="12"/>
      <c r="MY52" s="12"/>
      <c r="MZ52" s="12"/>
      <c r="NA52" s="12"/>
      <c r="NB52" s="12"/>
      <c r="NC52" s="12"/>
      <c r="ND52" s="12"/>
      <c r="NE52" s="12"/>
      <c r="NF52" s="12"/>
      <c r="NG52" s="12"/>
      <c r="NH52" s="12"/>
      <c r="NI52" s="12"/>
      <c r="NJ52" s="12"/>
      <c r="NK52" s="12"/>
      <c r="NL52" s="12"/>
      <c r="NM52" s="12"/>
      <c r="NN52" s="12"/>
      <c r="NO52" s="12"/>
      <c r="NP52" s="12"/>
      <c r="NQ52" s="12"/>
      <c r="NR52" s="12"/>
      <c r="NS52" s="12"/>
      <c r="NT52" s="12"/>
      <c r="NU52" s="12"/>
      <c r="NV52" s="12"/>
      <c r="NW52" s="12"/>
      <c r="NX52" s="12"/>
      <c r="NY52" s="12"/>
      <c r="NZ52" s="12"/>
      <c r="OA52" s="12"/>
      <c r="OB52" s="12"/>
      <c r="OC52" s="12"/>
      <c r="OD52" s="12"/>
      <c r="OE52" s="12"/>
      <c r="OF52" s="12"/>
      <c r="OG52" s="12"/>
      <c r="OH52" s="12"/>
      <c r="OI52" s="12"/>
      <c r="OJ52" s="12"/>
      <c r="OK52" s="12"/>
      <c r="OL52" s="12"/>
      <c r="OM52" s="12"/>
      <c r="ON52" s="12"/>
      <c r="OO52" s="12"/>
      <c r="OP52" s="12"/>
      <c r="OQ52" s="12"/>
      <c r="OR52" s="12"/>
      <c r="OS52" s="12"/>
      <c r="OT52" s="12"/>
      <c r="OU52" s="12"/>
      <c r="OV52" s="12"/>
      <c r="OW52" s="12"/>
      <c r="OX52" s="12"/>
      <c r="OY52" s="12"/>
      <c r="OZ52" s="12"/>
      <c r="PA52" s="12"/>
      <c r="PB52" s="12"/>
      <c r="PC52" s="12"/>
      <c r="PD52" s="12"/>
      <c r="PE52" s="12"/>
      <c r="PF52" s="12"/>
      <c r="PG52" s="12"/>
      <c r="PH52" s="12"/>
      <c r="PI52" s="12"/>
      <c r="PJ52" s="12"/>
      <c r="PK52" s="12"/>
      <c r="PL52" s="12"/>
      <c r="PM52" s="12"/>
      <c r="PN52" s="12"/>
      <c r="PO52" s="12"/>
      <c r="PP52" s="12"/>
      <c r="PQ52" s="12"/>
      <c r="PR52" s="12"/>
      <c r="PS52" s="12"/>
      <c r="PT52" s="12"/>
      <c r="PU52" s="12"/>
      <c r="PV52" s="12"/>
      <c r="PW52" s="12"/>
      <c r="PX52" s="12"/>
      <c r="PY52" s="12"/>
      <c r="PZ52" s="12"/>
      <c r="QA52" s="12"/>
      <c r="QB52" s="12"/>
      <c r="QC52" s="12"/>
      <c r="QD52" s="12"/>
      <c r="QE52" s="12"/>
      <c r="QF52" s="12"/>
      <c r="QG52" s="12"/>
      <c r="QH52" s="12"/>
      <c r="QI52" s="12"/>
      <c r="QJ52" s="12"/>
      <c r="QK52" s="12"/>
      <c r="QL52" s="12"/>
      <c r="QM52" s="12"/>
      <c r="QN52" s="12"/>
      <c r="QO52" s="12"/>
      <c r="QP52" s="12"/>
      <c r="QQ52" s="12"/>
      <c r="QR52" s="12"/>
      <c r="QS52" s="12"/>
      <c r="QT52" s="12"/>
      <c r="QU52" s="12"/>
      <c r="QV52" s="12"/>
      <c r="QW52" s="12"/>
      <c r="QX52" s="12"/>
      <c r="QY52" s="12"/>
      <c r="QZ52" s="12"/>
      <c r="RA52" s="12"/>
      <c r="RB52" s="12"/>
      <c r="RC52" s="12"/>
      <c r="RD52" s="12"/>
      <c r="RE52" s="12"/>
      <c r="RF52" s="12"/>
      <c r="RG52" s="12"/>
      <c r="RH52" s="12"/>
      <c r="RI52" s="12"/>
      <c r="RJ52" s="12"/>
      <c r="RK52" s="12"/>
      <c r="RL52" s="12"/>
      <c r="RM52" s="12"/>
      <c r="RN52" s="12"/>
      <c r="RO52" s="12"/>
      <c r="RP52" s="12"/>
      <c r="RQ52" s="12"/>
      <c r="RR52" s="12"/>
      <c r="RS52" s="12"/>
      <c r="RT52" s="12"/>
      <c r="RU52" s="12"/>
      <c r="RV52" s="12"/>
      <c r="RW52" s="12"/>
      <c r="RX52" s="12"/>
      <c r="RY52" s="12"/>
      <c r="RZ52" s="12"/>
      <c r="SA52" s="12"/>
      <c r="SB52" s="12"/>
      <c r="SC52" s="12"/>
      <c r="SD52" s="12"/>
      <c r="SE52" s="12"/>
      <c r="SF52" s="12"/>
      <c r="SG52" s="12"/>
      <c r="SH52" s="12"/>
      <c r="SI52" s="12"/>
      <c r="SJ52" s="12"/>
      <c r="SK52" s="12"/>
      <c r="SL52" s="12"/>
      <c r="SM52" s="12"/>
      <c r="SN52" s="12"/>
      <c r="SO52" s="12"/>
      <c r="SP52" s="12"/>
      <c r="SQ52" s="12"/>
      <c r="SR52" s="12"/>
      <c r="SS52" s="12"/>
      <c r="ST52" s="12"/>
      <c r="SU52" s="12"/>
      <c r="SV52" s="12"/>
      <c r="SW52" s="12"/>
      <c r="SX52" s="12"/>
      <c r="SY52" s="12"/>
      <c r="SZ52" s="12"/>
      <c r="TA52" s="12"/>
      <c r="TB52" s="12"/>
      <c r="TC52" s="12"/>
      <c r="TD52" s="12"/>
      <c r="TE52" s="12"/>
      <c r="TF52" s="12"/>
      <c r="TG52" s="12"/>
      <c r="TH52" s="12"/>
      <c r="TI52" s="12"/>
      <c r="TJ52" s="12"/>
      <c r="TK52" s="12"/>
      <c r="TL52" s="12"/>
      <c r="TM52" s="12"/>
      <c r="TN52" s="12"/>
      <c r="TO52" s="12"/>
      <c r="TP52" s="12"/>
      <c r="TQ52" s="12"/>
      <c r="TR52" s="12"/>
      <c r="TS52" s="12"/>
      <c r="TT52" s="12"/>
      <c r="TU52" s="12"/>
      <c r="TV52" s="12"/>
      <c r="TW52" s="12"/>
      <c r="TX52" s="12"/>
      <c r="TY52" s="12"/>
      <c r="TZ52" s="12"/>
      <c r="UA52" s="12"/>
      <c r="UB52" s="12"/>
      <c r="UC52" s="12"/>
      <c r="UD52" s="12"/>
      <c r="UE52" s="12"/>
      <c r="UF52" s="12"/>
      <c r="UG52" s="12"/>
      <c r="UH52" s="12"/>
      <c r="UI52" s="12"/>
      <c r="UJ52" s="12"/>
      <c r="UK52" s="12"/>
      <c r="UL52" s="12"/>
      <c r="UM52" s="12"/>
      <c r="UN52" s="12"/>
      <c r="UO52" s="12"/>
      <c r="UP52" s="12"/>
      <c r="UQ52" s="12"/>
      <c r="UR52" s="12"/>
      <c r="US52" s="12"/>
      <c r="UT52" s="12"/>
      <c r="UU52" s="12"/>
      <c r="UV52" s="12"/>
      <c r="UW52" s="12"/>
      <c r="UX52" s="12"/>
      <c r="UY52" s="12"/>
      <c r="UZ52" s="12"/>
      <c r="VA52" s="12"/>
      <c r="VB52" s="12"/>
      <c r="VC52" s="12"/>
      <c r="VD52" s="12"/>
      <c r="VE52" s="12"/>
      <c r="VF52" s="12"/>
      <c r="VG52" s="12"/>
      <c r="VH52" s="12"/>
      <c r="VI52" s="12"/>
      <c r="VJ52" s="12"/>
      <c r="VK52" s="12"/>
      <c r="VL52" s="12"/>
      <c r="VM52" s="12"/>
      <c r="VN52" s="12"/>
      <c r="VO52" s="12"/>
      <c r="VP52" s="12"/>
      <c r="VQ52" s="12"/>
      <c r="VR52" s="12"/>
      <c r="VS52" s="12"/>
      <c r="VT52" s="12"/>
      <c r="VU52" s="12"/>
      <c r="VV52" s="12"/>
      <c r="VW52" s="12"/>
      <c r="VX52" s="12"/>
      <c r="VY52" s="12"/>
      <c r="VZ52" s="12"/>
      <c r="WA52" s="12"/>
      <c r="WB52" s="12"/>
      <c r="WC52" s="12"/>
      <c r="WD52" s="12"/>
      <c r="WE52" s="12"/>
      <c r="WF52" s="12"/>
      <c r="WG52" s="12"/>
      <c r="WH52" s="12"/>
      <c r="WI52" s="12"/>
      <c r="WJ52" s="12"/>
      <c r="WK52" s="12"/>
      <c r="WL52" s="12"/>
      <c r="WM52" s="12"/>
      <c r="WN52" s="12"/>
      <c r="WO52" s="12"/>
      <c r="WP52" s="12"/>
      <c r="WQ52" s="12"/>
      <c r="WR52" s="12"/>
      <c r="WS52" s="12"/>
      <c r="WT52" s="12"/>
      <c r="WU52" s="12"/>
      <c r="WV52" s="12"/>
      <c r="WW52" s="12"/>
      <c r="WX52" s="12"/>
      <c r="WY52" s="12"/>
      <c r="WZ52" s="12"/>
      <c r="XA52" s="12"/>
      <c r="XB52" s="12"/>
      <c r="XC52" s="12"/>
      <c r="XD52" s="12"/>
      <c r="XE52" s="12"/>
      <c r="XF52" s="12"/>
      <c r="XG52" s="12"/>
      <c r="XH52" s="12"/>
      <c r="XI52" s="12"/>
      <c r="XJ52" s="12"/>
      <c r="XK52" s="12"/>
      <c r="XL52" s="12"/>
      <c r="XM52" s="12"/>
      <c r="XN52" s="12"/>
      <c r="XO52" s="12"/>
      <c r="XP52" s="12"/>
      <c r="XQ52" s="12"/>
      <c r="XR52" s="12"/>
      <c r="XS52" s="12"/>
      <c r="XT52" s="12"/>
      <c r="XU52" s="12"/>
      <c r="XV52" s="12"/>
      <c r="XW52" s="12"/>
      <c r="XX52" s="12"/>
      <c r="XY52" s="12"/>
      <c r="XZ52" s="12"/>
      <c r="YA52" s="12"/>
      <c r="YB52" s="12"/>
      <c r="YC52" s="12"/>
      <c r="YD52" s="12"/>
      <c r="YE52" s="12"/>
      <c r="YF52" s="12"/>
      <c r="YG52" s="12"/>
      <c r="YH52" s="12"/>
      <c r="YI52" s="12"/>
      <c r="YJ52" s="12"/>
      <c r="YK52" s="12"/>
      <c r="YL52" s="12"/>
      <c r="YM52" s="12"/>
      <c r="YN52" s="12"/>
      <c r="YO52" s="12"/>
      <c r="YP52" s="12"/>
      <c r="YQ52" s="12"/>
      <c r="YR52" s="12"/>
      <c r="YS52" s="12"/>
      <c r="YT52" s="12"/>
      <c r="YU52" s="12"/>
      <c r="YV52" s="12"/>
      <c r="YW52" s="12"/>
      <c r="YX52" s="12"/>
      <c r="YY52" s="12"/>
      <c r="YZ52" s="12"/>
      <c r="ZA52" s="12"/>
      <c r="ZB52" s="12"/>
      <c r="ZC52" s="12"/>
      <c r="ZD52" s="12"/>
      <c r="ZE52" s="12"/>
      <c r="ZF52" s="12"/>
      <c r="ZG52" s="12"/>
      <c r="ZH52" s="12"/>
      <c r="ZI52" s="12"/>
      <c r="ZJ52" s="12"/>
      <c r="ZK52" s="12"/>
      <c r="ZL52" s="12"/>
      <c r="ZM52" s="12"/>
      <c r="ZN52" s="12"/>
      <c r="ZO52" s="12"/>
      <c r="ZP52" s="12"/>
      <c r="ZQ52" s="12"/>
      <c r="ZR52" s="12"/>
      <c r="ZS52" s="12"/>
      <c r="ZT52" s="12"/>
      <c r="ZU52" s="12"/>
      <c r="ZV52" s="12"/>
      <c r="ZW52" s="12"/>
      <c r="ZX52" s="12"/>
      <c r="ZY52" s="12"/>
      <c r="ZZ52" s="12"/>
      <c r="AAA52" s="12"/>
      <c r="AAB52" s="12"/>
      <c r="AAC52" s="12"/>
      <c r="AAD52" s="12"/>
      <c r="AAE52" s="12"/>
      <c r="AAF52" s="12"/>
      <c r="AAG52" s="12"/>
      <c r="AAH52" s="12"/>
      <c r="AAI52" s="12"/>
      <c r="AAJ52" s="12"/>
      <c r="AAK52" s="12"/>
      <c r="AAL52" s="12"/>
      <c r="AAM52" s="12"/>
      <c r="AAN52" s="12"/>
      <c r="AAO52" s="12"/>
      <c r="AAP52" s="12"/>
      <c r="AAQ52" s="12"/>
      <c r="AAR52" s="12"/>
      <c r="AAS52" s="12"/>
      <c r="AAT52" s="12"/>
      <c r="AAU52" s="12"/>
      <c r="AAV52" s="12"/>
      <c r="AAW52" s="12"/>
      <c r="AAX52" s="12"/>
      <c r="AAY52" s="12"/>
      <c r="AAZ52" s="12"/>
      <c r="ABA52" s="12"/>
      <c r="ABB52" s="12"/>
      <c r="ABC52" s="12"/>
      <c r="ABD52" s="12"/>
      <c r="ABE52" s="12"/>
      <c r="ABF52" s="12"/>
      <c r="ABG52" s="12"/>
      <c r="ABH52" s="12"/>
      <c r="ABI52" s="12"/>
      <c r="ABJ52" s="12"/>
      <c r="ABK52" s="12"/>
      <c r="ABL52" s="12"/>
      <c r="ABM52" s="12"/>
      <c r="ABN52" s="12"/>
      <c r="ABO52" s="12"/>
      <c r="ABP52" s="12"/>
      <c r="ABQ52" s="12"/>
      <c r="ABR52" s="12"/>
      <c r="ABS52" s="12"/>
      <c r="ABT52" s="12"/>
      <c r="ABU52" s="12"/>
      <c r="ABV52" s="12"/>
      <c r="ABW52" s="12"/>
      <c r="ABX52" s="12"/>
      <c r="ABY52" s="12"/>
      <c r="ABZ52" s="12"/>
      <c r="ACA52" s="12"/>
      <c r="ACB52" s="12"/>
      <c r="ACC52" s="12"/>
      <c r="ACD52" s="12"/>
      <c r="ACE52" s="12"/>
      <c r="ACF52" s="12"/>
      <c r="ACG52" s="12"/>
      <c r="ACH52" s="12"/>
      <c r="ACI52" s="12"/>
      <c r="ACJ52" s="12"/>
      <c r="ACK52" s="12"/>
      <c r="ACL52" s="12"/>
      <c r="ACM52" s="12"/>
      <c r="ACN52" s="12"/>
      <c r="ACO52" s="12"/>
      <c r="ACP52" s="12"/>
      <c r="ACQ52" s="12"/>
      <c r="ACR52" s="12"/>
      <c r="ACS52" s="12"/>
      <c r="ACT52" s="12"/>
      <c r="ACU52" s="12"/>
      <c r="ACV52" s="12"/>
      <c r="ACW52" s="12"/>
      <c r="ACX52" s="12"/>
      <c r="ACY52" s="12"/>
      <c r="ACZ52" s="12"/>
      <c r="ADA52" s="12"/>
      <c r="ADB52" s="12"/>
      <c r="ADC52" s="12"/>
      <c r="ADD52" s="12"/>
      <c r="ADE52" s="12"/>
      <c r="ADF52" s="12"/>
      <c r="ADG52" s="12"/>
      <c r="ADH52" s="12"/>
      <c r="ADI52" s="12"/>
      <c r="ADJ52" s="12"/>
      <c r="ADK52" s="12"/>
      <c r="ADL52" s="12"/>
      <c r="ADM52" s="12"/>
      <c r="ADN52" s="12"/>
      <c r="ADO52" s="12"/>
      <c r="ADP52" s="12"/>
      <c r="ADQ52" s="12"/>
      <c r="ADR52" s="12"/>
      <c r="ADS52" s="12"/>
      <c r="ADT52" s="12"/>
      <c r="ADU52" s="12"/>
      <c r="ADV52" s="12"/>
      <c r="ADW52" s="12"/>
      <c r="ADX52" s="12"/>
      <c r="ADY52" s="12"/>
      <c r="ADZ52" s="12"/>
      <c r="AEA52" s="12"/>
      <c r="AEB52" s="12"/>
      <c r="AEC52" s="12"/>
      <c r="AED52" s="12"/>
      <c r="AEE52" s="12"/>
      <c r="AEF52" s="12"/>
      <c r="AEG52" s="12"/>
      <c r="AEH52" s="12"/>
      <c r="AEI52" s="12"/>
      <c r="AEJ52" s="12"/>
      <c r="AEK52" s="12"/>
      <c r="AEL52" s="12"/>
      <c r="AEM52" s="12"/>
      <c r="AEN52" s="12"/>
      <c r="AEO52" s="12"/>
      <c r="AEP52" s="12"/>
      <c r="AEQ52" s="12"/>
      <c r="AER52" s="12"/>
      <c r="AES52" s="12"/>
      <c r="AET52" s="12"/>
      <c r="AEU52" s="12"/>
      <c r="AEV52" s="12"/>
    </row>
    <row r="53" spans="1:828" s="27" customFormat="1" ht="18" x14ac:dyDescent="0.2">
      <c r="A53" s="61"/>
      <c r="D53" s="29"/>
      <c r="E53" s="23"/>
      <c r="F53" s="23"/>
      <c r="G53" s="23"/>
      <c r="H53" s="30"/>
      <c r="K53" s="30"/>
      <c r="L53" s="23"/>
      <c r="M53" s="29"/>
      <c r="N53" s="47"/>
      <c r="O53" s="47"/>
      <c r="P53" s="48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2"/>
      <c r="EJ53" s="12"/>
      <c r="EK53" s="12"/>
      <c r="EL53" s="12"/>
      <c r="EM53" s="12"/>
      <c r="EN53" s="12"/>
      <c r="EO53" s="12"/>
      <c r="EP53" s="12"/>
      <c r="EQ53" s="12"/>
      <c r="ER53" s="12"/>
      <c r="ES53" s="12"/>
      <c r="ET53" s="12"/>
      <c r="EU53" s="12"/>
      <c r="EV53" s="12"/>
      <c r="EW53" s="12"/>
      <c r="EX53" s="12"/>
      <c r="EY53" s="12"/>
      <c r="EZ53" s="12"/>
      <c r="FA53" s="12"/>
      <c r="FB53" s="12"/>
      <c r="FC53" s="12"/>
      <c r="FD53" s="12"/>
      <c r="FE53" s="12"/>
      <c r="FF53" s="12"/>
      <c r="FG53" s="12"/>
      <c r="FH53" s="12"/>
      <c r="FI53" s="12"/>
      <c r="FJ53" s="12"/>
      <c r="FK53" s="12"/>
      <c r="FL53" s="12"/>
      <c r="FM53" s="12"/>
      <c r="FN53" s="12"/>
      <c r="FO53" s="12"/>
      <c r="FP53" s="12"/>
      <c r="FQ53" s="12"/>
      <c r="FR53" s="12"/>
      <c r="FS53" s="12"/>
      <c r="FT53" s="12"/>
      <c r="FU53" s="12"/>
      <c r="FV53" s="12"/>
      <c r="FW53" s="12"/>
      <c r="FX53" s="12"/>
      <c r="FY53" s="12"/>
      <c r="FZ53" s="12"/>
      <c r="GA53" s="12"/>
      <c r="GB53" s="12"/>
      <c r="GC53" s="12"/>
      <c r="GD53" s="12"/>
      <c r="GE53" s="12"/>
      <c r="GF53" s="12"/>
      <c r="GG53" s="12"/>
      <c r="GH53" s="12"/>
      <c r="GI53" s="12"/>
      <c r="GJ53" s="12"/>
      <c r="GK53" s="12"/>
      <c r="GL53" s="12"/>
      <c r="GM53" s="12"/>
      <c r="GN53" s="12"/>
      <c r="GO53" s="12"/>
      <c r="GP53" s="12"/>
      <c r="GQ53" s="12"/>
      <c r="GR53" s="12"/>
      <c r="GS53" s="12"/>
      <c r="GT53" s="12"/>
      <c r="GU53" s="12"/>
      <c r="GV53" s="12"/>
      <c r="GW53" s="12"/>
      <c r="GX53" s="12"/>
      <c r="GY53" s="12"/>
      <c r="GZ53" s="12"/>
      <c r="HA53" s="12"/>
      <c r="HB53" s="12"/>
      <c r="HC53" s="12"/>
      <c r="HD53" s="12"/>
      <c r="HE53" s="12"/>
      <c r="HF53" s="12"/>
      <c r="HG53" s="12"/>
      <c r="HH53" s="12"/>
      <c r="HI53" s="12"/>
      <c r="HJ53" s="12"/>
      <c r="HK53" s="12"/>
      <c r="HL53" s="12"/>
      <c r="HM53" s="12"/>
      <c r="HN53" s="12"/>
      <c r="HO53" s="12"/>
      <c r="HP53" s="12"/>
      <c r="HQ53" s="12"/>
      <c r="HR53" s="12"/>
      <c r="HS53" s="12"/>
      <c r="HT53" s="12"/>
      <c r="HU53" s="12"/>
      <c r="HV53" s="12"/>
      <c r="HW53" s="12"/>
      <c r="HX53" s="12"/>
      <c r="HY53" s="12"/>
      <c r="HZ53" s="12"/>
      <c r="IA53" s="12"/>
      <c r="IB53" s="12"/>
      <c r="IC53" s="12"/>
      <c r="ID53" s="12"/>
      <c r="IE53" s="12"/>
      <c r="IF53" s="12"/>
      <c r="IG53" s="12"/>
      <c r="IH53" s="12"/>
      <c r="II53" s="12"/>
      <c r="IJ53" s="12"/>
      <c r="IK53" s="12"/>
      <c r="IL53" s="12"/>
      <c r="IM53" s="12"/>
      <c r="IN53" s="12"/>
      <c r="IO53" s="12"/>
      <c r="IP53" s="12"/>
      <c r="IQ53" s="12"/>
      <c r="IR53" s="12"/>
      <c r="IS53" s="12"/>
      <c r="IT53" s="12"/>
      <c r="IU53" s="12"/>
      <c r="IV53" s="12"/>
      <c r="IW53" s="12"/>
      <c r="IX53" s="12"/>
      <c r="IY53" s="12"/>
      <c r="IZ53" s="12"/>
      <c r="JA53" s="12"/>
      <c r="JB53" s="12"/>
      <c r="JC53" s="12"/>
      <c r="JD53" s="12"/>
      <c r="JE53" s="12"/>
      <c r="JF53" s="12"/>
      <c r="JG53" s="12"/>
      <c r="JH53" s="12"/>
      <c r="JI53" s="12"/>
      <c r="JJ53" s="12"/>
      <c r="JK53" s="12"/>
      <c r="JL53" s="12"/>
      <c r="JM53" s="12"/>
      <c r="JN53" s="12"/>
      <c r="JO53" s="12"/>
      <c r="JP53" s="12"/>
      <c r="JQ53" s="12"/>
      <c r="JR53" s="12"/>
      <c r="JS53" s="12"/>
      <c r="JT53" s="12"/>
      <c r="JU53" s="12"/>
      <c r="JV53" s="12"/>
      <c r="JW53" s="12"/>
      <c r="JX53" s="12"/>
      <c r="JY53" s="12"/>
      <c r="JZ53" s="12"/>
      <c r="KA53" s="12"/>
      <c r="KB53" s="12"/>
      <c r="KC53" s="12"/>
      <c r="KD53" s="12"/>
      <c r="KE53" s="12"/>
      <c r="KF53" s="12"/>
      <c r="KG53" s="12"/>
      <c r="KH53" s="12"/>
      <c r="KI53" s="12"/>
      <c r="KJ53" s="12"/>
      <c r="KK53" s="12"/>
      <c r="KL53" s="12"/>
      <c r="KM53" s="12"/>
      <c r="KN53" s="12"/>
      <c r="KO53" s="12"/>
      <c r="KP53" s="12"/>
      <c r="KQ53" s="12"/>
      <c r="KR53" s="12"/>
      <c r="KS53" s="12"/>
      <c r="KT53" s="12"/>
      <c r="KU53" s="12"/>
      <c r="KV53" s="12"/>
      <c r="KW53" s="12"/>
      <c r="KX53" s="12"/>
      <c r="KY53" s="12"/>
      <c r="KZ53" s="12"/>
      <c r="LA53" s="12"/>
      <c r="LB53" s="12"/>
      <c r="LC53" s="12"/>
      <c r="LD53" s="12"/>
      <c r="LE53" s="12"/>
      <c r="LF53" s="12"/>
      <c r="LG53" s="12"/>
      <c r="LH53" s="12"/>
      <c r="LI53" s="12"/>
      <c r="LJ53" s="12"/>
      <c r="LK53" s="12"/>
      <c r="LL53" s="12"/>
      <c r="LM53" s="12"/>
      <c r="LN53" s="12"/>
      <c r="LO53" s="12"/>
      <c r="LP53" s="12"/>
      <c r="LQ53" s="12"/>
      <c r="LR53" s="12"/>
      <c r="LS53" s="12"/>
      <c r="LT53" s="12"/>
      <c r="LU53" s="12"/>
      <c r="LV53" s="12"/>
      <c r="LW53" s="12"/>
      <c r="LX53" s="12"/>
      <c r="LY53" s="12"/>
      <c r="LZ53" s="12"/>
      <c r="MA53" s="12"/>
      <c r="MB53" s="12"/>
      <c r="MC53" s="12"/>
      <c r="MD53" s="12"/>
      <c r="ME53" s="12"/>
      <c r="MF53" s="12"/>
      <c r="MG53" s="12"/>
      <c r="MH53" s="12"/>
      <c r="MI53" s="12"/>
      <c r="MJ53" s="12"/>
      <c r="MK53" s="12"/>
      <c r="ML53" s="12"/>
      <c r="MM53" s="12"/>
      <c r="MN53" s="12"/>
      <c r="MO53" s="12"/>
      <c r="MP53" s="12"/>
      <c r="MQ53" s="12"/>
      <c r="MR53" s="12"/>
      <c r="MS53" s="12"/>
      <c r="MT53" s="12"/>
      <c r="MU53" s="12"/>
      <c r="MV53" s="12"/>
      <c r="MW53" s="12"/>
      <c r="MX53" s="12"/>
      <c r="MY53" s="12"/>
      <c r="MZ53" s="12"/>
      <c r="NA53" s="12"/>
      <c r="NB53" s="12"/>
      <c r="NC53" s="12"/>
      <c r="ND53" s="12"/>
      <c r="NE53" s="12"/>
      <c r="NF53" s="12"/>
      <c r="NG53" s="12"/>
      <c r="NH53" s="12"/>
      <c r="NI53" s="12"/>
      <c r="NJ53" s="12"/>
      <c r="NK53" s="12"/>
      <c r="NL53" s="12"/>
      <c r="NM53" s="12"/>
      <c r="NN53" s="12"/>
      <c r="NO53" s="12"/>
      <c r="NP53" s="12"/>
      <c r="NQ53" s="12"/>
      <c r="NR53" s="12"/>
      <c r="NS53" s="12"/>
      <c r="NT53" s="12"/>
      <c r="NU53" s="12"/>
      <c r="NV53" s="12"/>
      <c r="NW53" s="12"/>
      <c r="NX53" s="12"/>
      <c r="NY53" s="12"/>
      <c r="NZ53" s="12"/>
      <c r="OA53" s="12"/>
      <c r="OB53" s="12"/>
      <c r="OC53" s="12"/>
      <c r="OD53" s="12"/>
      <c r="OE53" s="12"/>
      <c r="OF53" s="12"/>
      <c r="OG53" s="12"/>
      <c r="OH53" s="12"/>
      <c r="OI53" s="12"/>
      <c r="OJ53" s="12"/>
      <c r="OK53" s="12"/>
      <c r="OL53" s="12"/>
      <c r="OM53" s="12"/>
      <c r="ON53" s="12"/>
      <c r="OO53" s="12"/>
      <c r="OP53" s="12"/>
      <c r="OQ53" s="12"/>
      <c r="OR53" s="12"/>
      <c r="OS53" s="12"/>
      <c r="OT53" s="12"/>
      <c r="OU53" s="12"/>
      <c r="OV53" s="12"/>
      <c r="OW53" s="12"/>
      <c r="OX53" s="12"/>
      <c r="OY53" s="12"/>
      <c r="OZ53" s="12"/>
      <c r="PA53" s="12"/>
      <c r="PB53" s="12"/>
      <c r="PC53" s="12"/>
      <c r="PD53" s="12"/>
      <c r="PE53" s="12"/>
      <c r="PF53" s="12"/>
      <c r="PG53" s="12"/>
      <c r="PH53" s="12"/>
      <c r="PI53" s="12"/>
      <c r="PJ53" s="12"/>
      <c r="PK53" s="12"/>
      <c r="PL53" s="12"/>
      <c r="PM53" s="12"/>
      <c r="PN53" s="12"/>
      <c r="PO53" s="12"/>
      <c r="PP53" s="12"/>
      <c r="PQ53" s="12"/>
      <c r="PR53" s="12"/>
      <c r="PS53" s="12"/>
      <c r="PT53" s="12"/>
      <c r="PU53" s="12"/>
      <c r="PV53" s="12"/>
      <c r="PW53" s="12"/>
      <c r="PX53" s="12"/>
      <c r="PY53" s="12"/>
      <c r="PZ53" s="12"/>
      <c r="QA53" s="12"/>
      <c r="QB53" s="12"/>
      <c r="QC53" s="12"/>
      <c r="QD53" s="12"/>
      <c r="QE53" s="12"/>
      <c r="QF53" s="12"/>
      <c r="QG53" s="12"/>
      <c r="QH53" s="12"/>
      <c r="QI53" s="12"/>
      <c r="QJ53" s="12"/>
      <c r="QK53" s="12"/>
      <c r="QL53" s="12"/>
      <c r="QM53" s="12"/>
      <c r="QN53" s="12"/>
      <c r="QO53" s="12"/>
      <c r="QP53" s="12"/>
      <c r="QQ53" s="12"/>
      <c r="QR53" s="12"/>
      <c r="QS53" s="12"/>
      <c r="QT53" s="12"/>
      <c r="QU53" s="12"/>
      <c r="QV53" s="12"/>
      <c r="QW53" s="12"/>
      <c r="QX53" s="12"/>
      <c r="QY53" s="12"/>
      <c r="QZ53" s="12"/>
      <c r="RA53" s="12"/>
      <c r="RB53" s="12"/>
      <c r="RC53" s="12"/>
      <c r="RD53" s="12"/>
      <c r="RE53" s="12"/>
      <c r="RF53" s="12"/>
      <c r="RG53" s="12"/>
      <c r="RH53" s="12"/>
      <c r="RI53" s="12"/>
      <c r="RJ53" s="12"/>
      <c r="RK53" s="12"/>
      <c r="RL53" s="12"/>
      <c r="RM53" s="12"/>
      <c r="RN53" s="12"/>
      <c r="RO53" s="12"/>
      <c r="RP53" s="12"/>
      <c r="RQ53" s="12"/>
      <c r="RR53" s="12"/>
      <c r="RS53" s="12"/>
      <c r="RT53" s="12"/>
      <c r="RU53" s="12"/>
      <c r="RV53" s="12"/>
      <c r="RW53" s="12"/>
      <c r="RX53" s="12"/>
      <c r="RY53" s="12"/>
      <c r="RZ53" s="12"/>
      <c r="SA53" s="12"/>
      <c r="SB53" s="12"/>
      <c r="SC53" s="12"/>
      <c r="SD53" s="12"/>
      <c r="SE53" s="12"/>
      <c r="SF53" s="12"/>
      <c r="SG53" s="12"/>
      <c r="SH53" s="12"/>
      <c r="SI53" s="12"/>
      <c r="SJ53" s="12"/>
      <c r="SK53" s="12"/>
      <c r="SL53" s="12"/>
      <c r="SM53" s="12"/>
      <c r="SN53" s="12"/>
      <c r="SO53" s="12"/>
      <c r="SP53" s="12"/>
      <c r="SQ53" s="12"/>
      <c r="SR53" s="12"/>
      <c r="SS53" s="12"/>
      <c r="ST53" s="12"/>
      <c r="SU53" s="12"/>
      <c r="SV53" s="12"/>
      <c r="SW53" s="12"/>
      <c r="SX53" s="12"/>
      <c r="SY53" s="12"/>
      <c r="SZ53" s="12"/>
      <c r="TA53" s="12"/>
      <c r="TB53" s="12"/>
      <c r="TC53" s="12"/>
      <c r="TD53" s="12"/>
      <c r="TE53" s="12"/>
      <c r="TF53" s="12"/>
      <c r="TG53" s="12"/>
      <c r="TH53" s="12"/>
      <c r="TI53" s="12"/>
      <c r="TJ53" s="12"/>
      <c r="TK53" s="12"/>
      <c r="TL53" s="12"/>
      <c r="TM53" s="12"/>
      <c r="TN53" s="12"/>
      <c r="TO53" s="12"/>
      <c r="TP53" s="12"/>
      <c r="TQ53" s="12"/>
      <c r="TR53" s="12"/>
      <c r="TS53" s="12"/>
      <c r="TT53" s="12"/>
      <c r="TU53" s="12"/>
      <c r="TV53" s="12"/>
      <c r="TW53" s="12"/>
      <c r="TX53" s="12"/>
      <c r="TY53" s="12"/>
      <c r="TZ53" s="12"/>
      <c r="UA53" s="12"/>
      <c r="UB53" s="12"/>
      <c r="UC53" s="12"/>
      <c r="UD53" s="12"/>
      <c r="UE53" s="12"/>
      <c r="UF53" s="12"/>
      <c r="UG53" s="12"/>
      <c r="UH53" s="12"/>
      <c r="UI53" s="12"/>
      <c r="UJ53" s="12"/>
      <c r="UK53" s="12"/>
      <c r="UL53" s="12"/>
      <c r="UM53" s="12"/>
      <c r="UN53" s="12"/>
      <c r="UO53" s="12"/>
      <c r="UP53" s="12"/>
      <c r="UQ53" s="12"/>
      <c r="UR53" s="12"/>
      <c r="US53" s="12"/>
      <c r="UT53" s="12"/>
      <c r="UU53" s="12"/>
      <c r="UV53" s="12"/>
      <c r="UW53" s="12"/>
      <c r="UX53" s="12"/>
      <c r="UY53" s="12"/>
      <c r="UZ53" s="12"/>
      <c r="VA53" s="12"/>
      <c r="VB53" s="12"/>
      <c r="VC53" s="12"/>
      <c r="VD53" s="12"/>
      <c r="VE53" s="12"/>
      <c r="VF53" s="12"/>
      <c r="VG53" s="12"/>
      <c r="VH53" s="12"/>
      <c r="VI53" s="12"/>
      <c r="VJ53" s="12"/>
      <c r="VK53" s="12"/>
      <c r="VL53" s="12"/>
      <c r="VM53" s="12"/>
      <c r="VN53" s="12"/>
      <c r="VO53" s="12"/>
      <c r="VP53" s="12"/>
      <c r="VQ53" s="12"/>
      <c r="VR53" s="12"/>
      <c r="VS53" s="12"/>
      <c r="VT53" s="12"/>
      <c r="VU53" s="12"/>
      <c r="VV53" s="12"/>
      <c r="VW53" s="12"/>
      <c r="VX53" s="12"/>
      <c r="VY53" s="12"/>
      <c r="VZ53" s="12"/>
      <c r="WA53" s="12"/>
      <c r="WB53" s="12"/>
      <c r="WC53" s="12"/>
      <c r="WD53" s="12"/>
      <c r="WE53" s="12"/>
      <c r="WF53" s="12"/>
      <c r="WG53" s="12"/>
      <c r="WH53" s="12"/>
      <c r="WI53" s="12"/>
      <c r="WJ53" s="12"/>
      <c r="WK53" s="12"/>
      <c r="WL53" s="12"/>
      <c r="WM53" s="12"/>
      <c r="WN53" s="12"/>
      <c r="WO53" s="12"/>
      <c r="WP53" s="12"/>
      <c r="WQ53" s="12"/>
      <c r="WR53" s="12"/>
      <c r="WS53" s="12"/>
      <c r="WT53" s="12"/>
      <c r="WU53" s="12"/>
      <c r="WV53" s="12"/>
      <c r="WW53" s="12"/>
      <c r="WX53" s="12"/>
      <c r="WY53" s="12"/>
      <c r="WZ53" s="12"/>
      <c r="XA53" s="12"/>
      <c r="XB53" s="12"/>
      <c r="XC53" s="12"/>
      <c r="XD53" s="12"/>
      <c r="XE53" s="12"/>
      <c r="XF53" s="12"/>
      <c r="XG53" s="12"/>
      <c r="XH53" s="12"/>
      <c r="XI53" s="12"/>
      <c r="XJ53" s="12"/>
      <c r="XK53" s="12"/>
      <c r="XL53" s="12"/>
      <c r="XM53" s="12"/>
      <c r="XN53" s="12"/>
      <c r="XO53" s="12"/>
      <c r="XP53" s="12"/>
      <c r="XQ53" s="12"/>
      <c r="XR53" s="12"/>
      <c r="XS53" s="12"/>
      <c r="XT53" s="12"/>
      <c r="XU53" s="12"/>
      <c r="XV53" s="12"/>
      <c r="XW53" s="12"/>
      <c r="XX53" s="12"/>
      <c r="XY53" s="12"/>
      <c r="XZ53" s="12"/>
      <c r="YA53" s="12"/>
      <c r="YB53" s="12"/>
      <c r="YC53" s="12"/>
      <c r="YD53" s="12"/>
      <c r="YE53" s="12"/>
      <c r="YF53" s="12"/>
      <c r="YG53" s="12"/>
      <c r="YH53" s="12"/>
      <c r="YI53" s="12"/>
      <c r="YJ53" s="12"/>
      <c r="YK53" s="12"/>
      <c r="YL53" s="12"/>
      <c r="YM53" s="12"/>
      <c r="YN53" s="12"/>
      <c r="YO53" s="12"/>
      <c r="YP53" s="12"/>
      <c r="YQ53" s="12"/>
      <c r="YR53" s="12"/>
      <c r="YS53" s="12"/>
      <c r="YT53" s="12"/>
      <c r="YU53" s="12"/>
      <c r="YV53" s="12"/>
      <c r="YW53" s="12"/>
      <c r="YX53" s="12"/>
      <c r="YY53" s="12"/>
      <c r="YZ53" s="12"/>
      <c r="ZA53" s="12"/>
      <c r="ZB53" s="12"/>
      <c r="ZC53" s="12"/>
      <c r="ZD53" s="12"/>
      <c r="ZE53" s="12"/>
      <c r="ZF53" s="12"/>
      <c r="ZG53" s="12"/>
      <c r="ZH53" s="12"/>
      <c r="ZI53" s="12"/>
      <c r="ZJ53" s="12"/>
      <c r="ZK53" s="12"/>
      <c r="ZL53" s="12"/>
      <c r="ZM53" s="12"/>
      <c r="ZN53" s="12"/>
      <c r="ZO53" s="12"/>
      <c r="ZP53" s="12"/>
      <c r="ZQ53" s="12"/>
      <c r="ZR53" s="12"/>
      <c r="ZS53" s="12"/>
      <c r="ZT53" s="12"/>
      <c r="ZU53" s="12"/>
      <c r="ZV53" s="12"/>
      <c r="ZW53" s="12"/>
      <c r="ZX53" s="12"/>
      <c r="ZY53" s="12"/>
      <c r="ZZ53" s="12"/>
      <c r="AAA53" s="12"/>
      <c r="AAB53" s="12"/>
      <c r="AAC53" s="12"/>
      <c r="AAD53" s="12"/>
      <c r="AAE53" s="12"/>
      <c r="AAF53" s="12"/>
      <c r="AAG53" s="12"/>
      <c r="AAH53" s="12"/>
      <c r="AAI53" s="12"/>
      <c r="AAJ53" s="12"/>
      <c r="AAK53" s="12"/>
      <c r="AAL53" s="12"/>
      <c r="AAM53" s="12"/>
      <c r="AAN53" s="12"/>
      <c r="AAO53" s="12"/>
      <c r="AAP53" s="12"/>
      <c r="AAQ53" s="12"/>
      <c r="AAR53" s="12"/>
      <c r="AAS53" s="12"/>
      <c r="AAT53" s="12"/>
      <c r="AAU53" s="12"/>
      <c r="AAV53" s="12"/>
      <c r="AAW53" s="12"/>
      <c r="AAX53" s="12"/>
      <c r="AAY53" s="12"/>
      <c r="AAZ53" s="12"/>
      <c r="ABA53" s="12"/>
      <c r="ABB53" s="12"/>
      <c r="ABC53" s="12"/>
      <c r="ABD53" s="12"/>
      <c r="ABE53" s="12"/>
      <c r="ABF53" s="12"/>
      <c r="ABG53" s="12"/>
      <c r="ABH53" s="12"/>
      <c r="ABI53" s="12"/>
      <c r="ABJ53" s="12"/>
      <c r="ABK53" s="12"/>
      <c r="ABL53" s="12"/>
      <c r="ABM53" s="12"/>
      <c r="ABN53" s="12"/>
      <c r="ABO53" s="12"/>
      <c r="ABP53" s="12"/>
      <c r="ABQ53" s="12"/>
      <c r="ABR53" s="12"/>
      <c r="ABS53" s="12"/>
      <c r="ABT53" s="12"/>
      <c r="ABU53" s="12"/>
      <c r="ABV53" s="12"/>
      <c r="ABW53" s="12"/>
      <c r="ABX53" s="12"/>
      <c r="ABY53" s="12"/>
      <c r="ABZ53" s="12"/>
      <c r="ACA53" s="12"/>
      <c r="ACB53" s="12"/>
      <c r="ACC53" s="12"/>
      <c r="ACD53" s="12"/>
      <c r="ACE53" s="12"/>
      <c r="ACF53" s="12"/>
      <c r="ACG53" s="12"/>
      <c r="ACH53" s="12"/>
      <c r="ACI53" s="12"/>
      <c r="ACJ53" s="12"/>
      <c r="ACK53" s="12"/>
      <c r="ACL53" s="12"/>
      <c r="ACM53" s="12"/>
      <c r="ACN53" s="12"/>
      <c r="ACO53" s="12"/>
      <c r="ACP53" s="12"/>
      <c r="ACQ53" s="12"/>
      <c r="ACR53" s="12"/>
      <c r="ACS53" s="12"/>
      <c r="ACT53" s="12"/>
      <c r="ACU53" s="12"/>
      <c r="ACV53" s="12"/>
      <c r="ACW53" s="12"/>
      <c r="ACX53" s="12"/>
      <c r="ACY53" s="12"/>
      <c r="ACZ53" s="12"/>
      <c r="ADA53" s="12"/>
      <c r="ADB53" s="12"/>
      <c r="ADC53" s="12"/>
      <c r="ADD53" s="12"/>
      <c r="ADE53" s="12"/>
      <c r="ADF53" s="12"/>
      <c r="ADG53" s="12"/>
      <c r="ADH53" s="12"/>
      <c r="ADI53" s="12"/>
      <c r="ADJ53" s="12"/>
      <c r="ADK53" s="12"/>
      <c r="ADL53" s="12"/>
      <c r="ADM53" s="12"/>
      <c r="ADN53" s="12"/>
      <c r="ADO53" s="12"/>
      <c r="ADP53" s="12"/>
      <c r="ADQ53" s="12"/>
      <c r="ADR53" s="12"/>
      <c r="ADS53" s="12"/>
      <c r="ADT53" s="12"/>
      <c r="ADU53" s="12"/>
      <c r="ADV53" s="12"/>
      <c r="ADW53" s="12"/>
      <c r="ADX53" s="12"/>
      <c r="ADY53" s="12"/>
      <c r="ADZ53" s="12"/>
      <c r="AEA53" s="12"/>
      <c r="AEB53" s="12"/>
      <c r="AEC53" s="12"/>
      <c r="AED53" s="12"/>
      <c r="AEE53" s="12"/>
      <c r="AEF53" s="12"/>
      <c r="AEG53" s="12"/>
      <c r="AEH53" s="12"/>
      <c r="AEI53" s="12"/>
      <c r="AEJ53" s="12"/>
      <c r="AEK53" s="12"/>
      <c r="AEL53" s="12"/>
      <c r="AEM53" s="12"/>
      <c r="AEN53" s="12"/>
      <c r="AEO53" s="12"/>
      <c r="AEP53" s="12"/>
      <c r="AEQ53" s="12"/>
      <c r="AER53" s="12"/>
      <c r="AES53" s="12"/>
      <c r="AET53" s="12"/>
      <c r="AEU53" s="12"/>
      <c r="AEV53" s="12"/>
    </row>
    <row r="54" spans="1:828" s="27" customFormat="1" ht="18" x14ac:dyDescent="0.2">
      <c r="A54" s="61"/>
      <c r="C54" s="23"/>
      <c r="D54" s="29"/>
      <c r="E54" s="23"/>
      <c r="F54" s="23"/>
      <c r="G54" s="23"/>
      <c r="H54" s="30"/>
      <c r="K54" s="30"/>
      <c r="L54" s="23"/>
      <c r="M54" s="29"/>
      <c r="N54" s="47"/>
      <c r="O54" s="47"/>
      <c r="P54" s="48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2"/>
      <c r="FJ54" s="12"/>
      <c r="FK54" s="12"/>
      <c r="FL54" s="12"/>
      <c r="FM54" s="12"/>
      <c r="FN54" s="12"/>
      <c r="FO54" s="12"/>
      <c r="FP54" s="12"/>
      <c r="FQ54" s="12"/>
      <c r="FR54" s="12"/>
      <c r="FS54" s="12"/>
      <c r="FT54" s="12"/>
      <c r="FU54" s="12"/>
      <c r="FV54" s="12"/>
      <c r="FW54" s="12"/>
      <c r="FX54" s="12"/>
      <c r="FY54" s="12"/>
      <c r="FZ54" s="12"/>
      <c r="GA54" s="12"/>
      <c r="GB54" s="12"/>
      <c r="GC54" s="12"/>
      <c r="GD54" s="12"/>
      <c r="GE54" s="12"/>
      <c r="GF54" s="12"/>
      <c r="GG54" s="12"/>
      <c r="GH54" s="12"/>
      <c r="GI54" s="12"/>
      <c r="GJ54" s="12"/>
      <c r="GK54" s="12"/>
      <c r="GL54" s="12"/>
      <c r="GM54" s="12"/>
      <c r="GN54" s="12"/>
      <c r="GO54" s="12"/>
      <c r="GP54" s="12"/>
      <c r="GQ54" s="12"/>
      <c r="GR54" s="12"/>
      <c r="GS54" s="12"/>
      <c r="GT54" s="12"/>
      <c r="GU54" s="12"/>
      <c r="GV54" s="12"/>
      <c r="GW54" s="12"/>
      <c r="GX54" s="12"/>
      <c r="GY54" s="12"/>
      <c r="GZ54" s="12"/>
      <c r="HA54" s="12"/>
      <c r="HB54" s="12"/>
      <c r="HC54" s="12"/>
      <c r="HD54" s="12"/>
      <c r="HE54" s="12"/>
      <c r="HF54" s="12"/>
      <c r="HG54" s="12"/>
      <c r="HH54" s="12"/>
      <c r="HI54" s="12"/>
      <c r="HJ54" s="12"/>
      <c r="HK54" s="12"/>
      <c r="HL54" s="12"/>
      <c r="HM54" s="12"/>
      <c r="HN54" s="12"/>
      <c r="HO54" s="12"/>
      <c r="HP54" s="12"/>
      <c r="HQ54" s="12"/>
      <c r="HR54" s="12"/>
      <c r="HS54" s="12"/>
      <c r="HT54" s="12"/>
      <c r="HU54" s="12"/>
      <c r="HV54" s="12"/>
      <c r="HW54" s="12"/>
      <c r="HX54" s="12"/>
      <c r="HY54" s="12"/>
      <c r="HZ54" s="12"/>
      <c r="IA54" s="12"/>
      <c r="IB54" s="12"/>
      <c r="IC54" s="12"/>
      <c r="ID54" s="12"/>
      <c r="IE54" s="12"/>
      <c r="IF54" s="12"/>
      <c r="IG54" s="12"/>
      <c r="IH54" s="12"/>
      <c r="II54" s="12"/>
      <c r="IJ54" s="12"/>
      <c r="IK54" s="12"/>
      <c r="IL54" s="12"/>
      <c r="IM54" s="12"/>
      <c r="IN54" s="12"/>
      <c r="IO54" s="12"/>
      <c r="IP54" s="12"/>
      <c r="IQ54" s="12"/>
      <c r="IR54" s="12"/>
      <c r="IS54" s="12"/>
      <c r="IT54" s="12"/>
      <c r="IU54" s="12"/>
      <c r="IV54" s="12"/>
      <c r="IW54" s="12"/>
      <c r="IX54" s="12"/>
      <c r="IY54" s="12"/>
      <c r="IZ54" s="12"/>
      <c r="JA54" s="12"/>
      <c r="JB54" s="12"/>
      <c r="JC54" s="12"/>
      <c r="JD54" s="12"/>
      <c r="JE54" s="12"/>
      <c r="JF54" s="12"/>
      <c r="JG54" s="12"/>
      <c r="JH54" s="12"/>
      <c r="JI54" s="12"/>
      <c r="JJ54" s="12"/>
      <c r="JK54" s="12"/>
      <c r="JL54" s="12"/>
      <c r="JM54" s="12"/>
      <c r="JN54" s="12"/>
      <c r="JO54" s="12"/>
      <c r="JP54" s="12"/>
      <c r="JQ54" s="12"/>
      <c r="JR54" s="12"/>
      <c r="JS54" s="12"/>
      <c r="JT54" s="12"/>
      <c r="JU54" s="12"/>
      <c r="JV54" s="12"/>
      <c r="JW54" s="12"/>
      <c r="JX54" s="12"/>
      <c r="JY54" s="12"/>
      <c r="JZ54" s="12"/>
      <c r="KA54" s="12"/>
      <c r="KB54" s="12"/>
      <c r="KC54" s="12"/>
      <c r="KD54" s="12"/>
      <c r="KE54" s="12"/>
      <c r="KF54" s="12"/>
      <c r="KG54" s="12"/>
      <c r="KH54" s="12"/>
      <c r="KI54" s="12"/>
      <c r="KJ54" s="12"/>
      <c r="KK54" s="12"/>
      <c r="KL54" s="12"/>
      <c r="KM54" s="12"/>
      <c r="KN54" s="12"/>
      <c r="KO54" s="12"/>
      <c r="KP54" s="12"/>
      <c r="KQ54" s="12"/>
      <c r="KR54" s="12"/>
      <c r="KS54" s="12"/>
      <c r="KT54" s="12"/>
      <c r="KU54" s="12"/>
      <c r="KV54" s="12"/>
      <c r="KW54" s="12"/>
      <c r="KX54" s="12"/>
      <c r="KY54" s="12"/>
      <c r="KZ54" s="12"/>
      <c r="LA54" s="12"/>
      <c r="LB54" s="12"/>
      <c r="LC54" s="12"/>
      <c r="LD54" s="12"/>
      <c r="LE54" s="12"/>
      <c r="LF54" s="12"/>
      <c r="LG54" s="12"/>
      <c r="LH54" s="12"/>
      <c r="LI54" s="12"/>
      <c r="LJ54" s="12"/>
      <c r="LK54" s="12"/>
      <c r="LL54" s="12"/>
      <c r="LM54" s="12"/>
      <c r="LN54" s="12"/>
      <c r="LO54" s="12"/>
      <c r="LP54" s="12"/>
      <c r="LQ54" s="12"/>
      <c r="LR54" s="12"/>
      <c r="LS54" s="12"/>
      <c r="LT54" s="12"/>
      <c r="LU54" s="12"/>
      <c r="LV54" s="12"/>
      <c r="LW54" s="12"/>
      <c r="LX54" s="12"/>
      <c r="LY54" s="12"/>
      <c r="LZ54" s="12"/>
      <c r="MA54" s="12"/>
      <c r="MB54" s="12"/>
      <c r="MC54" s="12"/>
      <c r="MD54" s="12"/>
      <c r="ME54" s="12"/>
      <c r="MF54" s="12"/>
      <c r="MG54" s="12"/>
      <c r="MH54" s="12"/>
      <c r="MI54" s="12"/>
      <c r="MJ54" s="12"/>
      <c r="MK54" s="12"/>
      <c r="ML54" s="12"/>
      <c r="MM54" s="12"/>
      <c r="MN54" s="12"/>
      <c r="MO54" s="12"/>
      <c r="MP54" s="12"/>
      <c r="MQ54" s="12"/>
      <c r="MR54" s="12"/>
      <c r="MS54" s="12"/>
      <c r="MT54" s="12"/>
      <c r="MU54" s="12"/>
      <c r="MV54" s="12"/>
      <c r="MW54" s="12"/>
      <c r="MX54" s="12"/>
      <c r="MY54" s="12"/>
      <c r="MZ54" s="12"/>
      <c r="NA54" s="12"/>
      <c r="NB54" s="12"/>
      <c r="NC54" s="12"/>
      <c r="ND54" s="12"/>
      <c r="NE54" s="12"/>
      <c r="NF54" s="12"/>
      <c r="NG54" s="12"/>
      <c r="NH54" s="12"/>
      <c r="NI54" s="12"/>
      <c r="NJ54" s="12"/>
      <c r="NK54" s="12"/>
      <c r="NL54" s="12"/>
      <c r="NM54" s="12"/>
      <c r="NN54" s="12"/>
      <c r="NO54" s="12"/>
      <c r="NP54" s="12"/>
      <c r="NQ54" s="12"/>
      <c r="NR54" s="12"/>
      <c r="NS54" s="12"/>
      <c r="NT54" s="12"/>
      <c r="NU54" s="12"/>
      <c r="NV54" s="12"/>
      <c r="NW54" s="12"/>
      <c r="NX54" s="12"/>
      <c r="NY54" s="12"/>
      <c r="NZ54" s="12"/>
      <c r="OA54" s="12"/>
      <c r="OB54" s="12"/>
      <c r="OC54" s="12"/>
      <c r="OD54" s="12"/>
      <c r="OE54" s="12"/>
      <c r="OF54" s="12"/>
      <c r="OG54" s="12"/>
      <c r="OH54" s="12"/>
      <c r="OI54" s="12"/>
      <c r="OJ54" s="12"/>
      <c r="OK54" s="12"/>
      <c r="OL54" s="12"/>
      <c r="OM54" s="12"/>
      <c r="ON54" s="12"/>
      <c r="OO54" s="12"/>
      <c r="OP54" s="12"/>
      <c r="OQ54" s="12"/>
      <c r="OR54" s="12"/>
      <c r="OS54" s="12"/>
      <c r="OT54" s="12"/>
      <c r="OU54" s="12"/>
      <c r="OV54" s="12"/>
      <c r="OW54" s="12"/>
      <c r="OX54" s="12"/>
      <c r="OY54" s="12"/>
      <c r="OZ54" s="12"/>
      <c r="PA54" s="12"/>
      <c r="PB54" s="12"/>
      <c r="PC54" s="12"/>
      <c r="PD54" s="12"/>
      <c r="PE54" s="12"/>
      <c r="PF54" s="12"/>
      <c r="PG54" s="12"/>
      <c r="PH54" s="12"/>
      <c r="PI54" s="12"/>
      <c r="PJ54" s="12"/>
      <c r="PK54" s="12"/>
      <c r="PL54" s="12"/>
      <c r="PM54" s="12"/>
      <c r="PN54" s="12"/>
      <c r="PO54" s="12"/>
      <c r="PP54" s="12"/>
      <c r="PQ54" s="12"/>
      <c r="PR54" s="12"/>
      <c r="PS54" s="12"/>
      <c r="PT54" s="12"/>
      <c r="PU54" s="12"/>
      <c r="PV54" s="12"/>
      <c r="PW54" s="12"/>
      <c r="PX54" s="12"/>
      <c r="PY54" s="12"/>
      <c r="PZ54" s="12"/>
      <c r="QA54" s="12"/>
      <c r="QB54" s="12"/>
      <c r="QC54" s="12"/>
      <c r="QD54" s="12"/>
      <c r="QE54" s="12"/>
      <c r="QF54" s="12"/>
      <c r="QG54" s="12"/>
      <c r="QH54" s="12"/>
      <c r="QI54" s="12"/>
      <c r="QJ54" s="12"/>
      <c r="QK54" s="12"/>
      <c r="QL54" s="12"/>
      <c r="QM54" s="12"/>
      <c r="QN54" s="12"/>
      <c r="QO54" s="12"/>
      <c r="QP54" s="12"/>
      <c r="QQ54" s="12"/>
      <c r="QR54" s="12"/>
      <c r="QS54" s="12"/>
      <c r="QT54" s="12"/>
      <c r="QU54" s="12"/>
      <c r="QV54" s="12"/>
      <c r="QW54" s="12"/>
      <c r="QX54" s="12"/>
      <c r="QY54" s="12"/>
      <c r="QZ54" s="12"/>
      <c r="RA54" s="12"/>
      <c r="RB54" s="12"/>
      <c r="RC54" s="12"/>
      <c r="RD54" s="12"/>
      <c r="RE54" s="12"/>
      <c r="RF54" s="12"/>
      <c r="RG54" s="12"/>
      <c r="RH54" s="12"/>
      <c r="RI54" s="12"/>
      <c r="RJ54" s="12"/>
      <c r="RK54" s="12"/>
      <c r="RL54" s="12"/>
      <c r="RM54" s="12"/>
      <c r="RN54" s="12"/>
      <c r="RO54" s="12"/>
      <c r="RP54" s="12"/>
      <c r="RQ54" s="12"/>
      <c r="RR54" s="12"/>
      <c r="RS54" s="12"/>
      <c r="RT54" s="12"/>
      <c r="RU54" s="12"/>
      <c r="RV54" s="12"/>
      <c r="RW54" s="12"/>
      <c r="RX54" s="12"/>
      <c r="RY54" s="12"/>
      <c r="RZ54" s="12"/>
      <c r="SA54" s="12"/>
      <c r="SB54" s="12"/>
      <c r="SC54" s="12"/>
      <c r="SD54" s="12"/>
      <c r="SE54" s="12"/>
      <c r="SF54" s="12"/>
      <c r="SG54" s="12"/>
      <c r="SH54" s="12"/>
      <c r="SI54" s="12"/>
      <c r="SJ54" s="12"/>
      <c r="SK54" s="12"/>
      <c r="SL54" s="12"/>
      <c r="SM54" s="12"/>
      <c r="SN54" s="12"/>
      <c r="SO54" s="12"/>
      <c r="SP54" s="12"/>
      <c r="SQ54" s="12"/>
      <c r="SR54" s="12"/>
      <c r="SS54" s="12"/>
      <c r="ST54" s="12"/>
      <c r="SU54" s="12"/>
      <c r="SV54" s="12"/>
      <c r="SW54" s="12"/>
      <c r="SX54" s="12"/>
      <c r="SY54" s="12"/>
      <c r="SZ54" s="12"/>
      <c r="TA54" s="12"/>
      <c r="TB54" s="12"/>
      <c r="TC54" s="12"/>
      <c r="TD54" s="12"/>
      <c r="TE54" s="12"/>
      <c r="TF54" s="12"/>
      <c r="TG54" s="12"/>
      <c r="TH54" s="12"/>
      <c r="TI54" s="12"/>
      <c r="TJ54" s="12"/>
      <c r="TK54" s="12"/>
      <c r="TL54" s="12"/>
      <c r="TM54" s="12"/>
      <c r="TN54" s="12"/>
      <c r="TO54" s="12"/>
      <c r="TP54" s="12"/>
      <c r="TQ54" s="12"/>
      <c r="TR54" s="12"/>
      <c r="TS54" s="12"/>
      <c r="TT54" s="12"/>
      <c r="TU54" s="12"/>
      <c r="TV54" s="12"/>
      <c r="TW54" s="12"/>
      <c r="TX54" s="12"/>
      <c r="TY54" s="12"/>
      <c r="TZ54" s="12"/>
      <c r="UA54" s="12"/>
      <c r="UB54" s="12"/>
      <c r="UC54" s="12"/>
      <c r="UD54" s="12"/>
      <c r="UE54" s="12"/>
      <c r="UF54" s="12"/>
      <c r="UG54" s="12"/>
      <c r="UH54" s="12"/>
      <c r="UI54" s="12"/>
      <c r="UJ54" s="12"/>
      <c r="UK54" s="12"/>
      <c r="UL54" s="12"/>
      <c r="UM54" s="12"/>
      <c r="UN54" s="12"/>
      <c r="UO54" s="12"/>
      <c r="UP54" s="12"/>
      <c r="UQ54" s="12"/>
      <c r="UR54" s="12"/>
      <c r="US54" s="12"/>
      <c r="UT54" s="12"/>
      <c r="UU54" s="12"/>
      <c r="UV54" s="12"/>
      <c r="UW54" s="12"/>
      <c r="UX54" s="12"/>
      <c r="UY54" s="12"/>
      <c r="UZ54" s="12"/>
      <c r="VA54" s="12"/>
      <c r="VB54" s="12"/>
      <c r="VC54" s="12"/>
      <c r="VD54" s="12"/>
      <c r="VE54" s="12"/>
      <c r="VF54" s="12"/>
      <c r="VG54" s="12"/>
      <c r="VH54" s="12"/>
      <c r="VI54" s="12"/>
      <c r="VJ54" s="12"/>
      <c r="VK54" s="12"/>
      <c r="VL54" s="12"/>
      <c r="VM54" s="12"/>
      <c r="VN54" s="12"/>
      <c r="VO54" s="12"/>
      <c r="VP54" s="12"/>
      <c r="VQ54" s="12"/>
      <c r="VR54" s="12"/>
      <c r="VS54" s="12"/>
      <c r="VT54" s="12"/>
      <c r="VU54" s="12"/>
      <c r="VV54" s="12"/>
      <c r="VW54" s="12"/>
      <c r="VX54" s="12"/>
      <c r="VY54" s="12"/>
      <c r="VZ54" s="12"/>
      <c r="WA54" s="12"/>
      <c r="WB54" s="12"/>
      <c r="WC54" s="12"/>
      <c r="WD54" s="12"/>
      <c r="WE54" s="12"/>
      <c r="WF54" s="12"/>
      <c r="WG54" s="12"/>
      <c r="WH54" s="12"/>
      <c r="WI54" s="12"/>
      <c r="WJ54" s="12"/>
      <c r="WK54" s="12"/>
      <c r="WL54" s="12"/>
      <c r="WM54" s="12"/>
      <c r="WN54" s="12"/>
      <c r="WO54" s="12"/>
      <c r="WP54" s="12"/>
      <c r="WQ54" s="12"/>
      <c r="WR54" s="12"/>
      <c r="WS54" s="12"/>
      <c r="WT54" s="12"/>
      <c r="WU54" s="12"/>
      <c r="WV54" s="12"/>
      <c r="WW54" s="12"/>
      <c r="WX54" s="12"/>
      <c r="WY54" s="12"/>
      <c r="WZ54" s="12"/>
      <c r="XA54" s="12"/>
      <c r="XB54" s="12"/>
      <c r="XC54" s="12"/>
      <c r="XD54" s="12"/>
      <c r="XE54" s="12"/>
      <c r="XF54" s="12"/>
      <c r="XG54" s="12"/>
      <c r="XH54" s="12"/>
      <c r="XI54" s="12"/>
      <c r="XJ54" s="12"/>
      <c r="XK54" s="12"/>
      <c r="XL54" s="12"/>
      <c r="XM54" s="12"/>
      <c r="XN54" s="12"/>
      <c r="XO54" s="12"/>
      <c r="XP54" s="12"/>
      <c r="XQ54" s="12"/>
      <c r="XR54" s="12"/>
      <c r="XS54" s="12"/>
      <c r="XT54" s="12"/>
      <c r="XU54" s="12"/>
      <c r="XV54" s="12"/>
      <c r="XW54" s="12"/>
      <c r="XX54" s="12"/>
      <c r="XY54" s="12"/>
      <c r="XZ54" s="12"/>
      <c r="YA54" s="12"/>
      <c r="YB54" s="12"/>
      <c r="YC54" s="12"/>
      <c r="YD54" s="12"/>
      <c r="YE54" s="12"/>
      <c r="YF54" s="12"/>
      <c r="YG54" s="12"/>
      <c r="YH54" s="12"/>
      <c r="YI54" s="12"/>
      <c r="YJ54" s="12"/>
      <c r="YK54" s="12"/>
      <c r="YL54" s="12"/>
      <c r="YM54" s="12"/>
      <c r="YN54" s="12"/>
      <c r="YO54" s="12"/>
      <c r="YP54" s="12"/>
      <c r="YQ54" s="12"/>
      <c r="YR54" s="12"/>
      <c r="YS54" s="12"/>
      <c r="YT54" s="12"/>
      <c r="YU54" s="12"/>
      <c r="YV54" s="12"/>
      <c r="YW54" s="12"/>
      <c r="YX54" s="12"/>
      <c r="YY54" s="12"/>
      <c r="YZ54" s="12"/>
      <c r="ZA54" s="12"/>
      <c r="ZB54" s="12"/>
      <c r="ZC54" s="12"/>
      <c r="ZD54" s="12"/>
      <c r="ZE54" s="12"/>
      <c r="ZF54" s="12"/>
      <c r="ZG54" s="12"/>
      <c r="ZH54" s="12"/>
      <c r="ZI54" s="12"/>
      <c r="ZJ54" s="12"/>
      <c r="ZK54" s="12"/>
      <c r="ZL54" s="12"/>
      <c r="ZM54" s="12"/>
      <c r="ZN54" s="12"/>
      <c r="ZO54" s="12"/>
      <c r="ZP54" s="12"/>
      <c r="ZQ54" s="12"/>
      <c r="ZR54" s="12"/>
      <c r="ZS54" s="12"/>
      <c r="ZT54" s="12"/>
      <c r="ZU54" s="12"/>
      <c r="ZV54" s="12"/>
      <c r="ZW54" s="12"/>
      <c r="ZX54" s="12"/>
      <c r="ZY54" s="12"/>
      <c r="ZZ54" s="12"/>
      <c r="AAA54" s="12"/>
      <c r="AAB54" s="12"/>
      <c r="AAC54" s="12"/>
      <c r="AAD54" s="12"/>
      <c r="AAE54" s="12"/>
      <c r="AAF54" s="12"/>
      <c r="AAG54" s="12"/>
      <c r="AAH54" s="12"/>
      <c r="AAI54" s="12"/>
      <c r="AAJ54" s="12"/>
      <c r="AAK54" s="12"/>
      <c r="AAL54" s="12"/>
      <c r="AAM54" s="12"/>
      <c r="AAN54" s="12"/>
      <c r="AAO54" s="12"/>
      <c r="AAP54" s="12"/>
      <c r="AAQ54" s="12"/>
      <c r="AAR54" s="12"/>
      <c r="AAS54" s="12"/>
      <c r="AAT54" s="12"/>
      <c r="AAU54" s="12"/>
      <c r="AAV54" s="12"/>
      <c r="AAW54" s="12"/>
      <c r="AAX54" s="12"/>
      <c r="AAY54" s="12"/>
      <c r="AAZ54" s="12"/>
      <c r="ABA54" s="12"/>
      <c r="ABB54" s="12"/>
      <c r="ABC54" s="12"/>
      <c r="ABD54" s="12"/>
      <c r="ABE54" s="12"/>
      <c r="ABF54" s="12"/>
      <c r="ABG54" s="12"/>
      <c r="ABH54" s="12"/>
      <c r="ABI54" s="12"/>
      <c r="ABJ54" s="12"/>
      <c r="ABK54" s="12"/>
      <c r="ABL54" s="12"/>
      <c r="ABM54" s="12"/>
      <c r="ABN54" s="12"/>
      <c r="ABO54" s="12"/>
      <c r="ABP54" s="12"/>
      <c r="ABQ54" s="12"/>
      <c r="ABR54" s="12"/>
      <c r="ABS54" s="12"/>
      <c r="ABT54" s="12"/>
      <c r="ABU54" s="12"/>
      <c r="ABV54" s="12"/>
      <c r="ABW54" s="12"/>
      <c r="ABX54" s="12"/>
      <c r="ABY54" s="12"/>
      <c r="ABZ54" s="12"/>
      <c r="ACA54" s="12"/>
      <c r="ACB54" s="12"/>
      <c r="ACC54" s="12"/>
      <c r="ACD54" s="12"/>
      <c r="ACE54" s="12"/>
      <c r="ACF54" s="12"/>
      <c r="ACG54" s="12"/>
      <c r="ACH54" s="12"/>
      <c r="ACI54" s="12"/>
      <c r="ACJ54" s="12"/>
      <c r="ACK54" s="12"/>
      <c r="ACL54" s="12"/>
      <c r="ACM54" s="12"/>
      <c r="ACN54" s="12"/>
      <c r="ACO54" s="12"/>
      <c r="ACP54" s="12"/>
      <c r="ACQ54" s="12"/>
      <c r="ACR54" s="12"/>
      <c r="ACS54" s="12"/>
      <c r="ACT54" s="12"/>
      <c r="ACU54" s="12"/>
      <c r="ACV54" s="12"/>
      <c r="ACW54" s="12"/>
      <c r="ACX54" s="12"/>
      <c r="ACY54" s="12"/>
      <c r="ACZ54" s="12"/>
      <c r="ADA54" s="12"/>
      <c r="ADB54" s="12"/>
      <c r="ADC54" s="12"/>
      <c r="ADD54" s="12"/>
      <c r="ADE54" s="12"/>
      <c r="ADF54" s="12"/>
      <c r="ADG54" s="12"/>
      <c r="ADH54" s="12"/>
      <c r="ADI54" s="12"/>
      <c r="ADJ54" s="12"/>
      <c r="ADK54" s="12"/>
      <c r="ADL54" s="12"/>
      <c r="ADM54" s="12"/>
      <c r="ADN54" s="12"/>
      <c r="ADO54" s="12"/>
      <c r="ADP54" s="12"/>
      <c r="ADQ54" s="12"/>
      <c r="ADR54" s="12"/>
      <c r="ADS54" s="12"/>
      <c r="ADT54" s="12"/>
      <c r="ADU54" s="12"/>
      <c r="ADV54" s="12"/>
      <c r="ADW54" s="12"/>
      <c r="ADX54" s="12"/>
      <c r="ADY54" s="12"/>
      <c r="ADZ54" s="12"/>
      <c r="AEA54" s="12"/>
      <c r="AEB54" s="12"/>
      <c r="AEC54" s="12"/>
      <c r="AED54" s="12"/>
      <c r="AEE54" s="12"/>
      <c r="AEF54" s="12"/>
      <c r="AEG54" s="12"/>
      <c r="AEH54" s="12"/>
      <c r="AEI54" s="12"/>
      <c r="AEJ54" s="12"/>
      <c r="AEK54" s="12"/>
      <c r="AEL54" s="12"/>
      <c r="AEM54" s="12"/>
      <c r="AEN54" s="12"/>
      <c r="AEO54" s="12"/>
      <c r="AEP54" s="12"/>
      <c r="AEQ54" s="12"/>
      <c r="AER54" s="12"/>
      <c r="AES54" s="12"/>
      <c r="AET54" s="12"/>
      <c r="AEU54" s="12"/>
      <c r="AEV54" s="12"/>
    </row>
    <row r="55" spans="1:828" s="27" customFormat="1" ht="18" x14ac:dyDescent="0.2">
      <c r="A55" s="61"/>
      <c r="C55" s="23"/>
      <c r="D55" s="29"/>
      <c r="E55" s="23"/>
      <c r="F55" s="23"/>
      <c r="G55" s="23"/>
      <c r="H55" s="30"/>
      <c r="I55" s="23"/>
      <c r="J55" s="29"/>
      <c r="K55" s="30"/>
      <c r="L55" s="23"/>
      <c r="M55" s="29"/>
      <c r="N55" s="47"/>
      <c r="O55" s="47"/>
      <c r="P55" s="48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2"/>
      <c r="FJ55" s="12"/>
      <c r="FK55" s="12"/>
      <c r="FL55" s="12"/>
      <c r="FM55" s="12"/>
      <c r="FN55" s="12"/>
      <c r="FO55" s="12"/>
      <c r="FP55" s="12"/>
      <c r="FQ55" s="12"/>
      <c r="FR55" s="12"/>
      <c r="FS55" s="12"/>
      <c r="FT55" s="12"/>
      <c r="FU55" s="12"/>
      <c r="FV55" s="12"/>
      <c r="FW55" s="12"/>
      <c r="FX55" s="12"/>
      <c r="FY55" s="12"/>
      <c r="FZ55" s="12"/>
      <c r="GA55" s="12"/>
      <c r="GB55" s="12"/>
      <c r="GC55" s="12"/>
      <c r="GD55" s="12"/>
      <c r="GE55" s="12"/>
      <c r="GF55" s="12"/>
      <c r="GG55" s="12"/>
      <c r="GH55" s="12"/>
      <c r="GI55" s="12"/>
      <c r="GJ55" s="12"/>
      <c r="GK55" s="12"/>
      <c r="GL55" s="12"/>
      <c r="GM55" s="12"/>
      <c r="GN55" s="12"/>
      <c r="GO55" s="12"/>
      <c r="GP55" s="12"/>
      <c r="GQ55" s="12"/>
      <c r="GR55" s="12"/>
      <c r="GS55" s="12"/>
      <c r="GT55" s="12"/>
      <c r="GU55" s="12"/>
      <c r="GV55" s="12"/>
      <c r="GW55" s="12"/>
      <c r="GX55" s="12"/>
      <c r="GY55" s="12"/>
      <c r="GZ55" s="12"/>
      <c r="HA55" s="12"/>
      <c r="HB55" s="12"/>
      <c r="HC55" s="12"/>
      <c r="HD55" s="12"/>
      <c r="HE55" s="12"/>
      <c r="HF55" s="12"/>
      <c r="HG55" s="12"/>
      <c r="HH55" s="12"/>
      <c r="HI55" s="12"/>
      <c r="HJ55" s="12"/>
      <c r="HK55" s="12"/>
      <c r="HL55" s="12"/>
      <c r="HM55" s="12"/>
      <c r="HN55" s="12"/>
      <c r="HO55" s="12"/>
      <c r="HP55" s="12"/>
      <c r="HQ55" s="12"/>
      <c r="HR55" s="12"/>
      <c r="HS55" s="12"/>
      <c r="HT55" s="12"/>
      <c r="HU55" s="12"/>
      <c r="HV55" s="12"/>
      <c r="HW55" s="12"/>
      <c r="HX55" s="12"/>
      <c r="HY55" s="12"/>
      <c r="HZ55" s="12"/>
      <c r="IA55" s="12"/>
      <c r="IB55" s="12"/>
      <c r="IC55" s="12"/>
      <c r="ID55" s="12"/>
      <c r="IE55" s="12"/>
      <c r="IF55" s="12"/>
      <c r="IG55" s="12"/>
      <c r="IH55" s="12"/>
      <c r="II55" s="12"/>
      <c r="IJ55" s="12"/>
      <c r="IK55" s="12"/>
      <c r="IL55" s="12"/>
      <c r="IM55" s="12"/>
      <c r="IN55" s="12"/>
      <c r="IO55" s="12"/>
      <c r="IP55" s="12"/>
      <c r="IQ55" s="12"/>
      <c r="IR55" s="12"/>
      <c r="IS55" s="12"/>
      <c r="IT55" s="12"/>
      <c r="IU55" s="12"/>
      <c r="IV55" s="12"/>
      <c r="IW55" s="12"/>
      <c r="IX55" s="12"/>
      <c r="IY55" s="12"/>
      <c r="IZ55" s="12"/>
      <c r="JA55" s="12"/>
      <c r="JB55" s="12"/>
      <c r="JC55" s="12"/>
      <c r="JD55" s="12"/>
      <c r="JE55" s="12"/>
      <c r="JF55" s="12"/>
      <c r="JG55" s="12"/>
      <c r="JH55" s="12"/>
      <c r="JI55" s="12"/>
      <c r="JJ55" s="12"/>
      <c r="JK55" s="12"/>
      <c r="JL55" s="12"/>
      <c r="JM55" s="12"/>
      <c r="JN55" s="12"/>
      <c r="JO55" s="12"/>
      <c r="JP55" s="12"/>
      <c r="JQ55" s="12"/>
      <c r="JR55" s="12"/>
      <c r="JS55" s="12"/>
      <c r="JT55" s="12"/>
      <c r="JU55" s="12"/>
      <c r="JV55" s="12"/>
      <c r="JW55" s="12"/>
      <c r="JX55" s="12"/>
      <c r="JY55" s="12"/>
      <c r="JZ55" s="12"/>
      <c r="KA55" s="12"/>
      <c r="KB55" s="12"/>
      <c r="KC55" s="12"/>
      <c r="KD55" s="12"/>
      <c r="KE55" s="12"/>
      <c r="KF55" s="12"/>
      <c r="KG55" s="12"/>
      <c r="KH55" s="12"/>
      <c r="KI55" s="12"/>
      <c r="KJ55" s="12"/>
      <c r="KK55" s="12"/>
      <c r="KL55" s="12"/>
      <c r="KM55" s="12"/>
      <c r="KN55" s="12"/>
      <c r="KO55" s="12"/>
      <c r="KP55" s="12"/>
      <c r="KQ55" s="12"/>
      <c r="KR55" s="12"/>
      <c r="KS55" s="12"/>
      <c r="KT55" s="12"/>
      <c r="KU55" s="12"/>
      <c r="KV55" s="12"/>
      <c r="KW55" s="12"/>
      <c r="KX55" s="12"/>
      <c r="KY55" s="12"/>
      <c r="KZ55" s="12"/>
      <c r="LA55" s="12"/>
      <c r="LB55" s="12"/>
      <c r="LC55" s="12"/>
      <c r="LD55" s="12"/>
      <c r="LE55" s="12"/>
      <c r="LF55" s="12"/>
      <c r="LG55" s="12"/>
      <c r="LH55" s="12"/>
      <c r="LI55" s="12"/>
      <c r="LJ55" s="12"/>
      <c r="LK55" s="12"/>
      <c r="LL55" s="12"/>
      <c r="LM55" s="12"/>
      <c r="LN55" s="12"/>
      <c r="LO55" s="12"/>
      <c r="LP55" s="12"/>
      <c r="LQ55" s="12"/>
      <c r="LR55" s="12"/>
      <c r="LS55" s="12"/>
      <c r="LT55" s="12"/>
      <c r="LU55" s="12"/>
      <c r="LV55" s="12"/>
      <c r="LW55" s="12"/>
      <c r="LX55" s="12"/>
      <c r="LY55" s="12"/>
      <c r="LZ55" s="12"/>
      <c r="MA55" s="12"/>
      <c r="MB55" s="12"/>
      <c r="MC55" s="12"/>
      <c r="MD55" s="12"/>
      <c r="ME55" s="12"/>
      <c r="MF55" s="12"/>
      <c r="MG55" s="12"/>
      <c r="MH55" s="12"/>
      <c r="MI55" s="12"/>
      <c r="MJ55" s="12"/>
      <c r="MK55" s="12"/>
      <c r="ML55" s="12"/>
      <c r="MM55" s="12"/>
      <c r="MN55" s="12"/>
      <c r="MO55" s="12"/>
      <c r="MP55" s="12"/>
      <c r="MQ55" s="12"/>
      <c r="MR55" s="12"/>
      <c r="MS55" s="12"/>
      <c r="MT55" s="12"/>
      <c r="MU55" s="12"/>
      <c r="MV55" s="12"/>
      <c r="MW55" s="12"/>
      <c r="MX55" s="12"/>
      <c r="MY55" s="12"/>
      <c r="MZ55" s="12"/>
      <c r="NA55" s="12"/>
      <c r="NB55" s="12"/>
      <c r="NC55" s="12"/>
      <c r="ND55" s="12"/>
      <c r="NE55" s="12"/>
      <c r="NF55" s="12"/>
      <c r="NG55" s="12"/>
      <c r="NH55" s="12"/>
      <c r="NI55" s="12"/>
      <c r="NJ55" s="12"/>
      <c r="NK55" s="12"/>
      <c r="NL55" s="12"/>
      <c r="NM55" s="12"/>
      <c r="NN55" s="12"/>
      <c r="NO55" s="12"/>
      <c r="NP55" s="12"/>
      <c r="NQ55" s="12"/>
      <c r="NR55" s="12"/>
      <c r="NS55" s="12"/>
      <c r="NT55" s="12"/>
      <c r="NU55" s="12"/>
      <c r="NV55" s="12"/>
      <c r="NW55" s="12"/>
      <c r="NX55" s="12"/>
      <c r="NY55" s="12"/>
      <c r="NZ55" s="12"/>
      <c r="OA55" s="12"/>
      <c r="OB55" s="12"/>
      <c r="OC55" s="12"/>
      <c r="OD55" s="12"/>
      <c r="OE55" s="12"/>
      <c r="OF55" s="12"/>
      <c r="OG55" s="12"/>
      <c r="OH55" s="12"/>
      <c r="OI55" s="12"/>
      <c r="OJ55" s="12"/>
      <c r="OK55" s="12"/>
      <c r="OL55" s="12"/>
      <c r="OM55" s="12"/>
      <c r="ON55" s="12"/>
      <c r="OO55" s="12"/>
      <c r="OP55" s="12"/>
      <c r="OQ55" s="12"/>
      <c r="OR55" s="12"/>
      <c r="OS55" s="12"/>
      <c r="OT55" s="12"/>
      <c r="OU55" s="12"/>
      <c r="OV55" s="12"/>
      <c r="OW55" s="12"/>
      <c r="OX55" s="12"/>
      <c r="OY55" s="12"/>
      <c r="OZ55" s="12"/>
      <c r="PA55" s="12"/>
      <c r="PB55" s="12"/>
      <c r="PC55" s="12"/>
      <c r="PD55" s="12"/>
      <c r="PE55" s="12"/>
      <c r="PF55" s="12"/>
      <c r="PG55" s="12"/>
      <c r="PH55" s="12"/>
      <c r="PI55" s="12"/>
      <c r="PJ55" s="12"/>
      <c r="PK55" s="12"/>
      <c r="PL55" s="12"/>
      <c r="PM55" s="12"/>
      <c r="PN55" s="12"/>
      <c r="PO55" s="12"/>
      <c r="PP55" s="12"/>
      <c r="PQ55" s="12"/>
      <c r="PR55" s="12"/>
      <c r="PS55" s="12"/>
      <c r="PT55" s="12"/>
      <c r="PU55" s="12"/>
      <c r="PV55" s="12"/>
      <c r="PW55" s="12"/>
      <c r="PX55" s="12"/>
      <c r="PY55" s="12"/>
      <c r="PZ55" s="12"/>
      <c r="QA55" s="12"/>
      <c r="QB55" s="12"/>
      <c r="QC55" s="12"/>
      <c r="QD55" s="12"/>
      <c r="QE55" s="12"/>
      <c r="QF55" s="12"/>
      <c r="QG55" s="12"/>
      <c r="QH55" s="12"/>
      <c r="QI55" s="12"/>
      <c r="QJ55" s="12"/>
      <c r="QK55" s="12"/>
      <c r="QL55" s="12"/>
      <c r="QM55" s="12"/>
      <c r="QN55" s="12"/>
      <c r="QO55" s="12"/>
      <c r="QP55" s="12"/>
      <c r="QQ55" s="12"/>
      <c r="QR55" s="12"/>
      <c r="QS55" s="12"/>
      <c r="QT55" s="12"/>
      <c r="QU55" s="12"/>
      <c r="QV55" s="12"/>
      <c r="QW55" s="12"/>
      <c r="QX55" s="12"/>
      <c r="QY55" s="12"/>
      <c r="QZ55" s="12"/>
      <c r="RA55" s="12"/>
      <c r="RB55" s="12"/>
      <c r="RC55" s="12"/>
      <c r="RD55" s="12"/>
      <c r="RE55" s="12"/>
      <c r="RF55" s="12"/>
      <c r="RG55" s="12"/>
      <c r="RH55" s="12"/>
      <c r="RI55" s="12"/>
      <c r="RJ55" s="12"/>
      <c r="RK55" s="12"/>
      <c r="RL55" s="12"/>
      <c r="RM55" s="12"/>
      <c r="RN55" s="12"/>
      <c r="RO55" s="12"/>
      <c r="RP55" s="12"/>
      <c r="RQ55" s="12"/>
      <c r="RR55" s="12"/>
      <c r="RS55" s="12"/>
      <c r="RT55" s="12"/>
      <c r="RU55" s="12"/>
      <c r="RV55" s="12"/>
      <c r="RW55" s="12"/>
      <c r="RX55" s="12"/>
      <c r="RY55" s="12"/>
      <c r="RZ55" s="12"/>
      <c r="SA55" s="12"/>
      <c r="SB55" s="12"/>
      <c r="SC55" s="12"/>
      <c r="SD55" s="12"/>
      <c r="SE55" s="12"/>
      <c r="SF55" s="12"/>
      <c r="SG55" s="12"/>
      <c r="SH55" s="12"/>
      <c r="SI55" s="12"/>
      <c r="SJ55" s="12"/>
      <c r="SK55" s="12"/>
      <c r="SL55" s="12"/>
      <c r="SM55" s="12"/>
      <c r="SN55" s="12"/>
      <c r="SO55" s="12"/>
      <c r="SP55" s="12"/>
      <c r="SQ55" s="12"/>
      <c r="SR55" s="12"/>
      <c r="SS55" s="12"/>
      <c r="ST55" s="12"/>
      <c r="SU55" s="12"/>
      <c r="SV55" s="12"/>
      <c r="SW55" s="12"/>
      <c r="SX55" s="12"/>
      <c r="SY55" s="12"/>
      <c r="SZ55" s="12"/>
      <c r="TA55" s="12"/>
      <c r="TB55" s="12"/>
      <c r="TC55" s="12"/>
      <c r="TD55" s="12"/>
      <c r="TE55" s="12"/>
      <c r="TF55" s="12"/>
      <c r="TG55" s="12"/>
      <c r="TH55" s="12"/>
      <c r="TI55" s="12"/>
      <c r="TJ55" s="12"/>
      <c r="TK55" s="12"/>
      <c r="TL55" s="12"/>
      <c r="TM55" s="12"/>
      <c r="TN55" s="12"/>
      <c r="TO55" s="12"/>
      <c r="TP55" s="12"/>
      <c r="TQ55" s="12"/>
      <c r="TR55" s="12"/>
      <c r="TS55" s="12"/>
      <c r="TT55" s="12"/>
      <c r="TU55" s="12"/>
      <c r="TV55" s="12"/>
      <c r="TW55" s="12"/>
      <c r="TX55" s="12"/>
      <c r="TY55" s="12"/>
      <c r="TZ55" s="12"/>
      <c r="UA55" s="12"/>
      <c r="UB55" s="12"/>
      <c r="UC55" s="12"/>
      <c r="UD55" s="12"/>
      <c r="UE55" s="12"/>
      <c r="UF55" s="12"/>
      <c r="UG55" s="12"/>
      <c r="UH55" s="12"/>
      <c r="UI55" s="12"/>
      <c r="UJ55" s="12"/>
      <c r="UK55" s="12"/>
      <c r="UL55" s="12"/>
      <c r="UM55" s="12"/>
      <c r="UN55" s="12"/>
      <c r="UO55" s="12"/>
      <c r="UP55" s="12"/>
      <c r="UQ55" s="12"/>
      <c r="UR55" s="12"/>
      <c r="US55" s="12"/>
      <c r="UT55" s="12"/>
      <c r="UU55" s="12"/>
      <c r="UV55" s="12"/>
      <c r="UW55" s="12"/>
      <c r="UX55" s="12"/>
      <c r="UY55" s="12"/>
      <c r="UZ55" s="12"/>
      <c r="VA55" s="12"/>
      <c r="VB55" s="12"/>
      <c r="VC55" s="12"/>
      <c r="VD55" s="12"/>
      <c r="VE55" s="12"/>
      <c r="VF55" s="12"/>
      <c r="VG55" s="12"/>
      <c r="VH55" s="12"/>
      <c r="VI55" s="12"/>
      <c r="VJ55" s="12"/>
      <c r="VK55" s="12"/>
      <c r="VL55" s="12"/>
      <c r="VM55" s="12"/>
      <c r="VN55" s="12"/>
      <c r="VO55" s="12"/>
      <c r="VP55" s="12"/>
      <c r="VQ55" s="12"/>
      <c r="VR55" s="12"/>
      <c r="VS55" s="12"/>
      <c r="VT55" s="12"/>
      <c r="VU55" s="12"/>
      <c r="VV55" s="12"/>
      <c r="VW55" s="12"/>
      <c r="VX55" s="12"/>
      <c r="VY55" s="12"/>
      <c r="VZ55" s="12"/>
      <c r="WA55" s="12"/>
      <c r="WB55" s="12"/>
      <c r="WC55" s="12"/>
      <c r="WD55" s="12"/>
      <c r="WE55" s="12"/>
      <c r="WF55" s="12"/>
      <c r="WG55" s="12"/>
      <c r="WH55" s="12"/>
      <c r="WI55" s="12"/>
      <c r="WJ55" s="12"/>
      <c r="WK55" s="12"/>
      <c r="WL55" s="12"/>
      <c r="WM55" s="12"/>
      <c r="WN55" s="12"/>
      <c r="WO55" s="12"/>
      <c r="WP55" s="12"/>
      <c r="WQ55" s="12"/>
      <c r="WR55" s="12"/>
      <c r="WS55" s="12"/>
      <c r="WT55" s="12"/>
      <c r="WU55" s="12"/>
      <c r="WV55" s="12"/>
      <c r="WW55" s="12"/>
      <c r="WX55" s="12"/>
      <c r="WY55" s="12"/>
      <c r="WZ55" s="12"/>
      <c r="XA55" s="12"/>
      <c r="XB55" s="12"/>
      <c r="XC55" s="12"/>
      <c r="XD55" s="12"/>
      <c r="XE55" s="12"/>
      <c r="XF55" s="12"/>
      <c r="XG55" s="12"/>
      <c r="XH55" s="12"/>
      <c r="XI55" s="12"/>
      <c r="XJ55" s="12"/>
      <c r="XK55" s="12"/>
      <c r="XL55" s="12"/>
      <c r="XM55" s="12"/>
      <c r="XN55" s="12"/>
      <c r="XO55" s="12"/>
      <c r="XP55" s="12"/>
      <c r="XQ55" s="12"/>
      <c r="XR55" s="12"/>
      <c r="XS55" s="12"/>
      <c r="XT55" s="12"/>
      <c r="XU55" s="12"/>
      <c r="XV55" s="12"/>
      <c r="XW55" s="12"/>
      <c r="XX55" s="12"/>
      <c r="XY55" s="12"/>
      <c r="XZ55" s="12"/>
      <c r="YA55" s="12"/>
      <c r="YB55" s="12"/>
      <c r="YC55" s="12"/>
      <c r="YD55" s="12"/>
      <c r="YE55" s="12"/>
      <c r="YF55" s="12"/>
      <c r="YG55" s="12"/>
      <c r="YH55" s="12"/>
      <c r="YI55" s="12"/>
      <c r="YJ55" s="12"/>
      <c r="YK55" s="12"/>
      <c r="YL55" s="12"/>
      <c r="YM55" s="12"/>
      <c r="YN55" s="12"/>
      <c r="YO55" s="12"/>
      <c r="YP55" s="12"/>
      <c r="YQ55" s="12"/>
      <c r="YR55" s="12"/>
      <c r="YS55" s="12"/>
      <c r="YT55" s="12"/>
      <c r="YU55" s="12"/>
      <c r="YV55" s="12"/>
      <c r="YW55" s="12"/>
      <c r="YX55" s="12"/>
      <c r="YY55" s="12"/>
      <c r="YZ55" s="12"/>
      <c r="ZA55" s="12"/>
      <c r="ZB55" s="12"/>
      <c r="ZC55" s="12"/>
      <c r="ZD55" s="12"/>
      <c r="ZE55" s="12"/>
      <c r="ZF55" s="12"/>
      <c r="ZG55" s="12"/>
      <c r="ZH55" s="12"/>
      <c r="ZI55" s="12"/>
      <c r="ZJ55" s="12"/>
      <c r="ZK55" s="12"/>
      <c r="ZL55" s="12"/>
      <c r="ZM55" s="12"/>
      <c r="ZN55" s="12"/>
      <c r="ZO55" s="12"/>
      <c r="ZP55" s="12"/>
      <c r="ZQ55" s="12"/>
      <c r="ZR55" s="12"/>
      <c r="ZS55" s="12"/>
      <c r="ZT55" s="12"/>
      <c r="ZU55" s="12"/>
      <c r="ZV55" s="12"/>
      <c r="ZW55" s="12"/>
      <c r="ZX55" s="12"/>
      <c r="ZY55" s="12"/>
      <c r="ZZ55" s="12"/>
      <c r="AAA55" s="12"/>
      <c r="AAB55" s="12"/>
      <c r="AAC55" s="12"/>
      <c r="AAD55" s="12"/>
      <c r="AAE55" s="12"/>
      <c r="AAF55" s="12"/>
      <c r="AAG55" s="12"/>
      <c r="AAH55" s="12"/>
      <c r="AAI55" s="12"/>
      <c r="AAJ55" s="12"/>
      <c r="AAK55" s="12"/>
      <c r="AAL55" s="12"/>
      <c r="AAM55" s="12"/>
      <c r="AAN55" s="12"/>
      <c r="AAO55" s="12"/>
      <c r="AAP55" s="12"/>
      <c r="AAQ55" s="12"/>
      <c r="AAR55" s="12"/>
      <c r="AAS55" s="12"/>
      <c r="AAT55" s="12"/>
      <c r="AAU55" s="12"/>
      <c r="AAV55" s="12"/>
      <c r="AAW55" s="12"/>
      <c r="AAX55" s="12"/>
      <c r="AAY55" s="12"/>
      <c r="AAZ55" s="12"/>
      <c r="ABA55" s="12"/>
      <c r="ABB55" s="12"/>
      <c r="ABC55" s="12"/>
      <c r="ABD55" s="12"/>
      <c r="ABE55" s="12"/>
      <c r="ABF55" s="12"/>
      <c r="ABG55" s="12"/>
      <c r="ABH55" s="12"/>
      <c r="ABI55" s="12"/>
      <c r="ABJ55" s="12"/>
      <c r="ABK55" s="12"/>
      <c r="ABL55" s="12"/>
      <c r="ABM55" s="12"/>
      <c r="ABN55" s="12"/>
      <c r="ABO55" s="12"/>
      <c r="ABP55" s="12"/>
      <c r="ABQ55" s="12"/>
      <c r="ABR55" s="12"/>
      <c r="ABS55" s="12"/>
      <c r="ABT55" s="12"/>
      <c r="ABU55" s="12"/>
      <c r="ABV55" s="12"/>
      <c r="ABW55" s="12"/>
      <c r="ABX55" s="12"/>
      <c r="ABY55" s="12"/>
      <c r="ABZ55" s="12"/>
      <c r="ACA55" s="12"/>
      <c r="ACB55" s="12"/>
      <c r="ACC55" s="12"/>
      <c r="ACD55" s="12"/>
      <c r="ACE55" s="12"/>
      <c r="ACF55" s="12"/>
      <c r="ACG55" s="12"/>
      <c r="ACH55" s="12"/>
      <c r="ACI55" s="12"/>
      <c r="ACJ55" s="12"/>
      <c r="ACK55" s="12"/>
      <c r="ACL55" s="12"/>
      <c r="ACM55" s="12"/>
      <c r="ACN55" s="12"/>
      <c r="ACO55" s="12"/>
      <c r="ACP55" s="12"/>
      <c r="ACQ55" s="12"/>
      <c r="ACR55" s="12"/>
      <c r="ACS55" s="12"/>
      <c r="ACT55" s="12"/>
      <c r="ACU55" s="12"/>
      <c r="ACV55" s="12"/>
      <c r="ACW55" s="12"/>
      <c r="ACX55" s="12"/>
      <c r="ACY55" s="12"/>
      <c r="ACZ55" s="12"/>
      <c r="ADA55" s="12"/>
      <c r="ADB55" s="12"/>
      <c r="ADC55" s="12"/>
      <c r="ADD55" s="12"/>
      <c r="ADE55" s="12"/>
      <c r="ADF55" s="12"/>
      <c r="ADG55" s="12"/>
      <c r="ADH55" s="12"/>
      <c r="ADI55" s="12"/>
      <c r="ADJ55" s="12"/>
      <c r="ADK55" s="12"/>
      <c r="ADL55" s="12"/>
      <c r="ADM55" s="12"/>
      <c r="ADN55" s="12"/>
      <c r="ADO55" s="12"/>
      <c r="ADP55" s="12"/>
      <c r="ADQ55" s="12"/>
      <c r="ADR55" s="12"/>
      <c r="ADS55" s="12"/>
      <c r="ADT55" s="12"/>
      <c r="ADU55" s="12"/>
      <c r="ADV55" s="12"/>
      <c r="ADW55" s="12"/>
      <c r="ADX55" s="12"/>
      <c r="ADY55" s="12"/>
      <c r="ADZ55" s="12"/>
      <c r="AEA55" s="12"/>
      <c r="AEB55" s="12"/>
      <c r="AEC55" s="12"/>
      <c r="AED55" s="12"/>
      <c r="AEE55" s="12"/>
      <c r="AEF55" s="12"/>
      <c r="AEG55" s="12"/>
      <c r="AEH55" s="12"/>
      <c r="AEI55" s="12"/>
      <c r="AEJ55" s="12"/>
      <c r="AEK55" s="12"/>
      <c r="AEL55" s="12"/>
      <c r="AEM55" s="12"/>
      <c r="AEN55" s="12"/>
      <c r="AEO55" s="12"/>
      <c r="AEP55" s="12"/>
      <c r="AEQ55" s="12"/>
      <c r="AER55" s="12"/>
      <c r="AES55" s="12"/>
      <c r="AET55" s="12"/>
      <c r="AEU55" s="12"/>
      <c r="AEV55" s="12"/>
    </row>
    <row r="56" spans="1:828" s="27" customFormat="1" ht="18" x14ac:dyDescent="0.2">
      <c r="A56" s="61"/>
      <c r="C56" s="23"/>
      <c r="D56" s="29"/>
      <c r="E56" s="23"/>
      <c r="F56" s="23"/>
      <c r="G56" s="23"/>
      <c r="H56" s="30"/>
      <c r="I56" s="23"/>
      <c r="J56" s="29"/>
      <c r="K56" s="30"/>
      <c r="L56" s="23"/>
      <c r="M56" s="29"/>
      <c r="N56" s="47"/>
      <c r="O56" s="47"/>
      <c r="P56" s="48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2"/>
      <c r="FJ56" s="12"/>
      <c r="FK56" s="12"/>
      <c r="FL56" s="12"/>
      <c r="FM56" s="12"/>
      <c r="FN56" s="12"/>
      <c r="FO56" s="12"/>
      <c r="FP56" s="12"/>
      <c r="FQ56" s="12"/>
      <c r="FR56" s="12"/>
      <c r="FS56" s="12"/>
      <c r="FT56" s="12"/>
      <c r="FU56" s="12"/>
      <c r="FV56" s="12"/>
      <c r="FW56" s="12"/>
      <c r="FX56" s="12"/>
      <c r="FY56" s="12"/>
      <c r="FZ56" s="12"/>
      <c r="GA56" s="12"/>
      <c r="GB56" s="12"/>
      <c r="GC56" s="12"/>
      <c r="GD56" s="12"/>
      <c r="GE56" s="12"/>
      <c r="GF56" s="12"/>
      <c r="GG56" s="12"/>
      <c r="GH56" s="12"/>
      <c r="GI56" s="12"/>
      <c r="GJ56" s="12"/>
      <c r="GK56" s="12"/>
      <c r="GL56" s="12"/>
      <c r="GM56" s="12"/>
      <c r="GN56" s="12"/>
      <c r="GO56" s="12"/>
      <c r="GP56" s="12"/>
      <c r="GQ56" s="12"/>
      <c r="GR56" s="12"/>
      <c r="GS56" s="12"/>
      <c r="GT56" s="12"/>
      <c r="GU56" s="12"/>
      <c r="GV56" s="12"/>
      <c r="GW56" s="12"/>
      <c r="GX56" s="12"/>
      <c r="GY56" s="12"/>
      <c r="GZ56" s="12"/>
      <c r="HA56" s="12"/>
      <c r="HB56" s="12"/>
      <c r="HC56" s="12"/>
      <c r="HD56" s="12"/>
      <c r="HE56" s="12"/>
      <c r="HF56" s="12"/>
      <c r="HG56" s="12"/>
      <c r="HH56" s="12"/>
      <c r="HI56" s="12"/>
      <c r="HJ56" s="12"/>
      <c r="HK56" s="12"/>
      <c r="HL56" s="12"/>
      <c r="HM56" s="12"/>
      <c r="HN56" s="12"/>
      <c r="HO56" s="12"/>
      <c r="HP56" s="12"/>
      <c r="HQ56" s="12"/>
      <c r="HR56" s="12"/>
      <c r="HS56" s="12"/>
      <c r="HT56" s="12"/>
      <c r="HU56" s="12"/>
      <c r="HV56" s="12"/>
      <c r="HW56" s="12"/>
      <c r="HX56" s="12"/>
      <c r="HY56" s="12"/>
      <c r="HZ56" s="12"/>
      <c r="IA56" s="12"/>
      <c r="IB56" s="12"/>
      <c r="IC56" s="12"/>
      <c r="ID56" s="12"/>
      <c r="IE56" s="12"/>
      <c r="IF56" s="12"/>
      <c r="IG56" s="12"/>
      <c r="IH56" s="12"/>
      <c r="II56" s="12"/>
      <c r="IJ56" s="12"/>
      <c r="IK56" s="12"/>
      <c r="IL56" s="12"/>
      <c r="IM56" s="12"/>
      <c r="IN56" s="12"/>
      <c r="IO56" s="12"/>
      <c r="IP56" s="12"/>
      <c r="IQ56" s="12"/>
      <c r="IR56" s="12"/>
      <c r="IS56" s="12"/>
      <c r="IT56" s="12"/>
      <c r="IU56" s="12"/>
      <c r="IV56" s="12"/>
      <c r="IW56" s="12"/>
      <c r="IX56" s="12"/>
      <c r="IY56" s="12"/>
      <c r="IZ56" s="12"/>
      <c r="JA56" s="12"/>
      <c r="JB56" s="12"/>
      <c r="JC56" s="12"/>
      <c r="JD56" s="12"/>
      <c r="JE56" s="12"/>
      <c r="JF56" s="12"/>
      <c r="JG56" s="12"/>
      <c r="JH56" s="12"/>
      <c r="JI56" s="12"/>
      <c r="JJ56" s="12"/>
      <c r="JK56" s="12"/>
      <c r="JL56" s="12"/>
      <c r="JM56" s="12"/>
      <c r="JN56" s="12"/>
      <c r="JO56" s="12"/>
      <c r="JP56" s="12"/>
      <c r="JQ56" s="12"/>
      <c r="JR56" s="12"/>
      <c r="JS56" s="12"/>
      <c r="JT56" s="12"/>
      <c r="JU56" s="12"/>
      <c r="JV56" s="12"/>
      <c r="JW56" s="12"/>
      <c r="JX56" s="12"/>
      <c r="JY56" s="12"/>
      <c r="JZ56" s="12"/>
      <c r="KA56" s="12"/>
      <c r="KB56" s="12"/>
      <c r="KC56" s="12"/>
      <c r="KD56" s="12"/>
      <c r="KE56" s="12"/>
      <c r="KF56" s="12"/>
      <c r="KG56" s="12"/>
      <c r="KH56" s="12"/>
      <c r="KI56" s="12"/>
      <c r="KJ56" s="12"/>
      <c r="KK56" s="12"/>
      <c r="KL56" s="12"/>
      <c r="KM56" s="12"/>
      <c r="KN56" s="12"/>
      <c r="KO56" s="12"/>
      <c r="KP56" s="12"/>
      <c r="KQ56" s="12"/>
      <c r="KR56" s="12"/>
      <c r="KS56" s="12"/>
      <c r="KT56" s="12"/>
      <c r="KU56" s="12"/>
      <c r="KV56" s="12"/>
      <c r="KW56" s="12"/>
      <c r="KX56" s="12"/>
      <c r="KY56" s="12"/>
      <c r="KZ56" s="12"/>
      <c r="LA56" s="12"/>
      <c r="LB56" s="12"/>
      <c r="LC56" s="12"/>
      <c r="LD56" s="12"/>
      <c r="LE56" s="12"/>
      <c r="LF56" s="12"/>
      <c r="LG56" s="12"/>
      <c r="LH56" s="12"/>
      <c r="LI56" s="12"/>
      <c r="LJ56" s="12"/>
      <c r="LK56" s="12"/>
      <c r="LL56" s="12"/>
      <c r="LM56" s="12"/>
      <c r="LN56" s="12"/>
      <c r="LO56" s="12"/>
      <c r="LP56" s="12"/>
      <c r="LQ56" s="12"/>
      <c r="LR56" s="12"/>
      <c r="LS56" s="12"/>
      <c r="LT56" s="12"/>
      <c r="LU56" s="12"/>
      <c r="LV56" s="12"/>
      <c r="LW56" s="12"/>
      <c r="LX56" s="12"/>
      <c r="LY56" s="12"/>
      <c r="LZ56" s="12"/>
      <c r="MA56" s="12"/>
      <c r="MB56" s="12"/>
      <c r="MC56" s="12"/>
      <c r="MD56" s="12"/>
      <c r="ME56" s="12"/>
      <c r="MF56" s="12"/>
      <c r="MG56" s="12"/>
      <c r="MH56" s="12"/>
      <c r="MI56" s="12"/>
      <c r="MJ56" s="12"/>
      <c r="MK56" s="12"/>
      <c r="ML56" s="12"/>
      <c r="MM56" s="12"/>
      <c r="MN56" s="12"/>
      <c r="MO56" s="12"/>
      <c r="MP56" s="12"/>
      <c r="MQ56" s="12"/>
      <c r="MR56" s="12"/>
      <c r="MS56" s="12"/>
      <c r="MT56" s="12"/>
      <c r="MU56" s="12"/>
      <c r="MV56" s="12"/>
      <c r="MW56" s="12"/>
      <c r="MX56" s="12"/>
      <c r="MY56" s="12"/>
      <c r="MZ56" s="12"/>
      <c r="NA56" s="12"/>
      <c r="NB56" s="12"/>
      <c r="NC56" s="12"/>
      <c r="ND56" s="12"/>
      <c r="NE56" s="12"/>
      <c r="NF56" s="12"/>
      <c r="NG56" s="12"/>
      <c r="NH56" s="12"/>
      <c r="NI56" s="12"/>
      <c r="NJ56" s="12"/>
      <c r="NK56" s="12"/>
      <c r="NL56" s="12"/>
      <c r="NM56" s="12"/>
      <c r="NN56" s="12"/>
      <c r="NO56" s="12"/>
      <c r="NP56" s="12"/>
      <c r="NQ56" s="12"/>
      <c r="NR56" s="12"/>
      <c r="NS56" s="12"/>
      <c r="NT56" s="12"/>
      <c r="NU56" s="12"/>
      <c r="NV56" s="12"/>
      <c r="NW56" s="12"/>
      <c r="NX56" s="12"/>
      <c r="NY56" s="12"/>
      <c r="NZ56" s="12"/>
      <c r="OA56" s="12"/>
      <c r="OB56" s="12"/>
      <c r="OC56" s="12"/>
      <c r="OD56" s="12"/>
      <c r="OE56" s="12"/>
      <c r="OF56" s="12"/>
      <c r="OG56" s="12"/>
      <c r="OH56" s="12"/>
      <c r="OI56" s="12"/>
      <c r="OJ56" s="12"/>
      <c r="OK56" s="12"/>
      <c r="OL56" s="12"/>
      <c r="OM56" s="12"/>
      <c r="ON56" s="12"/>
      <c r="OO56" s="12"/>
      <c r="OP56" s="12"/>
      <c r="OQ56" s="12"/>
      <c r="OR56" s="12"/>
      <c r="OS56" s="12"/>
      <c r="OT56" s="12"/>
      <c r="OU56" s="12"/>
      <c r="OV56" s="12"/>
      <c r="OW56" s="12"/>
      <c r="OX56" s="12"/>
      <c r="OY56" s="12"/>
      <c r="OZ56" s="12"/>
      <c r="PA56" s="12"/>
      <c r="PB56" s="12"/>
      <c r="PC56" s="12"/>
      <c r="PD56" s="12"/>
      <c r="PE56" s="12"/>
      <c r="PF56" s="12"/>
      <c r="PG56" s="12"/>
      <c r="PH56" s="12"/>
      <c r="PI56" s="12"/>
      <c r="PJ56" s="12"/>
      <c r="PK56" s="12"/>
      <c r="PL56" s="12"/>
      <c r="PM56" s="12"/>
      <c r="PN56" s="12"/>
      <c r="PO56" s="12"/>
      <c r="PP56" s="12"/>
      <c r="PQ56" s="12"/>
      <c r="PR56" s="12"/>
      <c r="PS56" s="12"/>
      <c r="PT56" s="12"/>
      <c r="PU56" s="12"/>
      <c r="PV56" s="12"/>
      <c r="PW56" s="12"/>
      <c r="PX56" s="12"/>
      <c r="PY56" s="12"/>
      <c r="PZ56" s="12"/>
      <c r="QA56" s="12"/>
      <c r="QB56" s="12"/>
      <c r="QC56" s="12"/>
      <c r="QD56" s="12"/>
      <c r="QE56" s="12"/>
      <c r="QF56" s="12"/>
      <c r="QG56" s="12"/>
      <c r="QH56" s="12"/>
      <c r="QI56" s="12"/>
      <c r="QJ56" s="12"/>
      <c r="QK56" s="12"/>
      <c r="QL56" s="12"/>
      <c r="QM56" s="12"/>
      <c r="QN56" s="12"/>
      <c r="QO56" s="12"/>
      <c r="QP56" s="12"/>
      <c r="QQ56" s="12"/>
      <c r="QR56" s="12"/>
      <c r="QS56" s="12"/>
      <c r="QT56" s="12"/>
      <c r="QU56" s="12"/>
      <c r="QV56" s="12"/>
      <c r="QW56" s="12"/>
      <c r="QX56" s="12"/>
      <c r="QY56" s="12"/>
      <c r="QZ56" s="12"/>
      <c r="RA56" s="12"/>
      <c r="RB56" s="12"/>
      <c r="RC56" s="12"/>
      <c r="RD56" s="12"/>
      <c r="RE56" s="12"/>
      <c r="RF56" s="12"/>
      <c r="RG56" s="12"/>
      <c r="RH56" s="12"/>
      <c r="RI56" s="12"/>
      <c r="RJ56" s="12"/>
      <c r="RK56" s="12"/>
      <c r="RL56" s="12"/>
      <c r="RM56" s="12"/>
      <c r="RN56" s="12"/>
      <c r="RO56" s="12"/>
      <c r="RP56" s="12"/>
      <c r="RQ56" s="12"/>
      <c r="RR56" s="12"/>
      <c r="RS56" s="12"/>
      <c r="RT56" s="12"/>
      <c r="RU56" s="12"/>
      <c r="RV56" s="12"/>
      <c r="RW56" s="12"/>
      <c r="RX56" s="12"/>
      <c r="RY56" s="12"/>
      <c r="RZ56" s="12"/>
      <c r="SA56" s="12"/>
      <c r="SB56" s="12"/>
      <c r="SC56" s="12"/>
      <c r="SD56" s="12"/>
      <c r="SE56" s="12"/>
      <c r="SF56" s="12"/>
      <c r="SG56" s="12"/>
      <c r="SH56" s="12"/>
      <c r="SI56" s="12"/>
      <c r="SJ56" s="12"/>
      <c r="SK56" s="12"/>
      <c r="SL56" s="12"/>
      <c r="SM56" s="12"/>
      <c r="SN56" s="12"/>
      <c r="SO56" s="12"/>
      <c r="SP56" s="12"/>
      <c r="SQ56" s="12"/>
      <c r="SR56" s="12"/>
      <c r="SS56" s="12"/>
      <c r="ST56" s="12"/>
      <c r="SU56" s="12"/>
      <c r="SV56" s="12"/>
      <c r="SW56" s="12"/>
      <c r="SX56" s="12"/>
      <c r="SY56" s="12"/>
      <c r="SZ56" s="12"/>
      <c r="TA56" s="12"/>
      <c r="TB56" s="12"/>
      <c r="TC56" s="12"/>
      <c r="TD56" s="12"/>
      <c r="TE56" s="12"/>
      <c r="TF56" s="12"/>
      <c r="TG56" s="12"/>
      <c r="TH56" s="12"/>
      <c r="TI56" s="12"/>
      <c r="TJ56" s="12"/>
      <c r="TK56" s="12"/>
      <c r="TL56" s="12"/>
      <c r="TM56" s="12"/>
      <c r="TN56" s="12"/>
      <c r="TO56" s="12"/>
      <c r="TP56" s="12"/>
      <c r="TQ56" s="12"/>
      <c r="TR56" s="12"/>
      <c r="TS56" s="12"/>
      <c r="TT56" s="12"/>
      <c r="TU56" s="12"/>
      <c r="TV56" s="12"/>
      <c r="TW56" s="12"/>
      <c r="TX56" s="12"/>
      <c r="TY56" s="12"/>
      <c r="TZ56" s="12"/>
      <c r="UA56" s="12"/>
      <c r="UB56" s="12"/>
      <c r="UC56" s="12"/>
      <c r="UD56" s="12"/>
      <c r="UE56" s="12"/>
      <c r="UF56" s="12"/>
      <c r="UG56" s="12"/>
      <c r="UH56" s="12"/>
      <c r="UI56" s="12"/>
      <c r="UJ56" s="12"/>
      <c r="UK56" s="12"/>
      <c r="UL56" s="12"/>
      <c r="UM56" s="12"/>
      <c r="UN56" s="12"/>
      <c r="UO56" s="12"/>
      <c r="UP56" s="12"/>
      <c r="UQ56" s="12"/>
      <c r="UR56" s="12"/>
      <c r="US56" s="12"/>
      <c r="UT56" s="12"/>
      <c r="UU56" s="12"/>
      <c r="UV56" s="12"/>
      <c r="UW56" s="12"/>
      <c r="UX56" s="12"/>
      <c r="UY56" s="12"/>
      <c r="UZ56" s="12"/>
      <c r="VA56" s="12"/>
      <c r="VB56" s="12"/>
      <c r="VC56" s="12"/>
      <c r="VD56" s="12"/>
      <c r="VE56" s="12"/>
      <c r="VF56" s="12"/>
      <c r="VG56" s="12"/>
      <c r="VH56" s="12"/>
      <c r="VI56" s="12"/>
      <c r="VJ56" s="12"/>
      <c r="VK56" s="12"/>
      <c r="VL56" s="12"/>
      <c r="VM56" s="12"/>
      <c r="VN56" s="12"/>
      <c r="VO56" s="12"/>
      <c r="VP56" s="12"/>
      <c r="VQ56" s="12"/>
      <c r="VR56" s="12"/>
      <c r="VS56" s="12"/>
      <c r="VT56" s="12"/>
      <c r="VU56" s="12"/>
      <c r="VV56" s="12"/>
      <c r="VW56" s="12"/>
      <c r="VX56" s="12"/>
      <c r="VY56" s="12"/>
      <c r="VZ56" s="12"/>
      <c r="WA56" s="12"/>
      <c r="WB56" s="12"/>
      <c r="WC56" s="12"/>
      <c r="WD56" s="12"/>
      <c r="WE56" s="12"/>
      <c r="WF56" s="12"/>
      <c r="WG56" s="12"/>
      <c r="WH56" s="12"/>
      <c r="WI56" s="12"/>
      <c r="WJ56" s="12"/>
      <c r="WK56" s="12"/>
      <c r="WL56" s="12"/>
      <c r="WM56" s="12"/>
      <c r="WN56" s="12"/>
      <c r="WO56" s="12"/>
      <c r="WP56" s="12"/>
      <c r="WQ56" s="12"/>
      <c r="WR56" s="12"/>
      <c r="WS56" s="12"/>
      <c r="WT56" s="12"/>
      <c r="WU56" s="12"/>
      <c r="WV56" s="12"/>
      <c r="WW56" s="12"/>
      <c r="WX56" s="12"/>
      <c r="WY56" s="12"/>
      <c r="WZ56" s="12"/>
      <c r="XA56" s="12"/>
      <c r="XB56" s="12"/>
      <c r="XC56" s="12"/>
      <c r="XD56" s="12"/>
      <c r="XE56" s="12"/>
      <c r="XF56" s="12"/>
      <c r="XG56" s="12"/>
      <c r="XH56" s="12"/>
      <c r="XI56" s="12"/>
      <c r="XJ56" s="12"/>
      <c r="XK56" s="12"/>
      <c r="XL56" s="12"/>
      <c r="XM56" s="12"/>
      <c r="XN56" s="12"/>
      <c r="XO56" s="12"/>
      <c r="XP56" s="12"/>
      <c r="XQ56" s="12"/>
      <c r="XR56" s="12"/>
      <c r="XS56" s="12"/>
      <c r="XT56" s="12"/>
      <c r="XU56" s="12"/>
      <c r="XV56" s="12"/>
      <c r="XW56" s="12"/>
      <c r="XX56" s="12"/>
      <c r="XY56" s="12"/>
      <c r="XZ56" s="12"/>
      <c r="YA56" s="12"/>
      <c r="YB56" s="12"/>
      <c r="YC56" s="12"/>
      <c r="YD56" s="12"/>
      <c r="YE56" s="12"/>
      <c r="YF56" s="12"/>
      <c r="YG56" s="12"/>
      <c r="YH56" s="12"/>
      <c r="YI56" s="12"/>
      <c r="YJ56" s="12"/>
      <c r="YK56" s="12"/>
      <c r="YL56" s="12"/>
      <c r="YM56" s="12"/>
      <c r="YN56" s="12"/>
      <c r="YO56" s="12"/>
      <c r="YP56" s="12"/>
      <c r="YQ56" s="12"/>
      <c r="YR56" s="12"/>
      <c r="YS56" s="12"/>
      <c r="YT56" s="12"/>
      <c r="YU56" s="12"/>
      <c r="YV56" s="12"/>
      <c r="YW56" s="12"/>
      <c r="YX56" s="12"/>
      <c r="YY56" s="12"/>
      <c r="YZ56" s="12"/>
      <c r="ZA56" s="12"/>
      <c r="ZB56" s="12"/>
      <c r="ZC56" s="12"/>
      <c r="ZD56" s="12"/>
      <c r="ZE56" s="12"/>
      <c r="ZF56" s="12"/>
      <c r="ZG56" s="12"/>
      <c r="ZH56" s="12"/>
      <c r="ZI56" s="12"/>
      <c r="ZJ56" s="12"/>
      <c r="ZK56" s="12"/>
      <c r="ZL56" s="12"/>
      <c r="ZM56" s="12"/>
      <c r="ZN56" s="12"/>
      <c r="ZO56" s="12"/>
      <c r="ZP56" s="12"/>
      <c r="ZQ56" s="12"/>
      <c r="ZR56" s="12"/>
      <c r="ZS56" s="12"/>
      <c r="ZT56" s="12"/>
      <c r="ZU56" s="12"/>
      <c r="ZV56" s="12"/>
      <c r="ZW56" s="12"/>
      <c r="ZX56" s="12"/>
      <c r="ZY56" s="12"/>
      <c r="ZZ56" s="12"/>
      <c r="AAA56" s="12"/>
      <c r="AAB56" s="12"/>
      <c r="AAC56" s="12"/>
      <c r="AAD56" s="12"/>
      <c r="AAE56" s="12"/>
      <c r="AAF56" s="12"/>
      <c r="AAG56" s="12"/>
      <c r="AAH56" s="12"/>
      <c r="AAI56" s="12"/>
      <c r="AAJ56" s="12"/>
      <c r="AAK56" s="12"/>
      <c r="AAL56" s="12"/>
      <c r="AAM56" s="12"/>
      <c r="AAN56" s="12"/>
      <c r="AAO56" s="12"/>
      <c r="AAP56" s="12"/>
      <c r="AAQ56" s="12"/>
      <c r="AAR56" s="12"/>
      <c r="AAS56" s="12"/>
      <c r="AAT56" s="12"/>
      <c r="AAU56" s="12"/>
      <c r="AAV56" s="12"/>
      <c r="AAW56" s="12"/>
      <c r="AAX56" s="12"/>
      <c r="AAY56" s="12"/>
      <c r="AAZ56" s="12"/>
      <c r="ABA56" s="12"/>
      <c r="ABB56" s="12"/>
      <c r="ABC56" s="12"/>
      <c r="ABD56" s="12"/>
      <c r="ABE56" s="12"/>
      <c r="ABF56" s="12"/>
      <c r="ABG56" s="12"/>
      <c r="ABH56" s="12"/>
      <c r="ABI56" s="12"/>
      <c r="ABJ56" s="12"/>
      <c r="ABK56" s="12"/>
      <c r="ABL56" s="12"/>
      <c r="ABM56" s="12"/>
      <c r="ABN56" s="12"/>
      <c r="ABO56" s="12"/>
      <c r="ABP56" s="12"/>
      <c r="ABQ56" s="12"/>
      <c r="ABR56" s="12"/>
      <c r="ABS56" s="12"/>
      <c r="ABT56" s="12"/>
      <c r="ABU56" s="12"/>
      <c r="ABV56" s="12"/>
      <c r="ABW56" s="12"/>
      <c r="ABX56" s="12"/>
      <c r="ABY56" s="12"/>
      <c r="ABZ56" s="12"/>
      <c r="ACA56" s="12"/>
      <c r="ACB56" s="12"/>
      <c r="ACC56" s="12"/>
      <c r="ACD56" s="12"/>
      <c r="ACE56" s="12"/>
      <c r="ACF56" s="12"/>
      <c r="ACG56" s="12"/>
      <c r="ACH56" s="12"/>
      <c r="ACI56" s="12"/>
      <c r="ACJ56" s="12"/>
      <c r="ACK56" s="12"/>
      <c r="ACL56" s="12"/>
      <c r="ACM56" s="12"/>
      <c r="ACN56" s="12"/>
      <c r="ACO56" s="12"/>
      <c r="ACP56" s="12"/>
      <c r="ACQ56" s="12"/>
      <c r="ACR56" s="12"/>
      <c r="ACS56" s="12"/>
      <c r="ACT56" s="12"/>
      <c r="ACU56" s="12"/>
      <c r="ACV56" s="12"/>
      <c r="ACW56" s="12"/>
      <c r="ACX56" s="12"/>
      <c r="ACY56" s="12"/>
      <c r="ACZ56" s="12"/>
      <c r="ADA56" s="12"/>
      <c r="ADB56" s="12"/>
      <c r="ADC56" s="12"/>
      <c r="ADD56" s="12"/>
      <c r="ADE56" s="12"/>
      <c r="ADF56" s="12"/>
      <c r="ADG56" s="12"/>
      <c r="ADH56" s="12"/>
      <c r="ADI56" s="12"/>
      <c r="ADJ56" s="12"/>
      <c r="ADK56" s="12"/>
      <c r="ADL56" s="12"/>
      <c r="ADM56" s="12"/>
      <c r="ADN56" s="12"/>
      <c r="ADO56" s="12"/>
      <c r="ADP56" s="12"/>
      <c r="ADQ56" s="12"/>
      <c r="ADR56" s="12"/>
      <c r="ADS56" s="12"/>
      <c r="ADT56" s="12"/>
      <c r="ADU56" s="12"/>
      <c r="ADV56" s="12"/>
      <c r="ADW56" s="12"/>
      <c r="ADX56" s="12"/>
      <c r="ADY56" s="12"/>
      <c r="ADZ56" s="12"/>
      <c r="AEA56" s="12"/>
      <c r="AEB56" s="12"/>
      <c r="AEC56" s="12"/>
      <c r="AED56" s="12"/>
      <c r="AEE56" s="12"/>
      <c r="AEF56" s="12"/>
      <c r="AEG56" s="12"/>
      <c r="AEH56" s="12"/>
      <c r="AEI56" s="12"/>
      <c r="AEJ56" s="12"/>
      <c r="AEK56" s="12"/>
      <c r="AEL56" s="12"/>
      <c r="AEM56" s="12"/>
      <c r="AEN56" s="12"/>
      <c r="AEO56" s="12"/>
      <c r="AEP56" s="12"/>
      <c r="AEQ56" s="12"/>
      <c r="AER56" s="12"/>
      <c r="AES56" s="12"/>
      <c r="AET56" s="12"/>
      <c r="AEU56" s="12"/>
      <c r="AEV56" s="12"/>
    </row>
    <row r="57" spans="1:828" s="27" customFormat="1" ht="18" x14ac:dyDescent="0.2">
      <c r="A57" s="61"/>
      <c r="C57" s="23"/>
      <c r="D57" s="29"/>
      <c r="E57" s="23"/>
      <c r="F57" s="23"/>
      <c r="G57" s="23"/>
      <c r="H57" s="30"/>
      <c r="I57" s="23"/>
      <c r="J57" s="29"/>
      <c r="K57" s="30"/>
      <c r="L57" s="23"/>
      <c r="M57" s="29"/>
      <c r="N57" s="47"/>
      <c r="O57" s="47"/>
      <c r="P57" s="48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2"/>
      <c r="FJ57" s="12"/>
      <c r="FK57" s="12"/>
      <c r="FL57" s="12"/>
      <c r="FM57" s="12"/>
      <c r="FN57" s="12"/>
      <c r="FO57" s="12"/>
      <c r="FP57" s="12"/>
      <c r="FQ57" s="12"/>
      <c r="FR57" s="12"/>
      <c r="FS57" s="12"/>
      <c r="FT57" s="12"/>
      <c r="FU57" s="12"/>
      <c r="FV57" s="12"/>
      <c r="FW57" s="12"/>
      <c r="FX57" s="12"/>
      <c r="FY57" s="12"/>
      <c r="FZ57" s="12"/>
      <c r="GA57" s="12"/>
      <c r="GB57" s="12"/>
      <c r="GC57" s="12"/>
      <c r="GD57" s="12"/>
      <c r="GE57" s="12"/>
      <c r="GF57" s="12"/>
      <c r="GG57" s="12"/>
      <c r="GH57" s="12"/>
      <c r="GI57" s="12"/>
      <c r="GJ57" s="12"/>
      <c r="GK57" s="12"/>
      <c r="GL57" s="12"/>
      <c r="GM57" s="12"/>
      <c r="GN57" s="12"/>
      <c r="GO57" s="12"/>
      <c r="GP57" s="12"/>
      <c r="GQ57" s="12"/>
      <c r="GR57" s="12"/>
      <c r="GS57" s="12"/>
      <c r="GT57" s="12"/>
      <c r="GU57" s="12"/>
      <c r="GV57" s="12"/>
      <c r="GW57" s="12"/>
      <c r="GX57" s="12"/>
      <c r="GY57" s="12"/>
      <c r="GZ57" s="12"/>
      <c r="HA57" s="12"/>
      <c r="HB57" s="12"/>
      <c r="HC57" s="12"/>
      <c r="HD57" s="12"/>
      <c r="HE57" s="12"/>
      <c r="HF57" s="12"/>
      <c r="HG57" s="12"/>
      <c r="HH57" s="12"/>
      <c r="HI57" s="12"/>
      <c r="HJ57" s="12"/>
      <c r="HK57" s="12"/>
      <c r="HL57" s="12"/>
      <c r="HM57" s="12"/>
      <c r="HN57" s="12"/>
      <c r="HO57" s="12"/>
      <c r="HP57" s="12"/>
      <c r="HQ57" s="12"/>
      <c r="HR57" s="12"/>
      <c r="HS57" s="12"/>
      <c r="HT57" s="12"/>
      <c r="HU57" s="12"/>
      <c r="HV57" s="12"/>
      <c r="HW57" s="12"/>
      <c r="HX57" s="12"/>
      <c r="HY57" s="12"/>
      <c r="HZ57" s="12"/>
      <c r="IA57" s="12"/>
      <c r="IB57" s="12"/>
      <c r="IC57" s="12"/>
      <c r="ID57" s="12"/>
      <c r="IE57" s="12"/>
      <c r="IF57" s="12"/>
      <c r="IG57" s="12"/>
      <c r="IH57" s="12"/>
      <c r="II57" s="12"/>
      <c r="IJ57" s="12"/>
      <c r="IK57" s="12"/>
      <c r="IL57" s="12"/>
      <c r="IM57" s="12"/>
      <c r="IN57" s="12"/>
      <c r="IO57" s="12"/>
      <c r="IP57" s="12"/>
      <c r="IQ57" s="12"/>
      <c r="IR57" s="12"/>
      <c r="IS57" s="12"/>
      <c r="IT57" s="12"/>
      <c r="IU57" s="12"/>
      <c r="IV57" s="12"/>
      <c r="IW57" s="12"/>
      <c r="IX57" s="12"/>
      <c r="IY57" s="12"/>
      <c r="IZ57" s="12"/>
      <c r="JA57" s="12"/>
      <c r="JB57" s="12"/>
      <c r="JC57" s="12"/>
      <c r="JD57" s="12"/>
      <c r="JE57" s="12"/>
      <c r="JF57" s="12"/>
      <c r="JG57" s="12"/>
      <c r="JH57" s="12"/>
      <c r="JI57" s="12"/>
      <c r="JJ57" s="12"/>
      <c r="JK57" s="12"/>
      <c r="JL57" s="12"/>
      <c r="JM57" s="12"/>
      <c r="JN57" s="12"/>
      <c r="JO57" s="12"/>
      <c r="JP57" s="12"/>
      <c r="JQ57" s="12"/>
      <c r="JR57" s="12"/>
      <c r="JS57" s="12"/>
      <c r="JT57" s="12"/>
      <c r="JU57" s="12"/>
      <c r="JV57" s="12"/>
      <c r="JW57" s="12"/>
      <c r="JX57" s="12"/>
      <c r="JY57" s="12"/>
      <c r="JZ57" s="12"/>
      <c r="KA57" s="12"/>
      <c r="KB57" s="12"/>
      <c r="KC57" s="12"/>
      <c r="KD57" s="12"/>
      <c r="KE57" s="12"/>
      <c r="KF57" s="12"/>
      <c r="KG57" s="12"/>
      <c r="KH57" s="12"/>
      <c r="KI57" s="12"/>
      <c r="KJ57" s="12"/>
      <c r="KK57" s="12"/>
      <c r="KL57" s="12"/>
      <c r="KM57" s="12"/>
      <c r="KN57" s="12"/>
      <c r="KO57" s="12"/>
      <c r="KP57" s="12"/>
      <c r="KQ57" s="12"/>
      <c r="KR57" s="12"/>
      <c r="KS57" s="12"/>
      <c r="KT57" s="12"/>
      <c r="KU57" s="12"/>
      <c r="KV57" s="12"/>
      <c r="KW57" s="12"/>
      <c r="KX57" s="12"/>
      <c r="KY57" s="12"/>
      <c r="KZ57" s="12"/>
      <c r="LA57" s="12"/>
      <c r="LB57" s="12"/>
      <c r="LC57" s="12"/>
      <c r="LD57" s="12"/>
      <c r="LE57" s="12"/>
      <c r="LF57" s="12"/>
      <c r="LG57" s="12"/>
      <c r="LH57" s="12"/>
      <c r="LI57" s="12"/>
      <c r="LJ57" s="12"/>
      <c r="LK57" s="12"/>
      <c r="LL57" s="12"/>
      <c r="LM57" s="12"/>
      <c r="LN57" s="12"/>
      <c r="LO57" s="12"/>
      <c r="LP57" s="12"/>
      <c r="LQ57" s="12"/>
      <c r="LR57" s="12"/>
      <c r="LS57" s="12"/>
      <c r="LT57" s="12"/>
      <c r="LU57" s="12"/>
      <c r="LV57" s="12"/>
      <c r="LW57" s="12"/>
      <c r="LX57" s="12"/>
      <c r="LY57" s="12"/>
      <c r="LZ57" s="12"/>
      <c r="MA57" s="12"/>
      <c r="MB57" s="12"/>
      <c r="MC57" s="12"/>
      <c r="MD57" s="12"/>
      <c r="ME57" s="12"/>
      <c r="MF57" s="12"/>
      <c r="MG57" s="12"/>
      <c r="MH57" s="12"/>
      <c r="MI57" s="12"/>
      <c r="MJ57" s="12"/>
      <c r="MK57" s="12"/>
      <c r="ML57" s="12"/>
      <c r="MM57" s="12"/>
      <c r="MN57" s="12"/>
      <c r="MO57" s="12"/>
      <c r="MP57" s="12"/>
      <c r="MQ57" s="12"/>
      <c r="MR57" s="12"/>
      <c r="MS57" s="12"/>
      <c r="MT57" s="12"/>
      <c r="MU57" s="12"/>
      <c r="MV57" s="12"/>
      <c r="MW57" s="12"/>
      <c r="MX57" s="12"/>
      <c r="MY57" s="12"/>
      <c r="MZ57" s="12"/>
      <c r="NA57" s="12"/>
      <c r="NB57" s="12"/>
      <c r="NC57" s="12"/>
      <c r="ND57" s="12"/>
      <c r="NE57" s="12"/>
      <c r="NF57" s="12"/>
      <c r="NG57" s="12"/>
      <c r="NH57" s="12"/>
      <c r="NI57" s="12"/>
      <c r="NJ57" s="12"/>
      <c r="NK57" s="12"/>
      <c r="NL57" s="12"/>
      <c r="NM57" s="12"/>
      <c r="NN57" s="12"/>
      <c r="NO57" s="12"/>
      <c r="NP57" s="12"/>
      <c r="NQ57" s="12"/>
      <c r="NR57" s="12"/>
      <c r="NS57" s="12"/>
      <c r="NT57" s="12"/>
      <c r="NU57" s="12"/>
      <c r="NV57" s="12"/>
      <c r="NW57" s="12"/>
      <c r="NX57" s="12"/>
      <c r="NY57" s="12"/>
      <c r="NZ57" s="12"/>
      <c r="OA57" s="12"/>
      <c r="OB57" s="12"/>
      <c r="OC57" s="12"/>
      <c r="OD57" s="12"/>
      <c r="OE57" s="12"/>
      <c r="OF57" s="12"/>
      <c r="OG57" s="12"/>
      <c r="OH57" s="12"/>
      <c r="OI57" s="12"/>
      <c r="OJ57" s="12"/>
      <c r="OK57" s="12"/>
      <c r="OL57" s="12"/>
      <c r="OM57" s="12"/>
      <c r="ON57" s="12"/>
      <c r="OO57" s="12"/>
      <c r="OP57" s="12"/>
      <c r="OQ57" s="12"/>
      <c r="OR57" s="12"/>
      <c r="OS57" s="12"/>
      <c r="OT57" s="12"/>
      <c r="OU57" s="12"/>
      <c r="OV57" s="12"/>
      <c r="OW57" s="12"/>
      <c r="OX57" s="12"/>
      <c r="OY57" s="12"/>
      <c r="OZ57" s="12"/>
      <c r="PA57" s="12"/>
      <c r="PB57" s="12"/>
      <c r="PC57" s="12"/>
      <c r="PD57" s="12"/>
      <c r="PE57" s="12"/>
      <c r="PF57" s="12"/>
      <c r="PG57" s="12"/>
      <c r="PH57" s="12"/>
      <c r="PI57" s="12"/>
      <c r="PJ57" s="12"/>
      <c r="PK57" s="12"/>
      <c r="PL57" s="12"/>
      <c r="PM57" s="12"/>
      <c r="PN57" s="12"/>
      <c r="PO57" s="12"/>
      <c r="PP57" s="12"/>
      <c r="PQ57" s="12"/>
      <c r="PR57" s="12"/>
      <c r="PS57" s="12"/>
      <c r="PT57" s="12"/>
      <c r="PU57" s="12"/>
      <c r="PV57" s="12"/>
      <c r="PW57" s="12"/>
      <c r="PX57" s="12"/>
      <c r="PY57" s="12"/>
      <c r="PZ57" s="12"/>
      <c r="QA57" s="12"/>
      <c r="QB57" s="12"/>
      <c r="QC57" s="12"/>
      <c r="QD57" s="12"/>
      <c r="QE57" s="12"/>
      <c r="QF57" s="12"/>
      <c r="QG57" s="12"/>
      <c r="QH57" s="12"/>
      <c r="QI57" s="12"/>
      <c r="QJ57" s="12"/>
      <c r="QK57" s="12"/>
      <c r="QL57" s="12"/>
      <c r="QM57" s="12"/>
      <c r="QN57" s="12"/>
      <c r="QO57" s="12"/>
      <c r="QP57" s="12"/>
      <c r="QQ57" s="12"/>
      <c r="QR57" s="12"/>
      <c r="QS57" s="12"/>
      <c r="QT57" s="12"/>
      <c r="QU57" s="12"/>
      <c r="QV57" s="12"/>
      <c r="QW57" s="12"/>
      <c r="QX57" s="12"/>
      <c r="QY57" s="12"/>
      <c r="QZ57" s="12"/>
      <c r="RA57" s="12"/>
      <c r="RB57" s="12"/>
      <c r="RC57" s="12"/>
      <c r="RD57" s="12"/>
      <c r="RE57" s="12"/>
      <c r="RF57" s="12"/>
      <c r="RG57" s="12"/>
      <c r="RH57" s="12"/>
      <c r="RI57" s="12"/>
      <c r="RJ57" s="12"/>
      <c r="RK57" s="12"/>
      <c r="RL57" s="12"/>
      <c r="RM57" s="12"/>
      <c r="RN57" s="12"/>
      <c r="RO57" s="12"/>
      <c r="RP57" s="12"/>
      <c r="RQ57" s="12"/>
      <c r="RR57" s="12"/>
      <c r="RS57" s="12"/>
      <c r="RT57" s="12"/>
      <c r="RU57" s="12"/>
      <c r="RV57" s="12"/>
      <c r="RW57" s="12"/>
      <c r="RX57" s="12"/>
      <c r="RY57" s="12"/>
      <c r="RZ57" s="12"/>
      <c r="SA57" s="12"/>
      <c r="SB57" s="12"/>
      <c r="SC57" s="12"/>
      <c r="SD57" s="12"/>
      <c r="SE57" s="12"/>
      <c r="SF57" s="12"/>
      <c r="SG57" s="12"/>
      <c r="SH57" s="12"/>
      <c r="SI57" s="12"/>
      <c r="SJ57" s="12"/>
      <c r="SK57" s="12"/>
      <c r="SL57" s="12"/>
      <c r="SM57" s="12"/>
      <c r="SN57" s="12"/>
      <c r="SO57" s="12"/>
      <c r="SP57" s="12"/>
      <c r="SQ57" s="12"/>
      <c r="SR57" s="12"/>
      <c r="SS57" s="12"/>
      <c r="ST57" s="12"/>
      <c r="SU57" s="12"/>
      <c r="SV57" s="12"/>
      <c r="SW57" s="12"/>
      <c r="SX57" s="12"/>
      <c r="SY57" s="12"/>
      <c r="SZ57" s="12"/>
      <c r="TA57" s="12"/>
      <c r="TB57" s="12"/>
      <c r="TC57" s="12"/>
      <c r="TD57" s="12"/>
      <c r="TE57" s="12"/>
      <c r="TF57" s="12"/>
      <c r="TG57" s="12"/>
      <c r="TH57" s="12"/>
      <c r="TI57" s="12"/>
      <c r="TJ57" s="12"/>
      <c r="TK57" s="12"/>
      <c r="TL57" s="12"/>
      <c r="TM57" s="12"/>
      <c r="TN57" s="12"/>
      <c r="TO57" s="12"/>
      <c r="TP57" s="12"/>
      <c r="TQ57" s="12"/>
      <c r="TR57" s="12"/>
      <c r="TS57" s="12"/>
      <c r="TT57" s="12"/>
      <c r="TU57" s="12"/>
      <c r="TV57" s="12"/>
      <c r="TW57" s="12"/>
      <c r="TX57" s="12"/>
      <c r="TY57" s="12"/>
      <c r="TZ57" s="12"/>
      <c r="UA57" s="12"/>
      <c r="UB57" s="12"/>
      <c r="UC57" s="12"/>
      <c r="UD57" s="12"/>
      <c r="UE57" s="12"/>
      <c r="UF57" s="12"/>
      <c r="UG57" s="12"/>
      <c r="UH57" s="12"/>
      <c r="UI57" s="12"/>
      <c r="UJ57" s="12"/>
      <c r="UK57" s="12"/>
      <c r="UL57" s="12"/>
      <c r="UM57" s="12"/>
      <c r="UN57" s="12"/>
      <c r="UO57" s="12"/>
      <c r="UP57" s="12"/>
      <c r="UQ57" s="12"/>
      <c r="UR57" s="12"/>
      <c r="US57" s="12"/>
      <c r="UT57" s="12"/>
      <c r="UU57" s="12"/>
      <c r="UV57" s="12"/>
      <c r="UW57" s="12"/>
      <c r="UX57" s="12"/>
      <c r="UY57" s="12"/>
      <c r="UZ57" s="12"/>
      <c r="VA57" s="12"/>
      <c r="VB57" s="12"/>
      <c r="VC57" s="12"/>
      <c r="VD57" s="12"/>
      <c r="VE57" s="12"/>
      <c r="VF57" s="12"/>
      <c r="VG57" s="12"/>
      <c r="VH57" s="12"/>
      <c r="VI57" s="12"/>
      <c r="VJ57" s="12"/>
      <c r="VK57" s="12"/>
      <c r="VL57" s="12"/>
      <c r="VM57" s="12"/>
      <c r="VN57" s="12"/>
      <c r="VO57" s="12"/>
      <c r="VP57" s="12"/>
      <c r="VQ57" s="12"/>
      <c r="VR57" s="12"/>
      <c r="VS57" s="12"/>
      <c r="VT57" s="12"/>
      <c r="VU57" s="12"/>
      <c r="VV57" s="12"/>
      <c r="VW57" s="12"/>
      <c r="VX57" s="12"/>
      <c r="VY57" s="12"/>
      <c r="VZ57" s="12"/>
      <c r="WA57" s="12"/>
      <c r="WB57" s="12"/>
      <c r="WC57" s="12"/>
      <c r="WD57" s="12"/>
      <c r="WE57" s="12"/>
      <c r="WF57" s="12"/>
      <c r="WG57" s="12"/>
      <c r="WH57" s="12"/>
      <c r="WI57" s="12"/>
      <c r="WJ57" s="12"/>
      <c r="WK57" s="12"/>
      <c r="WL57" s="12"/>
      <c r="WM57" s="12"/>
      <c r="WN57" s="12"/>
      <c r="WO57" s="12"/>
      <c r="WP57" s="12"/>
      <c r="WQ57" s="12"/>
      <c r="WR57" s="12"/>
      <c r="WS57" s="12"/>
      <c r="WT57" s="12"/>
      <c r="WU57" s="12"/>
      <c r="WV57" s="12"/>
      <c r="WW57" s="12"/>
      <c r="WX57" s="12"/>
      <c r="WY57" s="12"/>
      <c r="WZ57" s="12"/>
      <c r="XA57" s="12"/>
      <c r="XB57" s="12"/>
      <c r="XC57" s="12"/>
      <c r="XD57" s="12"/>
      <c r="XE57" s="12"/>
      <c r="XF57" s="12"/>
      <c r="XG57" s="12"/>
      <c r="XH57" s="12"/>
      <c r="XI57" s="12"/>
      <c r="XJ57" s="12"/>
      <c r="XK57" s="12"/>
      <c r="XL57" s="12"/>
      <c r="XM57" s="12"/>
      <c r="XN57" s="12"/>
      <c r="XO57" s="12"/>
      <c r="XP57" s="12"/>
      <c r="XQ57" s="12"/>
      <c r="XR57" s="12"/>
      <c r="XS57" s="12"/>
      <c r="XT57" s="12"/>
      <c r="XU57" s="12"/>
      <c r="XV57" s="12"/>
      <c r="XW57" s="12"/>
      <c r="XX57" s="12"/>
      <c r="XY57" s="12"/>
      <c r="XZ57" s="12"/>
      <c r="YA57" s="12"/>
      <c r="YB57" s="12"/>
      <c r="YC57" s="12"/>
      <c r="YD57" s="12"/>
      <c r="YE57" s="12"/>
      <c r="YF57" s="12"/>
      <c r="YG57" s="12"/>
      <c r="YH57" s="12"/>
      <c r="YI57" s="12"/>
      <c r="YJ57" s="12"/>
      <c r="YK57" s="12"/>
      <c r="YL57" s="12"/>
      <c r="YM57" s="12"/>
      <c r="YN57" s="12"/>
      <c r="YO57" s="12"/>
      <c r="YP57" s="12"/>
      <c r="YQ57" s="12"/>
      <c r="YR57" s="12"/>
      <c r="YS57" s="12"/>
      <c r="YT57" s="12"/>
      <c r="YU57" s="12"/>
      <c r="YV57" s="12"/>
      <c r="YW57" s="12"/>
      <c r="YX57" s="12"/>
      <c r="YY57" s="12"/>
      <c r="YZ57" s="12"/>
      <c r="ZA57" s="12"/>
      <c r="ZB57" s="12"/>
      <c r="ZC57" s="12"/>
      <c r="ZD57" s="12"/>
      <c r="ZE57" s="12"/>
      <c r="ZF57" s="12"/>
      <c r="ZG57" s="12"/>
      <c r="ZH57" s="12"/>
      <c r="ZI57" s="12"/>
      <c r="ZJ57" s="12"/>
      <c r="ZK57" s="12"/>
      <c r="ZL57" s="12"/>
      <c r="ZM57" s="12"/>
      <c r="ZN57" s="12"/>
      <c r="ZO57" s="12"/>
      <c r="ZP57" s="12"/>
      <c r="ZQ57" s="12"/>
      <c r="ZR57" s="12"/>
      <c r="ZS57" s="12"/>
      <c r="ZT57" s="12"/>
      <c r="ZU57" s="12"/>
      <c r="ZV57" s="12"/>
      <c r="ZW57" s="12"/>
      <c r="ZX57" s="12"/>
      <c r="ZY57" s="12"/>
      <c r="ZZ57" s="12"/>
      <c r="AAA57" s="12"/>
      <c r="AAB57" s="12"/>
      <c r="AAC57" s="12"/>
      <c r="AAD57" s="12"/>
      <c r="AAE57" s="12"/>
      <c r="AAF57" s="12"/>
      <c r="AAG57" s="12"/>
      <c r="AAH57" s="12"/>
      <c r="AAI57" s="12"/>
      <c r="AAJ57" s="12"/>
      <c r="AAK57" s="12"/>
      <c r="AAL57" s="12"/>
      <c r="AAM57" s="12"/>
      <c r="AAN57" s="12"/>
      <c r="AAO57" s="12"/>
      <c r="AAP57" s="12"/>
      <c r="AAQ57" s="12"/>
      <c r="AAR57" s="12"/>
      <c r="AAS57" s="12"/>
      <c r="AAT57" s="12"/>
      <c r="AAU57" s="12"/>
      <c r="AAV57" s="12"/>
      <c r="AAW57" s="12"/>
      <c r="AAX57" s="12"/>
      <c r="AAY57" s="12"/>
      <c r="AAZ57" s="12"/>
      <c r="ABA57" s="12"/>
      <c r="ABB57" s="12"/>
      <c r="ABC57" s="12"/>
      <c r="ABD57" s="12"/>
      <c r="ABE57" s="12"/>
      <c r="ABF57" s="12"/>
      <c r="ABG57" s="12"/>
      <c r="ABH57" s="12"/>
      <c r="ABI57" s="12"/>
      <c r="ABJ57" s="12"/>
      <c r="ABK57" s="12"/>
      <c r="ABL57" s="12"/>
      <c r="ABM57" s="12"/>
      <c r="ABN57" s="12"/>
      <c r="ABO57" s="12"/>
      <c r="ABP57" s="12"/>
      <c r="ABQ57" s="12"/>
      <c r="ABR57" s="12"/>
      <c r="ABS57" s="12"/>
      <c r="ABT57" s="12"/>
      <c r="ABU57" s="12"/>
      <c r="ABV57" s="12"/>
      <c r="ABW57" s="12"/>
      <c r="ABX57" s="12"/>
      <c r="ABY57" s="12"/>
      <c r="ABZ57" s="12"/>
      <c r="ACA57" s="12"/>
      <c r="ACB57" s="12"/>
      <c r="ACC57" s="12"/>
      <c r="ACD57" s="12"/>
      <c r="ACE57" s="12"/>
      <c r="ACF57" s="12"/>
      <c r="ACG57" s="12"/>
      <c r="ACH57" s="12"/>
      <c r="ACI57" s="12"/>
      <c r="ACJ57" s="12"/>
      <c r="ACK57" s="12"/>
      <c r="ACL57" s="12"/>
      <c r="ACM57" s="12"/>
      <c r="ACN57" s="12"/>
      <c r="ACO57" s="12"/>
      <c r="ACP57" s="12"/>
      <c r="ACQ57" s="12"/>
      <c r="ACR57" s="12"/>
      <c r="ACS57" s="12"/>
      <c r="ACT57" s="12"/>
      <c r="ACU57" s="12"/>
      <c r="ACV57" s="12"/>
      <c r="ACW57" s="12"/>
      <c r="ACX57" s="12"/>
      <c r="ACY57" s="12"/>
      <c r="ACZ57" s="12"/>
      <c r="ADA57" s="12"/>
      <c r="ADB57" s="12"/>
      <c r="ADC57" s="12"/>
      <c r="ADD57" s="12"/>
      <c r="ADE57" s="12"/>
      <c r="ADF57" s="12"/>
      <c r="ADG57" s="12"/>
      <c r="ADH57" s="12"/>
      <c r="ADI57" s="12"/>
      <c r="ADJ57" s="12"/>
      <c r="ADK57" s="12"/>
      <c r="ADL57" s="12"/>
      <c r="ADM57" s="12"/>
      <c r="ADN57" s="12"/>
      <c r="ADO57" s="12"/>
      <c r="ADP57" s="12"/>
      <c r="ADQ57" s="12"/>
      <c r="ADR57" s="12"/>
      <c r="ADS57" s="12"/>
      <c r="ADT57" s="12"/>
      <c r="ADU57" s="12"/>
      <c r="ADV57" s="12"/>
      <c r="ADW57" s="12"/>
      <c r="ADX57" s="12"/>
      <c r="ADY57" s="12"/>
      <c r="ADZ57" s="12"/>
      <c r="AEA57" s="12"/>
      <c r="AEB57" s="12"/>
      <c r="AEC57" s="12"/>
      <c r="AED57" s="12"/>
      <c r="AEE57" s="12"/>
      <c r="AEF57" s="12"/>
      <c r="AEG57" s="12"/>
      <c r="AEH57" s="12"/>
      <c r="AEI57" s="12"/>
      <c r="AEJ57" s="12"/>
      <c r="AEK57" s="12"/>
      <c r="AEL57" s="12"/>
      <c r="AEM57" s="12"/>
      <c r="AEN57" s="12"/>
      <c r="AEO57" s="12"/>
      <c r="AEP57" s="12"/>
      <c r="AEQ57" s="12"/>
      <c r="AER57" s="12"/>
      <c r="AES57" s="12"/>
      <c r="AET57" s="12"/>
      <c r="AEU57" s="12"/>
      <c r="AEV57" s="12"/>
    </row>
    <row r="58" spans="1:828" s="27" customFormat="1" ht="18" x14ac:dyDescent="0.2">
      <c r="A58" s="61"/>
      <c r="C58" s="23"/>
      <c r="D58" s="29"/>
      <c r="E58" s="23"/>
      <c r="F58" s="23"/>
      <c r="G58" s="23"/>
      <c r="H58" s="30"/>
      <c r="I58" s="23"/>
      <c r="J58" s="29"/>
      <c r="K58" s="30"/>
      <c r="L58" s="23"/>
      <c r="M58" s="29"/>
      <c r="N58" s="47"/>
      <c r="O58" s="47"/>
      <c r="P58" s="48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2"/>
      <c r="FJ58" s="12"/>
      <c r="FK58" s="12"/>
      <c r="FL58" s="12"/>
      <c r="FM58" s="12"/>
      <c r="FN58" s="12"/>
      <c r="FO58" s="12"/>
      <c r="FP58" s="12"/>
      <c r="FQ58" s="12"/>
      <c r="FR58" s="12"/>
      <c r="FS58" s="12"/>
      <c r="FT58" s="12"/>
      <c r="FU58" s="12"/>
      <c r="FV58" s="12"/>
      <c r="FW58" s="12"/>
      <c r="FX58" s="12"/>
      <c r="FY58" s="12"/>
      <c r="FZ58" s="12"/>
      <c r="GA58" s="12"/>
      <c r="GB58" s="12"/>
      <c r="GC58" s="12"/>
      <c r="GD58" s="12"/>
      <c r="GE58" s="12"/>
      <c r="GF58" s="12"/>
      <c r="GG58" s="12"/>
      <c r="GH58" s="12"/>
      <c r="GI58" s="12"/>
      <c r="GJ58" s="12"/>
      <c r="GK58" s="12"/>
      <c r="GL58" s="12"/>
      <c r="GM58" s="12"/>
      <c r="GN58" s="12"/>
      <c r="GO58" s="12"/>
      <c r="GP58" s="12"/>
      <c r="GQ58" s="12"/>
      <c r="GR58" s="12"/>
      <c r="GS58" s="12"/>
      <c r="GT58" s="12"/>
      <c r="GU58" s="12"/>
      <c r="GV58" s="12"/>
      <c r="GW58" s="12"/>
      <c r="GX58" s="12"/>
      <c r="GY58" s="12"/>
      <c r="GZ58" s="12"/>
      <c r="HA58" s="12"/>
      <c r="HB58" s="12"/>
      <c r="HC58" s="12"/>
      <c r="HD58" s="12"/>
      <c r="HE58" s="12"/>
      <c r="HF58" s="12"/>
      <c r="HG58" s="12"/>
      <c r="HH58" s="12"/>
      <c r="HI58" s="12"/>
      <c r="HJ58" s="12"/>
      <c r="HK58" s="12"/>
      <c r="HL58" s="12"/>
      <c r="HM58" s="12"/>
      <c r="HN58" s="12"/>
      <c r="HO58" s="12"/>
      <c r="HP58" s="12"/>
      <c r="HQ58" s="12"/>
      <c r="HR58" s="12"/>
      <c r="HS58" s="12"/>
      <c r="HT58" s="12"/>
      <c r="HU58" s="12"/>
      <c r="HV58" s="12"/>
      <c r="HW58" s="12"/>
      <c r="HX58" s="12"/>
      <c r="HY58" s="12"/>
      <c r="HZ58" s="12"/>
      <c r="IA58" s="12"/>
      <c r="IB58" s="12"/>
      <c r="IC58" s="12"/>
      <c r="ID58" s="12"/>
      <c r="IE58" s="12"/>
      <c r="IF58" s="12"/>
      <c r="IG58" s="12"/>
      <c r="IH58" s="12"/>
      <c r="II58" s="12"/>
      <c r="IJ58" s="12"/>
      <c r="IK58" s="12"/>
      <c r="IL58" s="12"/>
      <c r="IM58" s="12"/>
      <c r="IN58" s="12"/>
      <c r="IO58" s="12"/>
      <c r="IP58" s="12"/>
      <c r="IQ58" s="12"/>
      <c r="IR58" s="12"/>
      <c r="IS58" s="12"/>
      <c r="IT58" s="12"/>
      <c r="IU58" s="12"/>
      <c r="IV58" s="12"/>
      <c r="IW58" s="12"/>
      <c r="IX58" s="12"/>
      <c r="IY58" s="12"/>
      <c r="IZ58" s="12"/>
      <c r="JA58" s="12"/>
      <c r="JB58" s="12"/>
      <c r="JC58" s="12"/>
      <c r="JD58" s="12"/>
      <c r="JE58" s="12"/>
      <c r="JF58" s="12"/>
      <c r="JG58" s="12"/>
      <c r="JH58" s="12"/>
      <c r="JI58" s="12"/>
      <c r="JJ58" s="12"/>
      <c r="JK58" s="12"/>
      <c r="JL58" s="12"/>
      <c r="JM58" s="12"/>
      <c r="JN58" s="12"/>
      <c r="JO58" s="12"/>
      <c r="JP58" s="12"/>
      <c r="JQ58" s="12"/>
      <c r="JR58" s="12"/>
      <c r="JS58" s="12"/>
      <c r="JT58" s="12"/>
      <c r="JU58" s="12"/>
      <c r="JV58" s="12"/>
      <c r="JW58" s="12"/>
      <c r="JX58" s="12"/>
      <c r="JY58" s="12"/>
      <c r="JZ58" s="12"/>
      <c r="KA58" s="12"/>
      <c r="KB58" s="12"/>
      <c r="KC58" s="12"/>
      <c r="KD58" s="12"/>
      <c r="KE58" s="12"/>
      <c r="KF58" s="12"/>
      <c r="KG58" s="12"/>
      <c r="KH58" s="12"/>
      <c r="KI58" s="12"/>
      <c r="KJ58" s="12"/>
      <c r="KK58" s="12"/>
      <c r="KL58" s="12"/>
      <c r="KM58" s="12"/>
      <c r="KN58" s="12"/>
      <c r="KO58" s="12"/>
      <c r="KP58" s="12"/>
      <c r="KQ58" s="12"/>
      <c r="KR58" s="12"/>
      <c r="KS58" s="12"/>
      <c r="KT58" s="12"/>
      <c r="KU58" s="12"/>
      <c r="KV58" s="12"/>
      <c r="KW58" s="12"/>
      <c r="KX58" s="12"/>
      <c r="KY58" s="12"/>
      <c r="KZ58" s="12"/>
      <c r="LA58" s="12"/>
      <c r="LB58" s="12"/>
      <c r="LC58" s="12"/>
      <c r="LD58" s="12"/>
      <c r="LE58" s="12"/>
      <c r="LF58" s="12"/>
      <c r="LG58" s="12"/>
      <c r="LH58" s="12"/>
      <c r="LI58" s="12"/>
      <c r="LJ58" s="12"/>
      <c r="LK58" s="12"/>
      <c r="LL58" s="12"/>
      <c r="LM58" s="12"/>
      <c r="LN58" s="12"/>
      <c r="LO58" s="12"/>
      <c r="LP58" s="12"/>
      <c r="LQ58" s="12"/>
      <c r="LR58" s="12"/>
      <c r="LS58" s="12"/>
      <c r="LT58" s="12"/>
      <c r="LU58" s="12"/>
      <c r="LV58" s="12"/>
      <c r="LW58" s="12"/>
      <c r="LX58" s="12"/>
      <c r="LY58" s="12"/>
      <c r="LZ58" s="12"/>
      <c r="MA58" s="12"/>
      <c r="MB58" s="12"/>
      <c r="MC58" s="12"/>
      <c r="MD58" s="12"/>
      <c r="ME58" s="12"/>
      <c r="MF58" s="12"/>
      <c r="MG58" s="12"/>
      <c r="MH58" s="12"/>
      <c r="MI58" s="12"/>
      <c r="MJ58" s="12"/>
      <c r="MK58" s="12"/>
      <c r="ML58" s="12"/>
      <c r="MM58" s="12"/>
      <c r="MN58" s="12"/>
      <c r="MO58" s="12"/>
      <c r="MP58" s="12"/>
      <c r="MQ58" s="12"/>
      <c r="MR58" s="12"/>
      <c r="MS58" s="12"/>
      <c r="MT58" s="12"/>
      <c r="MU58" s="12"/>
      <c r="MV58" s="12"/>
      <c r="MW58" s="12"/>
      <c r="MX58" s="12"/>
      <c r="MY58" s="12"/>
      <c r="MZ58" s="12"/>
      <c r="NA58" s="12"/>
      <c r="NB58" s="12"/>
      <c r="NC58" s="12"/>
      <c r="ND58" s="12"/>
      <c r="NE58" s="12"/>
      <c r="NF58" s="12"/>
      <c r="NG58" s="12"/>
      <c r="NH58" s="12"/>
      <c r="NI58" s="12"/>
      <c r="NJ58" s="12"/>
      <c r="NK58" s="12"/>
      <c r="NL58" s="12"/>
      <c r="NM58" s="12"/>
      <c r="NN58" s="12"/>
      <c r="NO58" s="12"/>
      <c r="NP58" s="12"/>
      <c r="NQ58" s="12"/>
      <c r="NR58" s="12"/>
      <c r="NS58" s="12"/>
      <c r="NT58" s="12"/>
      <c r="NU58" s="12"/>
      <c r="NV58" s="12"/>
      <c r="NW58" s="12"/>
      <c r="NX58" s="12"/>
      <c r="NY58" s="12"/>
      <c r="NZ58" s="12"/>
      <c r="OA58" s="12"/>
      <c r="OB58" s="12"/>
      <c r="OC58" s="12"/>
      <c r="OD58" s="12"/>
      <c r="OE58" s="12"/>
      <c r="OF58" s="12"/>
      <c r="OG58" s="12"/>
      <c r="OH58" s="12"/>
      <c r="OI58" s="12"/>
      <c r="OJ58" s="12"/>
      <c r="OK58" s="12"/>
      <c r="OL58" s="12"/>
      <c r="OM58" s="12"/>
      <c r="ON58" s="12"/>
      <c r="OO58" s="12"/>
      <c r="OP58" s="12"/>
      <c r="OQ58" s="12"/>
      <c r="OR58" s="12"/>
      <c r="OS58" s="12"/>
      <c r="OT58" s="12"/>
      <c r="OU58" s="12"/>
      <c r="OV58" s="12"/>
      <c r="OW58" s="12"/>
      <c r="OX58" s="12"/>
      <c r="OY58" s="12"/>
      <c r="OZ58" s="12"/>
      <c r="PA58" s="12"/>
      <c r="PB58" s="12"/>
      <c r="PC58" s="12"/>
      <c r="PD58" s="12"/>
      <c r="PE58" s="12"/>
      <c r="PF58" s="12"/>
      <c r="PG58" s="12"/>
      <c r="PH58" s="12"/>
      <c r="PI58" s="12"/>
      <c r="PJ58" s="12"/>
      <c r="PK58" s="12"/>
      <c r="PL58" s="12"/>
      <c r="PM58" s="12"/>
      <c r="PN58" s="12"/>
      <c r="PO58" s="12"/>
      <c r="PP58" s="12"/>
      <c r="PQ58" s="12"/>
      <c r="PR58" s="12"/>
      <c r="PS58" s="12"/>
      <c r="PT58" s="12"/>
      <c r="PU58" s="12"/>
      <c r="PV58" s="12"/>
      <c r="PW58" s="12"/>
      <c r="PX58" s="12"/>
      <c r="PY58" s="12"/>
      <c r="PZ58" s="12"/>
      <c r="QA58" s="12"/>
      <c r="QB58" s="12"/>
      <c r="QC58" s="12"/>
      <c r="QD58" s="12"/>
      <c r="QE58" s="12"/>
      <c r="QF58" s="12"/>
      <c r="QG58" s="12"/>
      <c r="QH58" s="12"/>
      <c r="QI58" s="12"/>
      <c r="QJ58" s="12"/>
      <c r="QK58" s="12"/>
      <c r="QL58" s="12"/>
      <c r="QM58" s="12"/>
      <c r="QN58" s="12"/>
      <c r="QO58" s="12"/>
      <c r="QP58" s="12"/>
      <c r="QQ58" s="12"/>
      <c r="QR58" s="12"/>
      <c r="QS58" s="12"/>
      <c r="QT58" s="12"/>
      <c r="QU58" s="12"/>
      <c r="QV58" s="12"/>
      <c r="QW58" s="12"/>
      <c r="QX58" s="12"/>
      <c r="QY58" s="12"/>
      <c r="QZ58" s="12"/>
      <c r="RA58" s="12"/>
      <c r="RB58" s="12"/>
      <c r="RC58" s="12"/>
      <c r="RD58" s="12"/>
      <c r="RE58" s="12"/>
      <c r="RF58" s="12"/>
      <c r="RG58" s="12"/>
      <c r="RH58" s="12"/>
      <c r="RI58" s="12"/>
      <c r="RJ58" s="12"/>
      <c r="RK58" s="12"/>
      <c r="RL58" s="12"/>
      <c r="RM58" s="12"/>
      <c r="RN58" s="12"/>
      <c r="RO58" s="12"/>
      <c r="RP58" s="12"/>
      <c r="RQ58" s="12"/>
      <c r="RR58" s="12"/>
      <c r="RS58" s="12"/>
      <c r="RT58" s="12"/>
      <c r="RU58" s="12"/>
      <c r="RV58" s="12"/>
      <c r="RW58" s="12"/>
      <c r="RX58" s="12"/>
      <c r="RY58" s="12"/>
      <c r="RZ58" s="12"/>
      <c r="SA58" s="12"/>
      <c r="SB58" s="12"/>
      <c r="SC58" s="12"/>
      <c r="SD58" s="12"/>
      <c r="SE58" s="12"/>
      <c r="SF58" s="12"/>
      <c r="SG58" s="12"/>
      <c r="SH58" s="12"/>
      <c r="SI58" s="12"/>
      <c r="SJ58" s="12"/>
      <c r="SK58" s="12"/>
      <c r="SL58" s="12"/>
      <c r="SM58" s="12"/>
      <c r="SN58" s="12"/>
      <c r="SO58" s="12"/>
      <c r="SP58" s="12"/>
      <c r="SQ58" s="12"/>
      <c r="SR58" s="12"/>
      <c r="SS58" s="12"/>
      <c r="ST58" s="12"/>
      <c r="SU58" s="12"/>
      <c r="SV58" s="12"/>
      <c r="SW58" s="12"/>
      <c r="SX58" s="12"/>
      <c r="SY58" s="12"/>
      <c r="SZ58" s="12"/>
      <c r="TA58" s="12"/>
      <c r="TB58" s="12"/>
      <c r="TC58" s="12"/>
      <c r="TD58" s="12"/>
      <c r="TE58" s="12"/>
      <c r="TF58" s="12"/>
      <c r="TG58" s="12"/>
      <c r="TH58" s="12"/>
      <c r="TI58" s="12"/>
      <c r="TJ58" s="12"/>
      <c r="TK58" s="12"/>
      <c r="TL58" s="12"/>
      <c r="TM58" s="12"/>
      <c r="TN58" s="12"/>
      <c r="TO58" s="12"/>
      <c r="TP58" s="12"/>
      <c r="TQ58" s="12"/>
      <c r="TR58" s="12"/>
      <c r="TS58" s="12"/>
      <c r="TT58" s="12"/>
      <c r="TU58" s="12"/>
      <c r="TV58" s="12"/>
      <c r="TW58" s="12"/>
      <c r="TX58" s="12"/>
      <c r="TY58" s="12"/>
      <c r="TZ58" s="12"/>
      <c r="UA58" s="12"/>
      <c r="UB58" s="12"/>
      <c r="UC58" s="12"/>
      <c r="UD58" s="12"/>
      <c r="UE58" s="12"/>
      <c r="UF58" s="12"/>
      <c r="UG58" s="12"/>
      <c r="UH58" s="12"/>
      <c r="UI58" s="12"/>
      <c r="UJ58" s="12"/>
      <c r="UK58" s="12"/>
      <c r="UL58" s="12"/>
      <c r="UM58" s="12"/>
      <c r="UN58" s="12"/>
      <c r="UO58" s="12"/>
      <c r="UP58" s="12"/>
      <c r="UQ58" s="12"/>
      <c r="UR58" s="12"/>
      <c r="US58" s="12"/>
      <c r="UT58" s="12"/>
      <c r="UU58" s="12"/>
      <c r="UV58" s="12"/>
      <c r="UW58" s="12"/>
      <c r="UX58" s="12"/>
      <c r="UY58" s="12"/>
      <c r="UZ58" s="12"/>
      <c r="VA58" s="12"/>
      <c r="VB58" s="12"/>
      <c r="VC58" s="12"/>
      <c r="VD58" s="12"/>
      <c r="VE58" s="12"/>
      <c r="VF58" s="12"/>
      <c r="VG58" s="12"/>
      <c r="VH58" s="12"/>
      <c r="VI58" s="12"/>
      <c r="VJ58" s="12"/>
      <c r="VK58" s="12"/>
      <c r="VL58" s="12"/>
      <c r="VM58" s="12"/>
      <c r="VN58" s="12"/>
      <c r="VO58" s="12"/>
      <c r="VP58" s="12"/>
      <c r="VQ58" s="12"/>
      <c r="VR58" s="12"/>
      <c r="VS58" s="12"/>
      <c r="VT58" s="12"/>
      <c r="VU58" s="12"/>
      <c r="VV58" s="12"/>
      <c r="VW58" s="12"/>
      <c r="VX58" s="12"/>
      <c r="VY58" s="12"/>
      <c r="VZ58" s="12"/>
      <c r="WA58" s="12"/>
      <c r="WB58" s="12"/>
      <c r="WC58" s="12"/>
      <c r="WD58" s="12"/>
      <c r="WE58" s="12"/>
      <c r="WF58" s="12"/>
      <c r="WG58" s="12"/>
      <c r="WH58" s="12"/>
      <c r="WI58" s="12"/>
      <c r="WJ58" s="12"/>
      <c r="WK58" s="12"/>
      <c r="WL58" s="12"/>
      <c r="WM58" s="12"/>
      <c r="WN58" s="12"/>
      <c r="WO58" s="12"/>
      <c r="WP58" s="12"/>
      <c r="WQ58" s="12"/>
      <c r="WR58" s="12"/>
      <c r="WS58" s="12"/>
      <c r="WT58" s="12"/>
      <c r="WU58" s="12"/>
      <c r="WV58" s="12"/>
      <c r="WW58" s="12"/>
      <c r="WX58" s="12"/>
      <c r="WY58" s="12"/>
      <c r="WZ58" s="12"/>
      <c r="XA58" s="12"/>
      <c r="XB58" s="12"/>
      <c r="XC58" s="12"/>
      <c r="XD58" s="12"/>
      <c r="XE58" s="12"/>
      <c r="XF58" s="12"/>
      <c r="XG58" s="12"/>
      <c r="XH58" s="12"/>
      <c r="XI58" s="12"/>
      <c r="XJ58" s="12"/>
      <c r="XK58" s="12"/>
      <c r="XL58" s="12"/>
      <c r="XM58" s="12"/>
      <c r="XN58" s="12"/>
      <c r="XO58" s="12"/>
      <c r="XP58" s="12"/>
      <c r="XQ58" s="12"/>
      <c r="XR58" s="12"/>
      <c r="XS58" s="12"/>
      <c r="XT58" s="12"/>
      <c r="XU58" s="12"/>
      <c r="XV58" s="12"/>
      <c r="XW58" s="12"/>
      <c r="XX58" s="12"/>
      <c r="XY58" s="12"/>
      <c r="XZ58" s="12"/>
      <c r="YA58" s="12"/>
      <c r="YB58" s="12"/>
      <c r="YC58" s="12"/>
      <c r="YD58" s="12"/>
      <c r="YE58" s="12"/>
      <c r="YF58" s="12"/>
      <c r="YG58" s="12"/>
      <c r="YH58" s="12"/>
      <c r="YI58" s="12"/>
      <c r="YJ58" s="12"/>
      <c r="YK58" s="12"/>
      <c r="YL58" s="12"/>
      <c r="YM58" s="12"/>
      <c r="YN58" s="12"/>
      <c r="YO58" s="12"/>
      <c r="YP58" s="12"/>
      <c r="YQ58" s="12"/>
      <c r="YR58" s="12"/>
      <c r="YS58" s="12"/>
      <c r="YT58" s="12"/>
      <c r="YU58" s="12"/>
      <c r="YV58" s="12"/>
      <c r="YW58" s="12"/>
      <c r="YX58" s="12"/>
      <c r="YY58" s="12"/>
      <c r="YZ58" s="12"/>
      <c r="ZA58" s="12"/>
      <c r="ZB58" s="12"/>
      <c r="ZC58" s="12"/>
      <c r="ZD58" s="12"/>
      <c r="ZE58" s="12"/>
      <c r="ZF58" s="12"/>
      <c r="ZG58" s="12"/>
      <c r="ZH58" s="12"/>
      <c r="ZI58" s="12"/>
      <c r="ZJ58" s="12"/>
      <c r="ZK58" s="12"/>
      <c r="ZL58" s="12"/>
      <c r="ZM58" s="12"/>
      <c r="ZN58" s="12"/>
      <c r="ZO58" s="12"/>
      <c r="ZP58" s="12"/>
      <c r="ZQ58" s="12"/>
      <c r="ZR58" s="12"/>
      <c r="ZS58" s="12"/>
      <c r="ZT58" s="12"/>
      <c r="ZU58" s="12"/>
      <c r="ZV58" s="12"/>
      <c r="ZW58" s="12"/>
      <c r="ZX58" s="12"/>
      <c r="ZY58" s="12"/>
      <c r="ZZ58" s="12"/>
      <c r="AAA58" s="12"/>
      <c r="AAB58" s="12"/>
      <c r="AAC58" s="12"/>
      <c r="AAD58" s="12"/>
      <c r="AAE58" s="12"/>
      <c r="AAF58" s="12"/>
      <c r="AAG58" s="12"/>
      <c r="AAH58" s="12"/>
      <c r="AAI58" s="12"/>
      <c r="AAJ58" s="12"/>
      <c r="AAK58" s="12"/>
      <c r="AAL58" s="12"/>
      <c r="AAM58" s="12"/>
      <c r="AAN58" s="12"/>
      <c r="AAO58" s="12"/>
      <c r="AAP58" s="12"/>
      <c r="AAQ58" s="12"/>
      <c r="AAR58" s="12"/>
      <c r="AAS58" s="12"/>
      <c r="AAT58" s="12"/>
      <c r="AAU58" s="12"/>
      <c r="AAV58" s="12"/>
      <c r="AAW58" s="12"/>
      <c r="AAX58" s="12"/>
      <c r="AAY58" s="12"/>
      <c r="AAZ58" s="12"/>
      <c r="ABA58" s="12"/>
      <c r="ABB58" s="12"/>
      <c r="ABC58" s="12"/>
      <c r="ABD58" s="12"/>
      <c r="ABE58" s="12"/>
      <c r="ABF58" s="12"/>
      <c r="ABG58" s="12"/>
      <c r="ABH58" s="12"/>
      <c r="ABI58" s="12"/>
      <c r="ABJ58" s="12"/>
      <c r="ABK58" s="12"/>
      <c r="ABL58" s="12"/>
      <c r="ABM58" s="12"/>
      <c r="ABN58" s="12"/>
      <c r="ABO58" s="12"/>
      <c r="ABP58" s="12"/>
      <c r="ABQ58" s="12"/>
      <c r="ABR58" s="12"/>
      <c r="ABS58" s="12"/>
      <c r="ABT58" s="12"/>
      <c r="ABU58" s="12"/>
      <c r="ABV58" s="12"/>
      <c r="ABW58" s="12"/>
      <c r="ABX58" s="12"/>
      <c r="ABY58" s="12"/>
      <c r="ABZ58" s="12"/>
      <c r="ACA58" s="12"/>
      <c r="ACB58" s="12"/>
      <c r="ACC58" s="12"/>
      <c r="ACD58" s="12"/>
      <c r="ACE58" s="12"/>
      <c r="ACF58" s="12"/>
      <c r="ACG58" s="12"/>
      <c r="ACH58" s="12"/>
      <c r="ACI58" s="12"/>
      <c r="ACJ58" s="12"/>
      <c r="ACK58" s="12"/>
      <c r="ACL58" s="12"/>
      <c r="ACM58" s="12"/>
      <c r="ACN58" s="12"/>
      <c r="ACO58" s="12"/>
      <c r="ACP58" s="12"/>
      <c r="ACQ58" s="12"/>
      <c r="ACR58" s="12"/>
      <c r="ACS58" s="12"/>
      <c r="ACT58" s="12"/>
      <c r="ACU58" s="12"/>
      <c r="ACV58" s="12"/>
      <c r="ACW58" s="12"/>
      <c r="ACX58" s="12"/>
      <c r="ACY58" s="12"/>
      <c r="ACZ58" s="12"/>
      <c r="ADA58" s="12"/>
      <c r="ADB58" s="12"/>
      <c r="ADC58" s="12"/>
      <c r="ADD58" s="12"/>
      <c r="ADE58" s="12"/>
      <c r="ADF58" s="12"/>
      <c r="ADG58" s="12"/>
      <c r="ADH58" s="12"/>
      <c r="ADI58" s="12"/>
      <c r="ADJ58" s="12"/>
      <c r="ADK58" s="12"/>
      <c r="ADL58" s="12"/>
      <c r="ADM58" s="12"/>
      <c r="ADN58" s="12"/>
      <c r="ADO58" s="12"/>
      <c r="ADP58" s="12"/>
      <c r="ADQ58" s="12"/>
      <c r="ADR58" s="12"/>
      <c r="ADS58" s="12"/>
      <c r="ADT58" s="12"/>
      <c r="ADU58" s="12"/>
      <c r="ADV58" s="12"/>
      <c r="ADW58" s="12"/>
      <c r="ADX58" s="12"/>
      <c r="ADY58" s="12"/>
      <c r="ADZ58" s="12"/>
      <c r="AEA58" s="12"/>
      <c r="AEB58" s="12"/>
      <c r="AEC58" s="12"/>
      <c r="AED58" s="12"/>
      <c r="AEE58" s="12"/>
      <c r="AEF58" s="12"/>
      <c r="AEG58" s="12"/>
      <c r="AEH58" s="12"/>
      <c r="AEI58" s="12"/>
      <c r="AEJ58" s="12"/>
      <c r="AEK58" s="12"/>
      <c r="AEL58" s="12"/>
      <c r="AEM58" s="12"/>
      <c r="AEN58" s="12"/>
      <c r="AEO58" s="12"/>
      <c r="AEP58" s="12"/>
      <c r="AEQ58" s="12"/>
      <c r="AER58" s="12"/>
      <c r="AES58" s="12"/>
      <c r="AET58" s="12"/>
      <c r="AEU58" s="12"/>
      <c r="AEV58" s="12"/>
    </row>
    <row r="59" spans="1:828" s="27" customFormat="1" ht="18" x14ac:dyDescent="0.2">
      <c r="A59" s="62"/>
      <c r="C59" s="63"/>
      <c r="D59" s="64"/>
      <c r="E59" s="63"/>
      <c r="F59" s="63"/>
      <c r="G59" s="64"/>
      <c r="H59" s="63"/>
      <c r="I59" s="63"/>
      <c r="J59" s="64"/>
      <c r="K59" s="63"/>
      <c r="L59" s="63"/>
      <c r="M59" s="64"/>
      <c r="N59" s="47"/>
      <c r="O59" s="47"/>
      <c r="P59" s="48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  <c r="FG59" s="12"/>
      <c r="FH59" s="12"/>
      <c r="FI59" s="12"/>
      <c r="FJ59" s="12"/>
      <c r="FK59" s="12"/>
      <c r="FL59" s="12"/>
      <c r="FM59" s="12"/>
      <c r="FN59" s="12"/>
      <c r="FO59" s="12"/>
      <c r="FP59" s="12"/>
      <c r="FQ59" s="12"/>
      <c r="FR59" s="12"/>
      <c r="FS59" s="12"/>
      <c r="FT59" s="12"/>
      <c r="FU59" s="12"/>
      <c r="FV59" s="12"/>
      <c r="FW59" s="12"/>
      <c r="FX59" s="12"/>
      <c r="FY59" s="12"/>
      <c r="FZ59" s="12"/>
      <c r="GA59" s="12"/>
      <c r="GB59" s="12"/>
      <c r="GC59" s="12"/>
      <c r="GD59" s="12"/>
      <c r="GE59" s="12"/>
      <c r="GF59" s="12"/>
      <c r="GG59" s="12"/>
      <c r="GH59" s="12"/>
      <c r="GI59" s="12"/>
      <c r="GJ59" s="12"/>
      <c r="GK59" s="12"/>
      <c r="GL59" s="12"/>
      <c r="GM59" s="12"/>
      <c r="GN59" s="12"/>
      <c r="GO59" s="12"/>
      <c r="GP59" s="12"/>
      <c r="GQ59" s="12"/>
      <c r="GR59" s="12"/>
      <c r="GS59" s="12"/>
      <c r="GT59" s="12"/>
      <c r="GU59" s="12"/>
      <c r="GV59" s="12"/>
      <c r="GW59" s="12"/>
      <c r="GX59" s="12"/>
      <c r="GY59" s="12"/>
      <c r="GZ59" s="12"/>
      <c r="HA59" s="12"/>
      <c r="HB59" s="12"/>
      <c r="HC59" s="12"/>
      <c r="HD59" s="12"/>
      <c r="HE59" s="12"/>
      <c r="HF59" s="12"/>
      <c r="HG59" s="12"/>
      <c r="HH59" s="12"/>
      <c r="HI59" s="12"/>
      <c r="HJ59" s="12"/>
      <c r="HK59" s="12"/>
      <c r="HL59" s="12"/>
      <c r="HM59" s="12"/>
      <c r="HN59" s="12"/>
      <c r="HO59" s="12"/>
      <c r="HP59" s="12"/>
      <c r="HQ59" s="12"/>
      <c r="HR59" s="12"/>
      <c r="HS59" s="12"/>
      <c r="HT59" s="12"/>
      <c r="HU59" s="12"/>
      <c r="HV59" s="12"/>
      <c r="HW59" s="12"/>
      <c r="HX59" s="12"/>
      <c r="HY59" s="12"/>
      <c r="HZ59" s="12"/>
      <c r="IA59" s="12"/>
      <c r="IB59" s="12"/>
      <c r="IC59" s="12"/>
      <c r="ID59" s="12"/>
      <c r="IE59" s="12"/>
      <c r="IF59" s="12"/>
      <c r="IG59" s="12"/>
      <c r="IH59" s="12"/>
      <c r="II59" s="12"/>
      <c r="IJ59" s="12"/>
      <c r="IK59" s="12"/>
      <c r="IL59" s="12"/>
      <c r="IM59" s="12"/>
      <c r="IN59" s="12"/>
      <c r="IO59" s="12"/>
      <c r="IP59" s="12"/>
      <c r="IQ59" s="12"/>
      <c r="IR59" s="12"/>
      <c r="IS59" s="12"/>
      <c r="IT59" s="12"/>
      <c r="IU59" s="12"/>
      <c r="IV59" s="12"/>
      <c r="IW59" s="12"/>
      <c r="IX59" s="12"/>
      <c r="IY59" s="12"/>
      <c r="IZ59" s="12"/>
      <c r="JA59" s="12"/>
      <c r="JB59" s="12"/>
      <c r="JC59" s="12"/>
      <c r="JD59" s="12"/>
      <c r="JE59" s="12"/>
      <c r="JF59" s="12"/>
      <c r="JG59" s="12"/>
      <c r="JH59" s="12"/>
      <c r="JI59" s="12"/>
      <c r="JJ59" s="12"/>
      <c r="JK59" s="12"/>
      <c r="JL59" s="12"/>
      <c r="JM59" s="12"/>
      <c r="JN59" s="12"/>
      <c r="JO59" s="12"/>
      <c r="JP59" s="12"/>
      <c r="JQ59" s="12"/>
      <c r="JR59" s="12"/>
      <c r="JS59" s="12"/>
      <c r="JT59" s="12"/>
      <c r="JU59" s="12"/>
      <c r="JV59" s="12"/>
      <c r="JW59" s="12"/>
      <c r="JX59" s="12"/>
      <c r="JY59" s="12"/>
      <c r="JZ59" s="12"/>
      <c r="KA59" s="12"/>
      <c r="KB59" s="12"/>
      <c r="KC59" s="12"/>
      <c r="KD59" s="12"/>
      <c r="KE59" s="12"/>
      <c r="KF59" s="12"/>
      <c r="KG59" s="12"/>
      <c r="KH59" s="12"/>
      <c r="KI59" s="12"/>
      <c r="KJ59" s="12"/>
      <c r="KK59" s="12"/>
      <c r="KL59" s="12"/>
      <c r="KM59" s="12"/>
      <c r="KN59" s="12"/>
      <c r="KO59" s="12"/>
      <c r="KP59" s="12"/>
      <c r="KQ59" s="12"/>
      <c r="KR59" s="12"/>
      <c r="KS59" s="12"/>
      <c r="KT59" s="12"/>
      <c r="KU59" s="12"/>
      <c r="KV59" s="12"/>
      <c r="KW59" s="12"/>
      <c r="KX59" s="12"/>
      <c r="KY59" s="12"/>
      <c r="KZ59" s="12"/>
      <c r="LA59" s="12"/>
      <c r="LB59" s="12"/>
      <c r="LC59" s="12"/>
      <c r="LD59" s="12"/>
      <c r="LE59" s="12"/>
      <c r="LF59" s="12"/>
      <c r="LG59" s="12"/>
      <c r="LH59" s="12"/>
      <c r="LI59" s="12"/>
      <c r="LJ59" s="12"/>
      <c r="LK59" s="12"/>
      <c r="LL59" s="12"/>
      <c r="LM59" s="12"/>
      <c r="LN59" s="12"/>
      <c r="LO59" s="12"/>
      <c r="LP59" s="12"/>
      <c r="LQ59" s="12"/>
      <c r="LR59" s="12"/>
      <c r="LS59" s="12"/>
      <c r="LT59" s="12"/>
      <c r="LU59" s="12"/>
      <c r="LV59" s="12"/>
      <c r="LW59" s="12"/>
      <c r="LX59" s="12"/>
      <c r="LY59" s="12"/>
      <c r="LZ59" s="12"/>
      <c r="MA59" s="12"/>
      <c r="MB59" s="12"/>
      <c r="MC59" s="12"/>
      <c r="MD59" s="12"/>
      <c r="ME59" s="12"/>
      <c r="MF59" s="12"/>
      <c r="MG59" s="12"/>
      <c r="MH59" s="12"/>
      <c r="MI59" s="12"/>
      <c r="MJ59" s="12"/>
      <c r="MK59" s="12"/>
      <c r="ML59" s="12"/>
      <c r="MM59" s="12"/>
      <c r="MN59" s="12"/>
      <c r="MO59" s="12"/>
      <c r="MP59" s="12"/>
      <c r="MQ59" s="12"/>
      <c r="MR59" s="12"/>
      <c r="MS59" s="12"/>
      <c r="MT59" s="12"/>
      <c r="MU59" s="12"/>
      <c r="MV59" s="12"/>
      <c r="MW59" s="12"/>
      <c r="MX59" s="12"/>
      <c r="MY59" s="12"/>
      <c r="MZ59" s="12"/>
      <c r="NA59" s="12"/>
      <c r="NB59" s="12"/>
      <c r="NC59" s="12"/>
      <c r="ND59" s="12"/>
      <c r="NE59" s="12"/>
      <c r="NF59" s="12"/>
      <c r="NG59" s="12"/>
      <c r="NH59" s="12"/>
      <c r="NI59" s="12"/>
      <c r="NJ59" s="12"/>
      <c r="NK59" s="12"/>
      <c r="NL59" s="12"/>
      <c r="NM59" s="12"/>
      <c r="NN59" s="12"/>
      <c r="NO59" s="12"/>
      <c r="NP59" s="12"/>
      <c r="NQ59" s="12"/>
      <c r="NR59" s="12"/>
      <c r="NS59" s="12"/>
      <c r="NT59" s="12"/>
      <c r="NU59" s="12"/>
      <c r="NV59" s="12"/>
      <c r="NW59" s="12"/>
      <c r="NX59" s="12"/>
      <c r="NY59" s="12"/>
      <c r="NZ59" s="12"/>
      <c r="OA59" s="12"/>
      <c r="OB59" s="12"/>
      <c r="OC59" s="12"/>
      <c r="OD59" s="12"/>
      <c r="OE59" s="12"/>
      <c r="OF59" s="12"/>
      <c r="OG59" s="12"/>
      <c r="OH59" s="12"/>
      <c r="OI59" s="12"/>
      <c r="OJ59" s="12"/>
      <c r="OK59" s="12"/>
      <c r="OL59" s="12"/>
      <c r="OM59" s="12"/>
      <c r="ON59" s="12"/>
      <c r="OO59" s="12"/>
      <c r="OP59" s="12"/>
      <c r="OQ59" s="12"/>
      <c r="OR59" s="12"/>
      <c r="OS59" s="12"/>
      <c r="OT59" s="12"/>
      <c r="OU59" s="12"/>
      <c r="OV59" s="12"/>
      <c r="OW59" s="12"/>
      <c r="OX59" s="12"/>
      <c r="OY59" s="12"/>
      <c r="OZ59" s="12"/>
      <c r="PA59" s="12"/>
      <c r="PB59" s="12"/>
      <c r="PC59" s="12"/>
      <c r="PD59" s="12"/>
      <c r="PE59" s="12"/>
      <c r="PF59" s="12"/>
      <c r="PG59" s="12"/>
      <c r="PH59" s="12"/>
      <c r="PI59" s="12"/>
      <c r="PJ59" s="12"/>
      <c r="PK59" s="12"/>
      <c r="PL59" s="12"/>
      <c r="PM59" s="12"/>
      <c r="PN59" s="12"/>
      <c r="PO59" s="12"/>
      <c r="PP59" s="12"/>
      <c r="PQ59" s="12"/>
      <c r="PR59" s="12"/>
      <c r="PS59" s="12"/>
      <c r="PT59" s="12"/>
      <c r="PU59" s="12"/>
      <c r="PV59" s="12"/>
      <c r="PW59" s="12"/>
      <c r="PX59" s="12"/>
      <c r="PY59" s="12"/>
      <c r="PZ59" s="12"/>
      <c r="QA59" s="12"/>
      <c r="QB59" s="12"/>
      <c r="QC59" s="12"/>
      <c r="QD59" s="12"/>
      <c r="QE59" s="12"/>
      <c r="QF59" s="12"/>
      <c r="QG59" s="12"/>
      <c r="QH59" s="12"/>
      <c r="QI59" s="12"/>
      <c r="QJ59" s="12"/>
      <c r="QK59" s="12"/>
      <c r="QL59" s="12"/>
      <c r="QM59" s="12"/>
      <c r="QN59" s="12"/>
      <c r="QO59" s="12"/>
      <c r="QP59" s="12"/>
      <c r="QQ59" s="12"/>
      <c r="QR59" s="12"/>
      <c r="QS59" s="12"/>
      <c r="QT59" s="12"/>
      <c r="QU59" s="12"/>
      <c r="QV59" s="12"/>
      <c r="QW59" s="12"/>
      <c r="QX59" s="12"/>
      <c r="QY59" s="12"/>
      <c r="QZ59" s="12"/>
      <c r="RA59" s="12"/>
      <c r="RB59" s="12"/>
      <c r="RC59" s="12"/>
      <c r="RD59" s="12"/>
      <c r="RE59" s="12"/>
      <c r="RF59" s="12"/>
      <c r="RG59" s="12"/>
      <c r="RH59" s="12"/>
      <c r="RI59" s="12"/>
      <c r="RJ59" s="12"/>
      <c r="RK59" s="12"/>
      <c r="RL59" s="12"/>
      <c r="RM59" s="12"/>
      <c r="RN59" s="12"/>
      <c r="RO59" s="12"/>
      <c r="RP59" s="12"/>
      <c r="RQ59" s="12"/>
      <c r="RR59" s="12"/>
      <c r="RS59" s="12"/>
      <c r="RT59" s="12"/>
      <c r="RU59" s="12"/>
      <c r="RV59" s="12"/>
      <c r="RW59" s="12"/>
      <c r="RX59" s="12"/>
      <c r="RY59" s="12"/>
      <c r="RZ59" s="12"/>
      <c r="SA59" s="12"/>
      <c r="SB59" s="12"/>
      <c r="SC59" s="12"/>
      <c r="SD59" s="12"/>
      <c r="SE59" s="12"/>
      <c r="SF59" s="12"/>
      <c r="SG59" s="12"/>
      <c r="SH59" s="12"/>
      <c r="SI59" s="12"/>
      <c r="SJ59" s="12"/>
      <c r="SK59" s="12"/>
      <c r="SL59" s="12"/>
      <c r="SM59" s="12"/>
      <c r="SN59" s="12"/>
      <c r="SO59" s="12"/>
      <c r="SP59" s="12"/>
      <c r="SQ59" s="12"/>
      <c r="SR59" s="12"/>
      <c r="SS59" s="12"/>
      <c r="ST59" s="12"/>
      <c r="SU59" s="12"/>
      <c r="SV59" s="12"/>
      <c r="SW59" s="12"/>
      <c r="SX59" s="12"/>
      <c r="SY59" s="12"/>
      <c r="SZ59" s="12"/>
      <c r="TA59" s="12"/>
      <c r="TB59" s="12"/>
      <c r="TC59" s="12"/>
      <c r="TD59" s="12"/>
      <c r="TE59" s="12"/>
      <c r="TF59" s="12"/>
      <c r="TG59" s="12"/>
      <c r="TH59" s="12"/>
      <c r="TI59" s="12"/>
      <c r="TJ59" s="12"/>
      <c r="TK59" s="12"/>
      <c r="TL59" s="12"/>
      <c r="TM59" s="12"/>
      <c r="TN59" s="12"/>
      <c r="TO59" s="12"/>
      <c r="TP59" s="12"/>
      <c r="TQ59" s="12"/>
      <c r="TR59" s="12"/>
      <c r="TS59" s="12"/>
      <c r="TT59" s="12"/>
      <c r="TU59" s="12"/>
      <c r="TV59" s="12"/>
      <c r="TW59" s="12"/>
      <c r="TX59" s="12"/>
      <c r="TY59" s="12"/>
      <c r="TZ59" s="12"/>
      <c r="UA59" s="12"/>
      <c r="UB59" s="12"/>
      <c r="UC59" s="12"/>
      <c r="UD59" s="12"/>
      <c r="UE59" s="12"/>
      <c r="UF59" s="12"/>
      <c r="UG59" s="12"/>
      <c r="UH59" s="12"/>
      <c r="UI59" s="12"/>
      <c r="UJ59" s="12"/>
      <c r="UK59" s="12"/>
      <c r="UL59" s="12"/>
      <c r="UM59" s="12"/>
      <c r="UN59" s="12"/>
      <c r="UO59" s="12"/>
      <c r="UP59" s="12"/>
      <c r="UQ59" s="12"/>
      <c r="UR59" s="12"/>
      <c r="US59" s="12"/>
      <c r="UT59" s="12"/>
      <c r="UU59" s="12"/>
      <c r="UV59" s="12"/>
      <c r="UW59" s="12"/>
      <c r="UX59" s="12"/>
      <c r="UY59" s="12"/>
      <c r="UZ59" s="12"/>
      <c r="VA59" s="12"/>
      <c r="VB59" s="12"/>
      <c r="VC59" s="12"/>
      <c r="VD59" s="12"/>
      <c r="VE59" s="12"/>
      <c r="VF59" s="12"/>
      <c r="VG59" s="12"/>
      <c r="VH59" s="12"/>
      <c r="VI59" s="12"/>
      <c r="VJ59" s="12"/>
      <c r="VK59" s="12"/>
      <c r="VL59" s="12"/>
      <c r="VM59" s="12"/>
      <c r="VN59" s="12"/>
      <c r="VO59" s="12"/>
      <c r="VP59" s="12"/>
      <c r="VQ59" s="12"/>
      <c r="VR59" s="12"/>
      <c r="VS59" s="12"/>
      <c r="VT59" s="12"/>
      <c r="VU59" s="12"/>
      <c r="VV59" s="12"/>
      <c r="VW59" s="12"/>
      <c r="VX59" s="12"/>
      <c r="VY59" s="12"/>
      <c r="VZ59" s="12"/>
      <c r="WA59" s="12"/>
      <c r="WB59" s="12"/>
      <c r="WC59" s="12"/>
      <c r="WD59" s="12"/>
      <c r="WE59" s="12"/>
      <c r="WF59" s="12"/>
      <c r="WG59" s="12"/>
      <c r="WH59" s="12"/>
      <c r="WI59" s="12"/>
      <c r="WJ59" s="12"/>
      <c r="WK59" s="12"/>
      <c r="WL59" s="12"/>
      <c r="WM59" s="12"/>
      <c r="WN59" s="12"/>
      <c r="WO59" s="12"/>
      <c r="WP59" s="12"/>
      <c r="WQ59" s="12"/>
      <c r="WR59" s="12"/>
      <c r="WS59" s="12"/>
      <c r="WT59" s="12"/>
      <c r="WU59" s="12"/>
      <c r="WV59" s="12"/>
      <c r="WW59" s="12"/>
      <c r="WX59" s="12"/>
      <c r="WY59" s="12"/>
      <c r="WZ59" s="12"/>
      <c r="XA59" s="12"/>
      <c r="XB59" s="12"/>
      <c r="XC59" s="12"/>
      <c r="XD59" s="12"/>
      <c r="XE59" s="12"/>
      <c r="XF59" s="12"/>
      <c r="XG59" s="12"/>
      <c r="XH59" s="12"/>
      <c r="XI59" s="12"/>
      <c r="XJ59" s="12"/>
      <c r="XK59" s="12"/>
      <c r="XL59" s="12"/>
      <c r="XM59" s="12"/>
      <c r="XN59" s="12"/>
      <c r="XO59" s="12"/>
      <c r="XP59" s="12"/>
      <c r="XQ59" s="12"/>
      <c r="XR59" s="12"/>
      <c r="XS59" s="12"/>
      <c r="XT59" s="12"/>
      <c r="XU59" s="12"/>
      <c r="XV59" s="12"/>
      <c r="XW59" s="12"/>
      <c r="XX59" s="12"/>
      <c r="XY59" s="12"/>
      <c r="XZ59" s="12"/>
      <c r="YA59" s="12"/>
      <c r="YB59" s="12"/>
      <c r="YC59" s="12"/>
      <c r="YD59" s="12"/>
      <c r="YE59" s="12"/>
      <c r="YF59" s="12"/>
      <c r="YG59" s="12"/>
      <c r="YH59" s="12"/>
      <c r="YI59" s="12"/>
      <c r="YJ59" s="12"/>
      <c r="YK59" s="12"/>
      <c r="YL59" s="12"/>
      <c r="YM59" s="12"/>
      <c r="YN59" s="12"/>
      <c r="YO59" s="12"/>
      <c r="YP59" s="12"/>
      <c r="YQ59" s="12"/>
      <c r="YR59" s="12"/>
      <c r="YS59" s="12"/>
      <c r="YT59" s="12"/>
      <c r="YU59" s="12"/>
      <c r="YV59" s="12"/>
      <c r="YW59" s="12"/>
      <c r="YX59" s="12"/>
      <c r="YY59" s="12"/>
      <c r="YZ59" s="12"/>
      <c r="ZA59" s="12"/>
      <c r="ZB59" s="12"/>
      <c r="ZC59" s="12"/>
      <c r="ZD59" s="12"/>
      <c r="ZE59" s="12"/>
      <c r="ZF59" s="12"/>
      <c r="ZG59" s="12"/>
      <c r="ZH59" s="12"/>
      <c r="ZI59" s="12"/>
      <c r="ZJ59" s="12"/>
      <c r="ZK59" s="12"/>
      <c r="ZL59" s="12"/>
      <c r="ZM59" s="12"/>
      <c r="ZN59" s="12"/>
      <c r="ZO59" s="12"/>
      <c r="ZP59" s="12"/>
      <c r="ZQ59" s="12"/>
      <c r="ZR59" s="12"/>
      <c r="ZS59" s="12"/>
      <c r="ZT59" s="12"/>
      <c r="ZU59" s="12"/>
      <c r="ZV59" s="12"/>
      <c r="ZW59" s="12"/>
      <c r="ZX59" s="12"/>
      <c r="ZY59" s="12"/>
      <c r="ZZ59" s="12"/>
      <c r="AAA59" s="12"/>
      <c r="AAB59" s="12"/>
      <c r="AAC59" s="12"/>
      <c r="AAD59" s="12"/>
      <c r="AAE59" s="12"/>
      <c r="AAF59" s="12"/>
      <c r="AAG59" s="12"/>
      <c r="AAH59" s="12"/>
      <c r="AAI59" s="12"/>
      <c r="AAJ59" s="12"/>
      <c r="AAK59" s="12"/>
      <c r="AAL59" s="12"/>
      <c r="AAM59" s="12"/>
      <c r="AAN59" s="12"/>
      <c r="AAO59" s="12"/>
      <c r="AAP59" s="12"/>
      <c r="AAQ59" s="12"/>
      <c r="AAR59" s="12"/>
      <c r="AAS59" s="12"/>
      <c r="AAT59" s="12"/>
      <c r="AAU59" s="12"/>
      <c r="AAV59" s="12"/>
      <c r="AAW59" s="12"/>
      <c r="AAX59" s="12"/>
      <c r="AAY59" s="12"/>
      <c r="AAZ59" s="12"/>
      <c r="ABA59" s="12"/>
      <c r="ABB59" s="12"/>
      <c r="ABC59" s="12"/>
      <c r="ABD59" s="12"/>
      <c r="ABE59" s="12"/>
      <c r="ABF59" s="12"/>
      <c r="ABG59" s="12"/>
      <c r="ABH59" s="12"/>
      <c r="ABI59" s="12"/>
      <c r="ABJ59" s="12"/>
      <c r="ABK59" s="12"/>
      <c r="ABL59" s="12"/>
      <c r="ABM59" s="12"/>
      <c r="ABN59" s="12"/>
      <c r="ABO59" s="12"/>
      <c r="ABP59" s="12"/>
      <c r="ABQ59" s="12"/>
      <c r="ABR59" s="12"/>
      <c r="ABS59" s="12"/>
      <c r="ABT59" s="12"/>
      <c r="ABU59" s="12"/>
      <c r="ABV59" s="12"/>
      <c r="ABW59" s="12"/>
      <c r="ABX59" s="12"/>
      <c r="ABY59" s="12"/>
      <c r="ABZ59" s="12"/>
      <c r="ACA59" s="12"/>
      <c r="ACB59" s="12"/>
      <c r="ACC59" s="12"/>
      <c r="ACD59" s="12"/>
      <c r="ACE59" s="12"/>
      <c r="ACF59" s="12"/>
      <c r="ACG59" s="12"/>
      <c r="ACH59" s="12"/>
      <c r="ACI59" s="12"/>
      <c r="ACJ59" s="12"/>
      <c r="ACK59" s="12"/>
      <c r="ACL59" s="12"/>
      <c r="ACM59" s="12"/>
      <c r="ACN59" s="12"/>
      <c r="ACO59" s="12"/>
      <c r="ACP59" s="12"/>
      <c r="ACQ59" s="12"/>
      <c r="ACR59" s="12"/>
      <c r="ACS59" s="12"/>
      <c r="ACT59" s="12"/>
      <c r="ACU59" s="12"/>
      <c r="ACV59" s="12"/>
      <c r="ACW59" s="12"/>
      <c r="ACX59" s="12"/>
      <c r="ACY59" s="12"/>
      <c r="ACZ59" s="12"/>
      <c r="ADA59" s="12"/>
      <c r="ADB59" s="12"/>
      <c r="ADC59" s="12"/>
      <c r="ADD59" s="12"/>
      <c r="ADE59" s="12"/>
      <c r="ADF59" s="12"/>
      <c r="ADG59" s="12"/>
      <c r="ADH59" s="12"/>
      <c r="ADI59" s="12"/>
      <c r="ADJ59" s="12"/>
      <c r="ADK59" s="12"/>
      <c r="ADL59" s="12"/>
      <c r="ADM59" s="12"/>
      <c r="ADN59" s="12"/>
      <c r="ADO59" s="12"/>
      <c r="ADP59" s="12"/>
      <c r="ADQ59" s="12"/>
      <c r="ADR59" s="12"/>
      <c r="ADS59" s="12"/>
      <c r="ADT59" s="12"/>
      <c r="ADU59" s="12"/>
      <c r="ADV59" s="12"/>
      <c r="ADW59" s="12"/>
      <c r="ADX59" s="12"/>
      <c r="ADY59" s="12"/>
      <c r="ADZ59" s="12"/>
      <c r="AEA59" s="12"/>
      <c r="AEB59" s="12"/>
      <c r="AEC59" s="12"/>
      <c r="AED59" s="12"/>
      <c r="AEE59" s="12"/>
      <c r="AEF59" s="12"/>
      <c r="AEG59" s="12"/>
      <c r="AEH59" s="12"/>
      <c r="AEI59" s="12"/>
      <c r="AEJ59" s="12"/>
      <c r="AEK59" s="12"/>
      <c r="AEL59" s="12"/>
      <c r="AEM59" s="12"/>
      <c r="AEN59" s="12"/>
      <c r="AEO59" s="12"/>
      <c r="AEP59" s="12"/>
      <c r="AEQ59" s="12"/>
      <c r="AER59" s="12"/>
      <c r="AES59" s="12"/>
      <c r="AET59" s="12"/>
      <c r="AEU59" s="12"/>
      <c r="AEV59" s="12"/>
    </row>
    <row r="60" spans="1:828" s="27" customFormat="1" ht="19" x14ac:dyDescent="0.2">
      <c r="A60" s="61" t="s">
        <v>49</v>
      </c>
      <c r="B60" s="53">
        <f>SUM(D60:D62)/D74</f>
        <v>0.32864198327899546</v>
      </c>
      <c r="C60" s="31" t="s">
        <v>50</v>
      </c>
      <c r="D60" s="29">
        <v>390</v>
      </c>
      <c r="E60" s="37">
        <f>SUM(G60:G61)/D74</f>
        <v>3.1198553859065819E-2</v>
      </c>
      <c r="F60" s="23" t="s">
        <v>68</v>
      </c>
      <c r="G60" s="29">
        <v>2713</v>
      </c>
      <c r="H60" s="50">
        <f>SUM(J60:J64)/J74</f>
        <v>0.41519619623056059</v>
      </c>
      <c r="I60" s="23" t="s">
        <v>51</v>
      </c>
      <c r="J60" s="29">
        <v>2</v>
      </c>
      <c r="K60" s="50">
        <f>SUM(M60:M61)/J74</f>
        <v>2.8820076212708986E-2</v>
      </c>
      <c r="L60" s="23" t="s">
        <v>52</v>
      </c>
      <c r="M60" s="29">
        <v>1748</v>
      </c>
      <c r="N60" s="47">
        <f t="shared" si="1"/>
        <v>2.18938635850092E-2</v>
      </c>
      <c r="O60" s="47">
        <f t="shared" si="2"/>
        <v>1.5002231453190977E-2</v>
      </c>
      <c r="P60" s="48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2"/>
      <c r="EJ60" s="12"/>
      <c r="EK60" s="12"/>
      <c r="EL60" s="12"/>
      <c r="EM60" s="12"/>
      <c r="EN60" s="12"/>
      <c r="EO60" s="12"/>
      <c r="EP60" s="12"/>
      <c r="EQ60" s="12"/>
      <c r="ER60" s="12"/>
      <c r="ES60" s="12"/>
      <c r="ET60" s="12"/>
      <c r="EU60" s="12"/>
      <c r="EV60" s="12"/>
      <c r="EW60" s="12"/>
      <c r="EX60" s="12"/>
      <c r="EY60" s="12"/>
      <c r="EZ60" s="12"/>
      <c r="FA60" s="12"/>
      <c r="FB60" s="12"/>
      <c r="FC60" s="12"/>
      <c r="FD60" s="12"/>
      <c r="FE60" s="12"/>
      <c r="FF60" s="12"/>
      <c r="FG60" s="12"/>
      <c r="FH60" s="12"/>
      <c r="FI60" s="12"/>
      <c r="FJ60" s="12"/>
      <c r="FK60" s="12"/>
      <c r="FL60" s="12"/>
      <c r="FM60" s="12"/>
      <c r="FN60" s="12"/>
      <c r="FO60" s="12"/>
      <c r="FP60" s="12"/>
      <c r="FQ60" s="12"/>
      <c r="FR60" s="12"/>
      <c r="FS60" s="12"/>
      <c r="FT60" s="12"/>
      <c r="FU60" s="12"/>
      <c r="FV60" s="12"/>
      <c r="FW60" s="12"/>
      <c r="FX60" s="12"/>
      <c r="FY60" s="12"/>
      <c r="FZ60" s="12"/>
      <c r="GA60" s="12"/>
      <c r="GB60" s="12"/>
      <c r="GC60" s="12"/>
      <c r="GD60" s="12"/>
      <c r="GE60" s="12"/>
      <c r="GF60" s="12"/>
      <c r="GG60" s="12"/>
      <c r="GH60" s="12"/>
      <c r="GI60" s="12"/>
      <c r="GJ60" s="12"/>
      <c r="GK60" s="12"/>
      <c r="GL60" s="12"/>
      <c r="GM60" s="12"/>
      <c r="GN60" s="12"/>
      <c r="GO60" s="12"/>
      <c r="GP60" s="12"/>
      <c r="GQ60" s="12"/>
      <c r="GR60" s="12"/>
      <c r="GS60" s="12"/>
      <c r="GT60" s="12"/>
      <c r="GU60" s="12"/>
      <c r="GV60" s="12"/>
      <c r="GW60" s="12"/>
      <c r="GX60" s="12"/>
      <c r="GY60" s="12"/>
      <c r="GZ60" s="12"/>
      <c r="HA60" s="12"/>
      <c r="HB60" s="12"/>
      <c r="HC60" s="12"/>
      <c r="HD60" s="12"/>
      <c r="HE60" s="12"/>
      <c r="HF60" s="12"/>
      <c r="HG60" s="12"/>
      <c r="HH60" s="12"/>
      <c r="HI60" s="12"/>
      <c r="HJ60" s="12"/>
      <c r="HK60" s="12"/>
      <c r="HL60" s="12"/>
      <c r="HM60" s="12"/>
      <c r="HN60" s="12"/>
      <c r="HO60" s="12"/>
      <c r="HP60" s="12"/>
      <c r="HQ60" s="12"/>
      <c r="HR60" s="12"/>
      <c r="HS60" s="12"/>
      <c r="HT60" s="12"/>
      <c r="HU60" s="12"/>
      <c r="HV60" s="12"/>
      <c r="HW60" s="12"/>
      <c r="HX60" s="12"/>
      <c r="HY60" s="12"/>
      <c r="HZ60" s="12"/>
      <c r="IA60" s="12"/>
      <c r="IB60" s="12"/>
      <c r="IC60" s="12"/>
      <c r="ID60" s="12"/>
      <c r="IE60" s="12"/>
      <c r="IF60" s="12"/>
      <c r="IG60" s="12"/>
      <c r="IH60" s="12"/>
      <c r="II60" s="12"/>
      <c r="IJ60" s="12"/>
      <c r="IK60" s="12"/>
      <c r="IL60" s="12"/>
      <c r="IM60" s="12"/>
      <c r="IN60" s="12"/>
      <c r="IO60" s="12"/>
      <c r="IP60" s="12"/>
      <c r="IQ60" s="12"/>
      <c r="IR60" s="12"/>
      <c r="IS60" s="12"/>
      <c r="IT60" s="12"/>
      <c r="IU60" s="12"/>
      <c r="IV60" s="12"/>
      <c r="IW60" s="12"/>
      <c r="IX60" s="12"/>
      <c r="IY60" s="12"/>
      <c r="IZ60" s="12"/>
      <c r="JA60" s="12"/>
      <c r="JB60" s="12"/>
      <c r="JC60" s="12"/>
      <c r="JD60" s="12"/>
      <c r="JE60" s="12"/>
      <c r="JF60" s="12"/>
      <c r="JG60" s="12"/>
      <c r="JH60" s="12"/>
      <c r="JI60" s="12"/>
      <c r="JJ60" s="12"/>
      <c r="JK60" s="12"/>
      <c r="JL60" s="12"/>
      <c r="JM60" s="12"/>
      <c r="JN60" s="12"/>
      <c r="JO60" s="12"/>
      <c r="JP60" s="12"/>
      <c r="JQ60" s="12"/>
      <c r="JR60" s="12"/>
      <c r="JS60" s="12"/>
      <c r="JT60" s="12"/>
      <c r="JU60" s="12"/>
      <c r="JV60" s="12"/>
      <c r="JW60" s="12"/>
      <c r="JX60" s="12"/>
      <c r="JY60" s="12"/>
      <c r="JZ60" s="12"/>
      <c r="KA60" s="12"/>
      <c r="KB60" s="12"/>
      <c r="KC60" s="12"/>
      <c r="KD60" s="12"/>
      <c r="KE60" s="12"/>
      <c r="KF60" s="12"/>
      <c r="KG60" s="12"/>
      <c r="KH60" s="12"/>
      <c r="KI60" s="12"/>
      <c r="KJ60" s="12"/>
      <c r="KK60" s="12"/>
      <c r="KL60" s="12"/>
      <c r="KM60" s="12"/>
      <c r="KN60" s="12"/>
      <c r="KO60" s="12"/>
      <c r="KP60" s="12"/>
      <c r="KQ60" s="12"/>
      <c r="KR60" s="12"/>
      <c r="KS60" s="12"/>
      <c r="KT60" s="12"/>
      <c r="KU60" s="12"/>
      <c r="KV60" s="12"/>
      <c r="KW60" s="12"/>
      <c r="KX60" s="12"/>
      <c r="KY60" s="12"/>
      <c r="KZ60" s="12"/>
      <c r="LA60" s="12"/>
      <c r="LB60" s="12"/>
      <c r="LC60" s="12"/>
      <c r="LD60" s="12"/>
      <c r="LE60" s="12"/>
      <c r="LF60" s="12"/>
      <c r="LG60" s="12"/>
      <c r="LH60" s="12"/>
      <c r="LI60" s="12"/>
      <c r="LJ60" s="12"/>
      <c r="LK60" s="12"/>
      <c r="LL60" s="12"/>
      <c r="LM60" s="12"/>
      <c r="LN60" s="12"/>
      <c r="LO60" s="12"/>
      <c r="LP60" s="12"/>
      <c r="LQ60" s="12"/>
      <c r="LR60" s="12"/>
      <c r="LS60" s="12"/>
      <c r="LT60" s="12"/>
      <c r="LU60" s="12"/>
      <c r="LV60" s="12"/>
      <c r="LW60" s="12"/>
      <c r="LX60" s="12"/>
      <c r="LY60" s="12"/>
      <c r="LZ60" s="12"/>
      <c r="MA60" s="12"/>
      <c r="MB60" s="12"/>
      <c r="MC60" s="12"/>
      <c r="MD60" s="12"/>
      <c r="ME60" s="12"/>
      <c r="MF60" s="12"/>
      <c r="MG60" s="12"/>
      <c r="MH60" s="12"/>
      <c r="MI60" s="12"/>
      <c r="MJ60" s="12"/>
      <c r="MK60" s="12"/>
      <c r="ML60" s="12"/>
      <c r="MM60" s="12"/>
      <c r="MN60" s="12"/>
      <c r="MO60" s="12"/>
      <c r="MP60" s="12"/>
      <c r="MQ60" s="12"/>
      <c r="MR60" s="12"/>
      <c r="MS60" s="12"/>
      <c r="MT60" s="12"/>
      <c r="MU60" s="12"/>
      <c r="MV60" s="12"/>
      <c r="MW60" s="12"/>
      <c r="MX60" s="12"/>
      <c r="MY60" s="12"/>
      <c r="MZ60" s="12"/>
      <c r="NA60" s="12"/>
      <c r="NB60" s="12"/>
      <c r="NC60" s="12"/>
      <c r="ND60" s="12"/>
      <c r="NE60" s="12"/>
      <c r="NF60" s="12"/>
      <c r="NG60" s="12"/>
      <c r="NH60" s="12"/>
      <c r="NI60" s="12"/>
      <c r="NJ60" s="12"/>
      <c r="NK60" s="12"/>
      <c r="NL60" s="12"/>
      <c r="NM60" s="12"/>
      <c r="NN60" s="12"/>
      <c r="NO60" s="12"/>
      <c r="NP60" s="12"/>
      <c r="NQ60" s="12"/>
      <c r="NR60" s="12"/>
      <c r="NS60" s="12"/>
      <c r="NT60" s="12"/>
      <c r="NU60" s="12"/>
      <c r="NV60" s="12"/>
      <c r="NW60" s="12"/>
      <c r="NX60" s="12"/>
      <c r="NY60" s="12"/>
      <c r="NZ60" s="12"/>
      <c r="OA60" s="12"/>
      <c r="OB60" s="12"/>
      <c r="OC60" s="12"/>
      <c r="OD60" s="12"/>
      <c r="OE60" s="12"/>
      <c r="OF60" s="12"/>
      <c r="OG60" s="12"/>
      <c r="OH60" s="12"/>
      <c r="OI60" s="12"/>
      <c r="OJ60" s="12"/>
      <c r="OK60" s="12"/>
      <c r="OL60" s="12"/>
      <c r="OM60" s="12"/>
      <c r="ON60" s="12"/>
      <c r="OO60" s="12"/>
      <c r="OP60" s="12"/>
      <c r="OQ60" s="12"/>
      <c r="OR60" s="12"/>
      <c r="OS60" s="12"/>
      <c r="OT60" s="12"/>
      <c r="OU60" s="12"/>
      <c r="OV60" s="12"/>
      <c r="OW60" s="12"/>
      <c r="OX60" s="12"/>
      <c r="OY60" s="12"/>
      <c r="OZ60" s="12"/>
      <c r="PA60" s="12"/>
      <c r="PB60" s="12"/>
      <c r="PC60" s="12"/>
      <c r="PD60" s="12"/>
      <c r="PE60" s="12"/>
      <c r="PF60" s="12"/>
      <c r="PG60" s="12"/>
      <c r="PH60" s="12"/>
      <c r="PI60" s="12"/>
      <c r="PJ60" s="12"/>
      <c r="PK60" s="12"/>
      <c r="PL60" s="12"/>
      <c r="PM60" s="12"/>
      <c r="PN60" s="12"/>
      <c r="PO60" s="12"/>
      <c r="PP60" s="12"/>
      <c r="PQ60" s="12"/>
      <c r="PR60" s="12"/>
      <c r="PS60" s="12"/>
      <c r="PT60" s="12"/>
      <c r="PU60" s="12"/>
      <c r="PV60" s="12"/>
      <c r="PW60" s="12"/>
      <c r="PX60" s="12"/>
      <c r="PY60" s="12"/>
      <c r="PZ60" s="12"/>
      <c r="QA60" s="12"/>
      <c r="QB60" s="12"/>
      <c r="QC60" s="12"/>
      <c r="QD60" s="12"/>
      <c r="QE60" s="12"/>
      <c r="QF60" s="12"/>
      <c r="QG60" s="12"/>
      <c r="QH60" s="12"/>
      <c r="QI60" s="12"/>
      <c r="QJ60" s="12"/>
      <c r="QK60" s="12"/>
      <c r="QL60" s="12"/>
      <c r="QM60" s="12"/>
      <c r="QN60" s="12"/>
      <c r="QO60" s="12"/>
      <c r="QP60" s="12"/>
      <c r="QQ60" s="12"/>
      <c r="QR60" s="12"/>
      <c r="QS60" s="12"/>
      <c r="QT60" s="12"/>
      <c r="QU60" s="12"/>
      <c r="QV60" s="12"/>
      <c r="QW60" s="12"/>
      <c r="QX60" s="12"/>
      <c r="QY60" s="12"/>
      <c r="QZ60" s="12"/>
      <c r="RA60" s="12"/>
      <c r="RB60" s="12"/>
      <c r="RC60" s="12"/>
      <c r="RD60" s="12"/>
      <c r="RE60" s="12"/>
      <c r="RF60" s="12"/>
      <c r="RG60" s="12"/>
      <c r="RH60" s="12"/>
      <c r="RI60" s="12"/>
      <c r="RJ60" s="12"/>
      <c r="RK60" s="12"/>
      <c r="RL60" s="12"/>
      <c r="RM60" s="12"/>
      <c r="RN60" s="12"/>
      <c r="RO60" s="12"/>
      <c r="RP60" s="12"/>
      <c r="RQ60" s="12"/>
      <c r="RR60" s="12"/>
      <c r="RS60" s="12"/>
      <c r="RT60" s="12"/>
      <c r="RU60" s="12"/>
      <c r="RV60" s="12"/>
      <c r="RW60" s="12"/>
      <c r="RX60" s="12"/>
      <c r="RY60" s="12"/>
      <c r="RZ60" s="12"/>
      <c r="SA60" s="12"/>
      <c r="SB60" s="12"/>
      <c r="SC60" s="12"/>
      <c r="SD60" s="12"/>
      <c r="SE60" s="12"/>
      <c r="SF60" s="12"/>
      <c r="SG60" s="12"/>
      <c r="SH60" s="12"/>
      <c r="SI60" s="12"/>
      <c r="SJ60" s="12"/>
      <c r="SK60" s="12"/>
      <c r="SL60" s="12"/>
      <c r="SM60" s="12"/>
      <c r="SN60" s="12"/>
      <c r="SO60" s="12"/>
      <c r="SP60" s="12"/>
      <c r="SQ60" s="12"/>
      <c r="SR60" s="12"/>
      <c r="SS60" s="12"/>
      <c r="ST60" s="12"/>
      <c r="SU60" s="12"/>
      <c r="SV60" s="12"/>
      <c r="SW60" s="12"/>
      <c r="SX60" s="12"/>
      <c r="SY60" s="12"/>
      <c r="SZ60" s="12"/>
      <c r="TA60" s="12"/>
      <c r="TB60" s="12"/>
      <c r="TC60" s="12"/>
      <c r="TD60" s="12"/>
      <c r="TE60" s="12"/>
      <c r="TF60" s="12"/>
      <c r="TG60" s="12"/>
      <c r="TH60" s="12"/>
      <c r="TI60" s="12"/>
      <c r="TJ60" s="12"/>
      <c r="TK60" s="12"/>
      <c r="TL60" s="12"/>
      <c r="TM60" s="12"/>
      <c r="TN60" s="12"/>
      <c r="TO60" s="12"/>
      <c r="TP60" s="12"/>
      <c r="TQ60" s="12"/>
      <c r="TR60" s="12"/>
      <c r="TS60" s="12"/>
      <c r="TT60" s="12"/>
      <c r="TU60" s="12"/>
      <c r="TV60" s="12"/>
      <c r="TW60" s="12"/>
      <c r="TX60" s="12"/>
      <c r="TY60" s="12"/>
      <c r="TZ60" s="12"/>
      <c r="UA60" s="12"/>
      <c r="UB60" s="12"/>
      <c r="UC60" s="12"/>
      <c r="UD60" s="12"/>
      <c r="UE60" s="12"/>
      <c r="UF60" s="12"/>
      <c r="UG60" s="12"/>
      <c r="UH60" s="12"/>
      <c r="UI60" s="12"/>
      <c r="UJ60" s="12"/>
      <c r="UK60" s="12"/>
      <c r="UL60" s="12"/>
      <c r="UM60" s="12"/>
      <c r="UN60" s="12"/>
      <c r="UO60" s="12"/>
      <c r="UP60" s="12"/>
      <c r="UQ60" s="12"/>
      <c r="UR60" s="12"/>
      <c r="US60" s="12"/>
      <c r="UT60" s="12"/>
      <c r="UU60" s="12"/>
      <c r="UV60" s="12"/>
      <c r="UW60" s="12"/>
      <c r="UX60" s="12"/>
      <c r="UY60" s="12"/>
      <c r="UZ60" s="12"/>
      <c r="VA60" s="12"/>
      <c r="VB60" s="12"/>
      <c r="VC60" s="12"/>
      <c r="VD60" s="12"/>
      <c r="VE60" s="12"/>
      <c r="VF60" s="12"/>
      <c r="VG60" s="12"/>
      <c r="VH60" s="12"/>
      <c r="VI60" s="12"/>
      <c r="VJ60" s="12"/>
      <c r="VK60" s="12"/>
      <c r="VL60" s="12"/>
      <c r="VM60" s="12"/>
      <c r="VN60" s="12"/>
      <c r="VO60" s="12"/>
      <c r="VP60" s="12"/>
      <c r="VQ60" s="12"/>
      <c r="VR60" s="12"/>
      <c r="VS60" s="12"/>
      <c r="VT60" s="12"/>
      <c r="VU60" s="12"/>
      <c r="VV60" s="12"/>
      <c r="VW60" s="12"/>
      <c r="VX60" s="12"/>
      <c r="VY60" s="12"/>
      <c r="VZ60" s="12"/>
      <c r="WA60" s="12"/>
      <c r="WB60" s="12"/>
      <c r="WC60" s="12"/>
      <c r="WD60" s="12"/>
      <c r="WE60" s="12"/>
      <c r="WF60" s="12"/>
      <c r="WG60" s="12"/>
      <c r="WH60" s="12"/>
      <c r="WI60" s="12"/>
      <c r="WJ60" s="12"/>
      <c r="WK60" s="12"/>
      <c r="WL60" s="12"/>
      <c r="WM60" s="12"/>
      <c r="WN60" s="12"/>
      <c r="WO60" s="12"/>
      <c r="WP60" s="12"/>
      <c r="WQ60" s="12"/>
      <c r="WR60" s="12"/>
      <c r="WS60" s="12"/>
      <c r="WT60" s="12"/>
      <c r="WU60" s="12"/>
      <c r="WV60" s="12"/>
      <c r="WW60" s="12"/>
      <c r="WX60" s="12"/>
      <c r="WY60" s="12"/>
      <c r="WZ60" s="12"/>
      <c r="XA60" s="12"/>
      <c r="XB60" s="12"/>
      <c r="XC60" s="12"/>
      <c r="XD60" s="12"/>
      <c r="XE60" s="12"/>
      <c r="XF60" s="12"/>
      <c r="XG60" s="12"/>
      <c r="XH60" s="12"/>
      <c r="XI60" s="12"/>
      <c r="XJ60" s="12"/>
      <c r="XK60" s="12"/>
      <c r="XL60" s="12"/>
      <c r="XM60" s="12"/>
      <c r="XN60" s="12"/>
      <c r="XO60" s="12"/>
      <c r="XP60" s="12"/>
      <c r="XQ60" s="12"/>
      <c r="XR60" s="12"/>
      <c r="XS60" s="12"/>
      <c r="XT60" s="12"/>
      <c r="XU60" s="12"/>
      <c r="XV60" s="12"/>
      <c r="XW60" s="12"/>
      <c r="XX60" s="12"/>
      <c r="XY60" s="12"/>
      <c r="XZ60" s="12"/>
      <c r="YA60" s="12"/>
      <c r="YB60" s="12"/>
      <c r="YC60" s="12"/>
      <c r="YD60" s="12"/>
      <c r="YE60" s="12"/>
      <c r="YF60" s="12"/>
      <c r="YG60" s="12"/>
      <c r="YH60" s="12"/>
      <c r="YI60" s="12"/>
      <c r="YJ60" s="12"/>
      <c r="YK60" s="12"/>
      <c r="YL60" s="12"/>
      <c r="YM60" s="12"/>
      <c r="YN60" s="12"/>
      <c r="YO60" s="12"/>
      <c r="YP60" s="12"/>
      <c r="YQ60" s="12"/>
      <c r="YR60" s="12"/>
      <c r="YS60" s="12"/>
      <c r="YT60" s="12"/>
      <c r="YU60" s="12"/>
      <c r="YV60" s="12"/>
      <c r="YW60" s="12"/>
      <c r="YX60" s="12"/>
      <c r="YY60" s="12"/>
      <c r="YZ60" s="12"/>
      <c r="ZA60" s="12"/>
      <c r="ZB60" s="12"/>
      <c r="ZC60" s="12"/>
      <c r="ZD60" s="12"/>
      <c r="ZE60" s="12"/>
      <c r="ZF60" s="12"/>
      <c r="ZG60" s="12"/>
      <c r="ZH60" s="12"/>
      <c r="ZI60" s="12"/>
      <c r="ZJ60" s="12"/>
      <c r="ZK60" s="12"/>
      <c r="ZL60" s="12"/>
      <c r="ZM60" s="12"/>
      <c r="ZN60" s="12"/>
      <c r="ZO60" s="12"/>
      <c r="ZP60" s="12"/>
      <c r="ZQ60" s="12"/>
      <c r="ZR60" s="12"/>
      <c r="ZS60" s="12"/>
      <c r="ZT60" s="12"/>
      <c r="ZU60" s="12"/>
      <c r="ZV60" s="12"/>
      <c r="ZW60" s="12"/>
      <c r="ZX60" s="12"/>
      <c r="ZY60" s="12"/>
      <c r="ZZ60" s="12"/>
      <c r="AAA60" s="12"/>
      <c r="AAB60" s="12"/>
      <c r="AAC60" s="12"/>
      <c r="AAD60" s="12"/>
      <c r="AAE60" s="12"/>
      <c r="AAF60" s="12"/>
      <c r="AAG60" s="12"/>
      <c r="AAH60" s="12"/>
      <c r="AAI60" s="12"/>
      <c r="AAJ60" s="12"/>
      <c r="AAK60" s="12"/>
      <c r="AAL60" s="12"/>
      <c r="AAM60" s="12"/>
      <c r="AAN60" s="12"/>
      <c r="AAO60" s="12"/>
      <c r="AAP60" s="12"/>
      <c r="AAQ60" s="12"/>
      <c r="AAR60" s="12"/>
      <c r="AAS60" s="12"/>
      <c r="AAT60" s="12"/>
      <c r="AAU60" s="12"/>
      <c r="AAV60" s="12"/>
      <c r="AAW60" s="12"/>
      <c r="AAX60" s="12"/>
      <c r="AAY60" s="12"/>
      <c r="AAZ60" s="12"/>
      <c r="ABA60" s="12"/>
      <c r="ABB60" s="12"/>
      <c r="ABC60" s="12"/>
      <c r="ABD60" s="12"/>
      <c r="ABE60" s="12"/>
      <c r="ABF60" s="12"/>
      <c r="ABG60" s="12"/>
      <c r="ABH60" s="12"/>
      <c r="ABI60" s="12"/>
      <c r="ABJ60" s="12"/>
      <c r="ABK60" s="12"/>
      <c r="ABL60" s="12"/>
      <c r="ABM60" s="12"/>
      <c r="ABN60" s="12"/>
      <c r="ABO60" s="12"/>
      <c r="ABP60" s="12"/>
      <c r="ABQ60" s="12"/>
      <c r="ABR60" s="12"/>
      <c r="ABS60" s="12"/>
      <c r="ABT60" s="12"/>
      <c r="ABU60" s="12"/>
      <c r="ABV60" s="12"/>
      <c r="ABW60" s="12"/>
      <c r="ABX60" s="12"/>
      <c r="ABY60" s="12"/>
      <c r="ABZ60" s="12"/>
      <c r="ACA60" s="12"/>
      <c r="ACB60" s="12"/>
      <c r="ACC60" s="12"/>
      <c r="ACD60" s="12"/>
      <c r="ACE60" s="12"/>
      <c r="ACF60" s="12"/>
      <c r="ACG60" s="12"/>
      <c r="ACH60" s="12"/>
      <c r="ACI60" s="12"/>
      <c r="ACJ60" s="12"/>
      <c r="ACK60" s="12"/>
      <c r="ACL60" s="12"/>
      <c r="ACM60" s="12"/>
      <c r="ACN60" s="12"/>
      <c r="ACO60" s="12"/>
      <c r="ACP60" s="12"/>
      <c r="ACQ60" s="12"/>
      <c r="ACR60" s="12"/>
      <c r="ACS60" s="12"/>
      <c r="ACT60" s="12"/>
      <c r="ACU60" s="12"/>
      <c r="ACV60" s="12"/>
      <c r="ACW60" s="12"/>
      <c r="ACX60" s="12"/>
      <c r="ACY60" s="12"/>
      <c r="ACZ60" s="12"/>
      <c r="ADA60" s="12"/>
      <c r="ADB60" s="12"/>
      <c r="ADC60" s="12"/>
      <c r="ADD60" s="12"/>
      <c r="ADE60" s="12"/>
      <c r="ADF60" s="12"/>
      <c r="ADG60" s="12"/>
      <c r="ADH60" s="12"/>
      <c r="ADI60" s="12"/>
      <c r="ADJ60" s="12"/>
      <c r="ADK60" s="12"/>
      <c r="ADL60" s="12"/>
      <c r="ADM60" s="12"/>
      <c r="ADN60" s="12"/>
      <c r="ADO60" s="12"/>
      <c r="ADP60" s="12"/>
      <c r="ADQ60" s="12"/>
      <c r="ADR60" s="12"/>
      <c r="ADS60" s="12"/>
      <c r="ADT60" s="12"/>
      <c r="ADU60" s="12"/>
      <c r="ADV60" s="12"/>
      <c r="ADW60" s="12"/>
      <c r="ADX60" s="12"/>
      <c r="ADY60" s="12"/>
      <c r="ADZ60" s="12"/>
      <c r="AEA60" s="12"/>
      <c r="AEB60" s="12"/>
      <c r="AEC60" s="12"/>
      <c r="AED60" s="12"/>
      <c r="AEE60" s="12"/>
      <c r="AEF60" s="12"/>
      <c r="AEG60" s="12"/>
      <c r="AEH60" s="12"/>
      <c r="AEI60" s="12"/>
      <c r="AEJ60" s="12"/>
      <c r="AEK60" s="12"/>
      <c r="AEL60" s="12"/>
      <c r="AEM60" s="12"/>
      <c r="AEN60" s="12"/>
      <c r="AEO60" s="12"/>
      <c r="AEP60" s="12"/>
      <c r="AEQ60" s="12"/>
      <c r="AER60" s="12"/>
      <c r="AES60" s="12"/>
      <c r="AET60" s="12"/>
      <c r="AEU60" s="12"/>
      <c r="AEV60" s="12"/>
    </row>
    <row r="61" spans="1:828" s="27" customFormat="1" ht="18" x14ac:dyDescent="0.2">
      <c r="A61" s="61"/>
      <c r="B61" s="53"/>
      <c r="C61" s="23" t="s">
        <v>53</v>
      </c>
      <c r="D61" s="29">
        <v>1144</v>
      </c>
      <c r="E61" s="23"/>
      <c r="F61" s="23" t="s">
        <v>70</v>
      </c>
      <c r="G61" s="29">
        <v>1153</v>
      </c>
      <c r="H61" s="30"/>
      <c r="I61" s="23" t="s">
        <v>54</v>
      </c>
      <c r="J61" s="29">
        <v>108</v>
      </c>
      <c r="K61" s="30"/>
      <c r="L61" s="23" t="s">
        <v>55</v>
      </c>
      <c r="M61" s="29">
        <v>1610</v>
      </c>
      <c r="N61" s="47">
        <f t="shared" si="1"/>
        <v>9.3046902740566186E-3</v>
      </c>
      <c r="O61" s="47">
        <f t="shared" si="2"/>
        <v>1.3817844759518007E-2</v>
      </c>
      <c r="P61" s="48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2"/>
      <c r="FJ61" s="12"/>
      <c r="FK61" s="12"/>
      <c r="FL61" s="12"/>
      <c r="FM61" s="12"/>
      <c r="FN61" s="12"/>
      <c r="FO61" s="12"/>
      <c r="FP61" s="12"/>
      <c r="FQ61" s="12"/>
      <c r="FR61" s="12"/>
      <c r="FS61" s="12"/>
      <c r="FT61" s="12"/>
      <c r="FU61" s="12"/>
      <c r="FV61" s="12"/>
      <c r="FW61" s="12"/>
      <c r="FX61" s="12"/>
      <c r="FY61" s="12"/>
      <c r="FZ61" s="12"/>
      <c r="GA61" s="12"/>
      <c r="GB61" s="12"/>
      <c r="GC61" s="12"/>
      <c r="GD61" s="12"/>
      <c r="GE61" s="12"/>
      <c r="GF61" s="12"/>
      <c r="GG61" s="12"/>
      <c r="GH61" s="12"/>
      <c r="GI61" s="12"/>
      <c r="GJ61" s="12"/>
      <c r="GK61" s="12"/>
      <c r="GL61" s="12"/>
      <c r="GM61" s="12"/>
      <c r="GN61" s="12"/>
      <c r="GO61" s="12"/>
      <c r="GP61" s="12"/>
      <c r="GQ61" s="12"/>
      <c r="GR61" s="12"/>
      <c r="GS61" s="12"/>
      <c r="GT61" s="12"/>
      <c r="GU61" s="12"/>
      <c r="GV61" s="12"/>
      <c r="GW61" s="12"/>
      <c r="GX61" s="12"/>
      <c r="GY61" s="12"/>
      <c r="GZ61" s="12"/>
      <c r="HA61" s="12"/>
      <c r="HB61" s="12"/>
      <c r="HC61" s="12"/>
      <c r="HD61" s="12"/>
      <c r="HE61" s="12"/>
      <c r="HF61" s="12"/>
      <c r="HG61" s="12"/>
      <c r="HH61" s="12"/>
      <c r="HI61" s="12"/>
      <c r="HJ61" s="12"/>
      <c r="HK61" s="12"/>
      <c r="HL61" s="12"/>
      <c r="HM61" s="12"/>
      <c r="HN61" s="12"/>
      <c r="HO61" s="12"/>
      <c r="HP61" s="12"/>
      <c r="HQ61" s="12"/>
      <c r="HR61" s="12"/>
      <c r="HS61" s="12"/>
      <c r="HT61" s="12"/>
      <c r="HU61" s="12"/>
      <c r="HV61" s="12"/>
      <c r="HW61" s="12"/>
      <c r="HX61" s="12"/>
      <c r="HY61" s="12"/>
      <c r="HZ61" s="12"/>
      <c r="IA61" s="12"/>
      <c r="IB61" s="12"/>
      <c r="IC61" s="12"/>
      <c r="ID61" s="12"/>
      <c r="IE61" s="12"/>
      <c r="IF61" s="12"/>
      <c r="IG61" s="12"/>
      <c r="IH61" s="12"/>
      <c r="II61" s="12"/>
      <c r="IJ61" s="12"/>
      <c r="IK61" s="12"/>
      <c r="IL61" s="12"/>
      <c r="IM61" s="12"/>
      <c r="IN61" s="12"/>
      <c r="IO61" s="12"/>
      <c r="IP61" s="12"/>
      <c r="IQ61" s="12"/>
      <c r="IR61" s="12"/>
      <c r="IS61" s="12"/>
      <c r="IT61" s="12"/>
      <c r="IU61" s="12"/>
      <c r="IV61" s="12"/>
      <c r="IW61" s="12"/>
      <c r="IX61" s="12"/>
      <c r="IY61" s="12"/>
      <c r="IZ61" s="12"/>
      <c r="JA61" s="12"/>
      <c r="JB61" s="12"/>
      <c r="JC61" s="12"/>
      <c r="JD61" s="12"/>
      <c r="JE61" s="12"/>
      <c r="JF61" s="12"/>
      <c r="JG61" s="12"/>
      <c r="JH61" s="12"/>
      <c r="JI61" s="12"/>
      <c r="JJ61" s="12"/>
      <c r="JK61" s="12"/>
      <c r="JL61" s="12"/>
      <c r="JM61" s="12"/>
      <c r="JN61" s="12"/>
      <c r="JO61" s="12"/>
      <c r="JP61" s="12"/>
      <c r="JQ61" s="12"/>
      <c r="JR61" s="12"/>
      <c r="JS61" s="12"/>
      <c r="JT61" s="12"/>
      <c r="JU61" s="12"/>
      <c r="JV61" s="12"/>
      <c r="JW61" s="12"/>
      <c r="JX61" s="12"/>
      <c r="JY61" s="12"/>
      <c r="JZ61" s="12"/>
      <c r="KA61" s="12"/>
      <c r="KB61" s="12"/>
      <c r="KC61" s="12"/>
      <c r="KD61" s="12"/>
      <c r="KE61" s="12"/>
      <c r="KF61" s="12"/>
      <c r="KG61" s="12"/>
      <c r="KH61" s="12"/>
      <c r="KI61" s="12"/>
      <c r="KJ61" s="12"/>
      <c r="KK61" s="12"/>
      <c r="KL61" s="12"/>
      <c r="KM61" s="12"/>
      <c r="KN61" s="12"/>
      <c r="KO61" s="12"/>
      <c r="KP61" s="12"/>
      <c r="KQ61" s="12"/>
      <c r="KR61" s="12"/>
      <c r="KS61" s="12"/>
      <c r="KT61" s="12"/>
      <c r="KU61" s="12"/>
      <c r="KV61" s="12"/>
      <c r="KW61" s="12"/>
      <c r="KX61" s="12"/>
      <c r="KY61" s="12"/>
      <c r="KZ61" s="12"/>
      <c r="LA61" s="12"/>
      <c r="LB61" s="12"/>
      <c r="LC61" s="12"/>
      <c r="LD61" s="12"/>
      <c r="LE61" s="12"/>
      <c r="LF61" s="12"/>
      <c r="LG61" s="12"/>
      <c r="LH61" s="12"/>
      <c r="LI61" s="12"/>
      <c r="LJ61" s="12"/>
      <c r="LK61" s="12"/>
      <c r="LL61" s="12"/>
      <c r="LM61" s="12"/>
      <c r="LN61" s="12"/>
      <c r="LO61" s="12"/>
      <c r="LP61" s="12"/>
      <c r="LQ61" s="12"/>
      <c r="LR61" s="12"/>
      <c r="LS61" s="12"/>
      <c r="LT61" s="12"/>
      <c r="LU61" s="12"/>
      <c r="LV61" s="12"/>
      <c r="LW61" s="12"/>
      <c r="LX61" s="12"/>
      <c r="LY61" s="12"/>
      <c r="LZ61" s="12"/>
      <c r="MA61" s="12"/>
      <c r="MB61" s="12"/>
      <c r="MC61" s="12"/>
      <c r="MD61" s="12"/>
      <c r="ME61" s="12"/>
      <c r="MF61" s="12"/>
      <c r="MG61" s="12"/>
      <c r="MH61" s="12"/>
      <c r="MI61" s="12"/>
      <c r="MJ61" s="12"/>
      <c r="MK61" s="12"/>
      <c r="ML61" s="12"/>
      <c r="MM61" s="12"/>
      <c r="MN61" s="12"/>
      <c r="MO61" s="12"/>
      <c r="MP61" s="12"/>
      <c r="MQ61" s="12"/>
      <c r="MR61" s="12"/>
      <c r="MS61" s="12"/>
      <c r="MT61" s="12"/>
      <c r="MU61" s="12"/>
      <c r="MV61" s="12"/>
      <c r="MW61" s="12"/>
      <c r="MX61" s="12"/>
      <c r="MY61" s="12"/>
      <c r="MZ61" s="12"/>
      <c r="NA61" s="12"/>
      <c r="NB61" s="12"/>
      <c r="NC61" s="12"/>
      <c r="ND61" s="12"/>
      <c r="NE61" s="12"/>
      <c r="NF61" s="12"/>
      <c r="NG61" s="12"/>
      <c r="NH61" s="12"/>
      <c r="NI61" s="12"/>
      <c r="NJ61" s="12"/>
      <c r="NK61" s="12"/>
      <c r="NL61" s="12"/>
      <c r="NM61" s="12"/>
      <c r="NN61" s="12"/>
      <c r="NO61" s="12"/>
      <c r="NP61" s="12"/>
      <c r="NQ61" s="12"/>
      <c r="NR61" s="12"/>
      <c r="NS61" s="12"/>
      <c r="NT61" s="12"/>
      <c r="NU61" s="12"/>
      <c r="NV61" s="12"/>
      <c r="NW61" s="12"/>
      <c r="NX61" s="12"/>
      <c r="NY61" s="12"/>
      <c r="NZ61" s="12"/>
      <c r="OA61" s="12"/>
      <c r="OB61" s="12"/>
      <c r="OC61" s="12"/>
      <c r="OD61" s="12"/>
      <c r="OE61" s="12"/>
      <c r="OF61" s="12"/>
      <c r="OG61" s="12"/>
      <c r="OH61" s="12"/>
      <c r="OI61" s="12"/>
      <c r="OJ61" s="12"/>
      <c r="OK61" s="12"/>
      <c r="OL61" s="12"/>
      <c r="OM61" s="12"/>
      <c r="ON61" s="12"/>
      <c r="OO61" s="12"/>
      <c r="OP61" s="12"/>
      <c r="OQ61" s="12"/>
      <c r="OR61" s="12"/>
      <c r="OS61" s="12"/>
      <c r="OT61" s="12"/>
      <c r="OU61" s="12"/>
      <c r="OV61" s="12"/>
      <c r="OW61" s="12"/>
      <c r="OX61" s="12"/>
      <c r="OY61" s="12"/>
      <c r="OZ61" s="12"/>
      <c r="PA61" s="12"/>
      <c r="PB61" s="12"/>
      <c r="PC61" s="12"/>
      <c r="PD61" s="12"/>
      <c r="PE61" s="12"/>
      <c r="PF61" s="12"/>
      <c r="PG61" s="12"/>
      <c r="PH61" s="12"/>
      <c r="PI61" s="12"/>
      <c r="PJ61" s="12"/>
      <c r="PK61" s="12"/>
      <c r="PL61" s="12"/>
      <c r="PM61" s="12"/>
      <c r="PN61" s="12"/>
      <c r="PO61" s="12"/>
      <c r="PP61" s="12"/>
      <c r="PQ61" s="12"/>
      <c r="PR61" s="12"/>
      <c r="PS61" s="12"/>
      <c r="PT61" s="12"/>
      <c r="PU61" s="12"/>
      <c r="PV61" s="12"/>
      <c r="PW61" s="12"/>
      <c r="PX61" s="12"/>
      <c r="PY61" s="12"/>
      <c r="PZ61" s="12"/>
      <c r="QA61" s="12"/>
      <c r="QB61" s="12"/>
      <c r="QC61" s="12"/>
      <c r="QD61" s="12"/>
      <c r="QE61" s="12"/>
      <c r="QF61" s="12"/>
      <c r="QG61" s="12"/>
      <c r="QH61" s="12"/>
      <c r="QI61" s="12"/>
      <c r="QJ61" s="12"/>
      <c r="QK61" s="12"/>
      <c r="QL61" s="12"/>
      <c r="QM61" s="12"/>
      <c r="QN61" s="12"/>
      <c r="QO61" s="12"/>
      <c r="QP61" s="12"/>
      <c r="QQ61" s="12"/>
      <c r="QR61" s="12"/>
      <c r="QS61" s="12"/>
      <c r="QT61" s="12"/>
      <c r="QU61" s="12"/>
      <c r="QV61" s="12"/>
      <c r="QW61" s="12"/>
      <c r="QX61" s="12"/>
      <c r="QY61" s="12"/>
      <c r="QZ61" s="12"/>
      <c r="RA61" s="12"/>
      <c r="RB61" s="12"/>
      <c r="RC61" s="12"/>
      <c r="RD61" s="12"/>
      <c r="RE61" s="12"/>
      <c r="RF61" s="12"/>
      <c r="RG61" s="12"/>
      <c r="RH61" s="12"/>
      <c r="RI61" s="12"/>
      <c r="RJ61" s="12"/>
      <c r="RK61" s="12"/>
      <c r="RL61" s="12"/>
      <c r="RM61" s="12"/>
      <c r="RN61" s="12"/>
      <c r="RO61" s="12"/>
      <c r="RP61" s="12"/>
      <c r="RQ61" s="12"/>
      <c r="RR61" s="12"/>
      <c r="RS61" s="12"/>
      <c r="RT61" s="12"/>
      <c r="RU61" s="12"/>
      <c r="RV61" s="12"/>
      <c r="RW61" s="12"/>
      <c r="RX61" s="12"/>
      <c r="RY61" s="12"/>
      <c r="RZ61" s="12"/>
      <c r="SA61" s="12"/>
      <c r="SB61" s="12"/>
      <c r="SC61" s="12"/>
      <c r="SD61" s="12"/>
      <c r="SE61" s="12"/>
      <c r="SF61" s="12"/>
      <c r="SG61" s="12"/>
      <c r="SH61" s="12"/>
      <c r="SI61" s="12"/>
      <c r="SJ61" s="12"/>
      <c r="SK61" s="12"/>
      <c r="SL61" s="12"/>
      <c r="SM61" s="12"/>
      <c r="SN61" s="12"/>
      <c r="SO61" s="12"/>
      <c r="SP61" s="12"/>
      <c r="SQ61" s="12"/>
      <c r="SR61" s="12"/>
      <c r="SS61" s="12"/>
      <c r="ST61" s="12"/>
      <c r="SU61" s="12"/>
      <c r="SV61" s="12"/>
      <c r="SW61" s="12"/>
      <c r="SX61" s="12"/>
      <c r="SY61" s="12"/>
      <c r="SZ61" s="12"/>
      <c r="TA61" s="12"/>
      <c r="TB61" s="12"/>
      <c r="TC61" s="12"/>
      <c r="TD61" s="12"/>
      <c r="TE61" s="12"/>
      <c r="TF61" s="12"/>
      <c r="TG61" s="12"/>
      <c r="TH61" s="12"/>
      <c r="TI61" s="12"/>
      <c r="TJ61" s="12"/>
      <c r="TK61" s="12"/>
      <c r="TL61" s="12"/>
      <c r="TM61" s="12"/>
      <c r="TN61" s="12"/>
      <c r="TO61" s="12"/>
      <c r="TP61" s="12"/>
      <c r="TQ61" s="12"/>
      <c r="TR61" s="12"/>
      <c r="TS61" s="12"/>
      <c r="TT61" s="12"/>
      <c r="TU61" s="12"/>
      <c r="TV61" s="12"/>
      <c r="TW61" s="12"/>
      <c r="TX61" s="12"/>
      <c r="TY61" s="12"/>
      <c r="TZ61" s="12"/>
      <c r="UA61" s="12"/>
      <c r="UB61" s="12"/>
      <c r="UC61" s="12"/>
      <c r="UD61" s="12"/>
      <c r="UE61" s="12"/>
      <c r="UF61" s="12"/>
      <c r="UG61" s="12"/>
      <c r="UH61" s="12"/>
      <c r="UI61" s="12"/>
      <c r="UJ61" s="12"/>
      <c r="UK61" s="12"/>
      <c r="UL61" s="12"/>
      <c r="UM61" s="12"/>
      <c r="UN61" s="12"/>
      <c r="UO61" s="12"/>
      <c r="UP61" s="12"/>
      <c r="UQ61" s="12"/>
      <c r="UR61" s="12"/>
      <c r="US61" s="12"/>
      <c r="UT61" s="12"/>
      <c r="UU61" s="12"/>
      <c r="UV61" s="12"/>
      <c r="UW61" s="12"/>
      <c r="UX61" s="12"/>
      <c r="UY61" s="12"/>
      <c r="UZ61" s="12"/>
      <c r="VA61" s="12"/>
      <c r="VB61" s="12"/>
      <c r="VC61" s="12"/>
      <c r="VD61" s="12"/>
      <c r="VE61" s="12"/>
      <c r="VF61" s="12"/>
      <c r="VG61" s="12"/>
      <c r="VH61" s="12"/>
      <c r="VI61" s="12"/>
      <c r="VJ61" s="12"/>
      <c r="VK61" s="12"/>
      <c r="VL61" s="12"/>
      <c r="VM61" s="12"/>
      <c r="VN61" s="12"/>
      <c r="VO61" s="12"/>
      <c r="VP61" s="12"/>
      <c r="VQ61" s="12"/>
      <c r="VR61" s="12"/>
      <c r="VS61" s="12"/>
      <c r="VT61" s="12"/>
      <c r="VU61" s="12"/>
      <c r="VV61" s="12"/>
      <c r="VW61" s="12"/>
      <c r="VX61" s="12"/>
      <c r="VY61" s="12"/>
      <c r="VZ61" s="12"/>
      <c r="WA61" s="12"/>
      <c r="WB61" s="12"/>
      <c r="WC61" s="12"/>
      <c r="WD61" s="12"/>
      <c r="WE61" s="12"/>
      <c r="WF61" s="12"/>
      <c r="WG61" s="12"/>
      <c r="WH61" s="12"/>
      <c r="WI61" s="12"/>
      <c r="WJ61" s="12"/>
      <c r="WK61" s="12"/>
      <c r="WL61" s="12"/>
      <c r="WM61" s="12"/>
      <c r="WN61" s="12"/>
      <c r="WO61" s="12"/>
      <c r="WP61" s="12"/>
      <c r="WQ61" s="12"/>
      <c r="WR61" s="12"/>
      <c r="WS61" s="12"/>
      <c r="WT61" s="12"/>
      <c r="WU61" s="12"/>
      <c r="WV61" s="12"/>
      <c r="WW61" s="12"/>
      <c r="WX61" s="12"/>
      <c r="WY61" s="12"/>
      <c r="WZ61" s="12"/>
      <c r="XA61" s="12"/>
      <c r="XB61" s="12"/>
      <c r="XC61" s="12"/>
      <c r="XD61" s="12"/>
      <c r="XE61" s="12"/>
      <c r="XF61" s="12"/>
      <c r="XG61" s="12"/>
      <c r="XH61" s="12"/>
      <c r="XI61" s="12"/>
      <c r="XJ61" s="12"/>
      <c r="XK61" s="12"/>
      <c r="XL61" s="12"/>
      <c r="XM61" s="12"/>
      <c r="XN61" s="12"/>
      <c r="XO61" s="12"/>
      <c r="XP61" s="12"/>
      <c r="XQ61" s="12"/>
      <c r="XR61" s="12"/>
      <c r="XS61" s="12"/>
      <c r="XT61" s="12"/>
      <c r="XU61" s="12"/>
      <c r="XV61" s="12"/>
      <c r="XW61" s="12"/>
      <c r="XX61" s="12"/>
      <c r="XY61" s="12"/>
      <c r="XZ61" s="12"/>
      <c r="YA61" s="12"/>
      <c r="YB61" s="12"/>
      <c r="YC61" s="12"/>
      <c r="YD61" s="12"/>
      <c r="YE61" s="12"/>
      <c r="YF61" s="12"/>
      <c r="YG61" s="12"/>
      <c r="YH61" s="12"/>
      <c r="YI61" s="12"/>
      <c r="YJ61" s="12"/>
      <c r="YK61" s="12"/>
      <c r="YL61" s="12"/>
      <c r="YM61" s="12"/>
      <c r="YN61" s="12"/>
      <c r="YO61" s="12"/>
      <c r="YP61" s="12"/>
      <c r="YQ61" s="12"/>
      <c r="YR61" s="12"/>
      <c r="YS61" s="12"/>
      <c r="YT61" s="12"/>
      <c r="YU61" s="12"/>
      <c r="YV61" s="12"/>
      <c r="YW61" s="12"/>
      <c r="YX61" s="12"/>
      <c r="YY61" s="12"/>
      <c r="YZ61" s="12"/>
      <c r="ZA61" s="12"/>
      <c r="ZB61" s="12"/>
      <c r="ZC61" s="12"/>
      <c r="ZD61" s="12"/>
      <c r="ZE61" s="12"/>
      <c r="ZF61" s="12"/>
      <c r="ZG61" s="12"/>
      <c r="ZH61" s="12"/>
      <c r="ZI61" s="12"/>
      <c r="ZJ61" s="12"/>
      <c r="ZK61" s="12"/>
      <c r="ZL61" s="12"/>
      <c r="ZM61" s="12"/>
      <c r="ZN61" s="12"/>
      <c r="ZO61" s="12"/>
      <c r="ZP61" s="12"/>
      <c r="ZQ61" s="12"/>
      <c r="ZR61" s="12"/>
      <c r="ZS61" s="12"/>
      <c r="ZT61" s="12"/>
      <c r="ZU61" s="12"/>
      <c r="ZV61" s="12"/>
      <c r="ZW61" s="12"/>
      <c r="ZX61" s="12"/>
      <c r="ZY61" s="12"/>
      <c r="ZZ61" s="12"/>
      <c r="AAA61" s="12"/>
      <c r="AAB61" s="12"/>
      <c r="AAC61" s="12"/>
      <c r="AAD61" s="12"/>
      <c r="AAE61" s="12"/>
      <c r="AAF61" s="12"/>
      <c r="AAG61" s="12"/>
      <c r="AAH61" s="12"/>
      <c r="AAI61" s="12"/>
      <c r="AAJ61" s="12"/>
      <c r="AAK61" s="12"/>
      <c r="AAL61" s="12"/>
      <c r="AAM61" s="12"/>
      <c r="AAN61" s="12"/>
      <c r="AAO61" s="12"/>
      <c r="AAP61" s="12"/>
      <c r="AAQ61" s="12"/>
      <c r="AAR61" s="12"/>
      <c r="AAS61" s="12"/>
      <c r="AAT61" s="12"/>
      <c r="AAU61" s="12"/>
      <c r="AAV61" s="12"/>
      <c r="AAW61" s="12"/>
      <c r="AAX61" s="12"/>
      <c r="AAY61" s="12"/>
      <c r="AAZ61" s="12"/>
      <c r="ABA61" s="12"/>
      <c r="ABB61" s="12"/>
      <c r="ABC61" s="12"/>
      <c r="ABD61" s="12"/>
      <c r="ABE61" s="12"/>
      <c r="ABF61" s="12"/>
      <c r="ABG61" s="12"/>
      <c r="ABH61" s="12"/>
      <c r="ABI61" s="12"/>
      <c r="ABJ61" s="12"/>
      <c r="ABK61" s="12"/>
      <c r="ABL61" s="12"/>
      <c r="ABM61" s="12"/>
      <c r="ABN61" s="12"/>
      <c r="ABO61" s="12"/>
      <c r="ABP61" s="12"/>
      <c r="ABQ61" s="12"/>
      <c r="ABR61" s="12"/>
      <c r="ABS61" s="12"/>
      <c r="ABT61" s="12"/>
      <c r="ABU61" s="12"/>
      <c r="ABV61" s="12"/>
      <c r="ABW61" s="12"/>
      <c r="ABX61" s="12"/>
      <c r="ABY61" s="12"/>
      <c r="ABZ61" s="12"/>
      <c r="ACA61" s="12"/>
      <c r="ACB61" s="12"/>
      <c r="ACC61" s="12"/>
      <c r="ACD61" s="12"/>
      <c r="ACE61" s="12"/>
      <c r="ACF61" s="12"/>
      <c r="ACG61" s="12"/>
      <c r="ACH61" s="12"/>
      <c r="ACI61" s="12"/>
      <c r="ACJ61" s="12"/>
      <c r="ACK61" s="12"/>
      <c r="ACL61" s="12"/>
      <c r="ACM61" s="12"/>
      <c r="ACN61" s="12"/>
      <c r="ACO61" s="12"/>
      <c r="ACP61" s="12"/>
      <c r="ACQ61" s="12"/>
      <c r="ACR61" s="12"/>
      <c r="ACS61" s="12"/>
      <c r="ACT61" s="12"/>
      <c r="ACU61" s="12"/>
      <c r="ACV61" s="12"/>
      <c r="ACW61" s="12"/>
      <c r="ACX61" s="12"/>
      <c r="ACY61" s="12"/>
      <c r="ACZ61" s="12"/>
      <c r="ADA61" s="12"/>
      <c r="ADB61" s="12"/>
      <c r="ADC61" s="12"/>
      <c r="ADD61" s="12"/>
      <c r="ADE61" s="12"/>
      <c r="ADF61" s="12"/>
      <c r="ADG61" s="12"/>
      <c r="ADH61" s="12"/>
      <c r="ADI61" s="12"/>
      <c r="ADJ61" s="12"/>
      <c r="ADK61" s="12"/>
      <c r="ADL61" s="12"/>
      <c r="ADM61" s="12"/>
      <c r="ADN61" s="12"/>
      <c r="ADO61" s="12"/>
      <c r="ADP61" s="12"/>
      <c r="ADQ61" s="12"/>
      <c r="ADR61" s="12"/>
      <c r="ADS61" s="12"/>
      <c r="ADT61" s="12"/>
      <c r="ADU61" s="12"/>
      <c r="ADV61" s="12"/>
      <c r="ADW61" s="12"/>
      <c r="ADX61" s="12"/>
      <c r="ADY61" s="12"/>
      <c r="ADZ61" s="12"/>
      <c r="AEA61" s="12"/>
      <c r="AEB61" s="12"/>
      <c r="AEC61" s="12"/>
      <c r="AED61" s="12"/>
      <c r="AEE61" s="12"/>
      <c r="AEF61" s="12"/>
      <c r="AEG61" s="12"/>
      <c r="AEH61" s="12"/>
      <c r="AEI61" s="12"/>
      <c r="AEJ61" s="12"/>
      <c r="AEK61" s="12"/>
      <c r="AEL61" s="12"/>
      <c r="AEM61" s="12"/>
      <c r="AEN61" s="12"/>
      <c r="AEO61" s="12"/>
      <c r="AEP61" s="12"/>
      <c r="AEQ61" s="12"/>
      <c r="AER61" s="12"/>
      <c r="AES61" s="12"/>
      <c r="AET61" s="12"/>
      <c r="AEU61" s="12"/>
      <c r="AEV61" s="12"/>
    </row>
    <row r="62" spans="1:828" s="27" customFormat="1" ht="18" x14ac:dyDescent="0.2">
      <c r="A62" s="61"/>
      <c r="B62" s="53"/>
      <c r="C62" s="23" t="s">
        <v>56</v>
      </c>
      <c r="D62" s="29">
        <v>39190</v>
      </c>
      <c r="E62" s="23"/>
      <c r="F62" s="23"/>
      <c r="G62" s="23"/>
      <c r="H62" s="30"/>
      <c r="I62" s="23" t="s">
        <v>57</v>
      </c>
      <c r="J62" s="29">
        <v>1904</v>
      </c>
      <c r="K62" s="30"/>
      <c r="L62" s="23"/>
      <c r="M62" s="29"/>
      <c r="N62" s="47"/>
      <c r="O62" s="47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2"/>
      <c r="FJ62" s="12"/>
      <c r="FK62" s="12"/>
      <c r="FL62" s="12"/>
      <c r="FM62" s="12"/>
      <c r="FN62" s="12"/>
      <c r="FO62" s="12"/>
      <c r="FP62" s="12"/>
      <c r="FQ62" s="12"/>
      <c r="FR62" s="12"/>
      <c r="FS62" s="12"/>
      <c r="FT62" s="12"/>
      <c r="FU62" s="12"/>
      <c r="FV62" s="12"/>
      <c r="FW62" s="12"/>
      <c r="FX62" s="12"/>
      <c r="FY62" s="12"/>
      <c r="FZ62" s="12"/>
      <c r="GA62" s="12"/>
      <c r="GB62" s="12"/>
      <c r="GC62" s="12"/>
      <c r="GD62" s="12"/>
      <c r="GE62" s="12"/>
      <c r="GF62" s="12"/>
      <c r="GG62" s="12"/>
      <c r="GH62" s="12"/>
      <c r="GI62" s="12"/>
      <c r="GJ62" s="12"/>
      <c r="GK62" s="12"/>
      <c r="GL62" s="12"/>
      <c r="GM62" s="12"/>
      <c r="GN62" s="12"/>
      <c r="GO62" s="12"/>
      <c r="GP62" s="12"/>
      <c r="GQ62" s="12"/>
      <c r="GR62" s="12"/>
      <c r="GS62" s="12"/>
      <c r="GT62" s="12"/>
      <c r="GU62" s="12"/>
      <c r="GV62" s="12"/>
      <c r="GW62" s="12"/>
      <c r="GX62" s="12"/>
      <c r="GY62" s="12"/>
      <c r="GZ62" s="12"/>
      <c r="HA62" s="12"/>
      <c r="HB62" s="12"/>
      <c r="HC62" s="12"/>
      <c r="HD62" s="12"/>
      <c r="HE62" s="12"/>
      <c r="HF62" s="12"/>
      <c r="HG62" s="12"/>
      <c r="HH62" s="12"/>
      <c r="HI62" s="12"/>
      <c r="HJ62" s="12"/>
      <c r="HK62" s="12"/>
      <c r="HL62" s="12"/>
      <c r="HM62" s="12"/>
      <c r="HN62" s="12"/>
      <c r="HO62" s="12"/>
      <c r="HP62" s="12"/>
      <c r="HQ62" s="12"/>
      <c r="HR62" s="12"/>
      <c r="HS62" s="12"/>
      <c r="HT62" s="12"/>
      <c r="HU62" s="12"/>
      <c r="HV62" s="12"/>
      <c r="HW62" s="12"/>
      <c r="HX62" s="12"/>
      <c r="HY62" s="12"/>
      <c r="HZ62" s="12"/>
      <c r="IA62" s="12"/>
      <c r="IB62" s="12"/>
      <c r="IC62" s="12"/>
      <c r="ID62" s="12"/>
      <c r="IE62" s="12"/>
      <c r="IF62" s="12"/>
      <c r="IG62" s="12"/>
      <c r="IH62" s="12"/>
      <c r="II62" s="12"/>
      <c r="IJ62" s="12"/>
      <c r="IK62" s="12"/>
      <c r="IL62" s="12"/>
      <c r="IM62" s="12"/>
      <c r="IN62" s="12"/>
      <c r="IO62" s="12"/>
      <c r="IP62" s="12"/>
      <c r="IQ62" s="12"/>
      <c r="IR62" s="12"/>
      <c r="IS62" s="12"/>
      <c r="IT62" s="12"/>
      <c r="IU62" s="12"/>
      <c r="IV62" s="12"/>
      <c r="IW62" s="12"/>
      <c r="IX62" s="12"/>
      <c r="IY62" s="12"/>
      <c r="IZ62" s="12"/>
      <c r="JA62" s="12"/>
      <c r="JB62" s="12"/>
      <c r="JC62" s="12"/>
      <c r="JD62" s="12"/>
      <c r="JE62" s="12"/>
      <c r="JF62" s="12"/>
      <c r="JG62" s="12"/>
      <c r="JH62" s="12"/>
      <c r="JI62" s="12"/>
      <c r="JJ62" s="12"/>
      <c r="JK62" s="12"/>
      <c r="JL62" s="12"/>
      <c r="JM62" s="12"/>
      <c r="JN62" s="12"/>
      <c r="JO62" s="12"/>
      <c r="JP62" s="12"/>
      <c r="JQ62" s="12"/>
      <c r="JR62" s="12"/>
      <c r="JS62" s="12"/>
      <c r="JT62" s="12"/>
      <c r="JU62" s="12"/>
      <c r="JV62" s="12"/>
      <c r="JW62" s="12"/>
      <c r="JX62" s="12"/>
      <c r="JY62" s="12"/>
      <c r="JZ62" s="12"/>
      <c r="KA62" s="12"/>
      <c r="KB62" s="12"/>
      <c r="KC62" s="12"/>
      <c r="KD62" s="12"/>
      <c r="KE62" s="12"/>
      <c r="KF62" s="12"/>
      <c r="KG62" s="12"/>
      <c r="KH62" s="12"/>
      <c r="KI62" s="12"/>
      <c r="KJ62" s="12"/>
      <c r="KK62" s="12"/>
      <c r="KL62" s="12"/>
      <c r="KM62" s="12"/>
      <c r="KN62" s="12"/>
      <c r="KO62" s="12"/>
      <c r="KP62" s="12"/>
      <c r="KQ62" s="12"/>
      <c r="KR62" s="12"/>
      <c r="KS62" s="12"/>
      <c r="KT62" s="12"/>
      <c r="KU62" s="12"/>
      <c r="KV62" s="12"/>
      <c r="KW62" s="12"/>
      <c r="KX62" s="12"/>
      <c r="KY62" s="12"/>
      <c r="KZ62" s="12"/>
      <c r="LA62" s="12"/>
      <c r="LB62" s="12"/>
      <c r="LC62" s="12"/>
      <c r="LD62" s="12"/>
      <c r="LE62" s="12"/>
      <c r="LF62" s="12"/>
      <c r="LG62" s="12"/>
      <c r="LH62" s="12"/>
      <c r="LI62" s="12"/>
      <c r="LJ62" s="12"/>
      <c r="LK62" s="12"/>
      <c r="LL62" s="12"/>
      <c r="LM62" s="12"/>
      <c r="LN62" s="12"/>
      <c r="LO62" s="12"/>
      <c r="LP62" s="12"/>
      <c r="LQ62" s="12"/>
      <c r="LR62" s="12"/>
      <c r="LS62" s="12"/>
      <c r="LT62" s="12"/>
      <c r="LU62" s="12"/>
      <c r="LV62" s="12"/>
      <c r="LW62" s="12"/>
      <c r="LX62" s="12"/>
      <c r="LY62" s="12"/>
      <c r="LZ62" s="12"/>
      <c r="MA62" s="12"/>
      <c r="MB62" s="12"/>
      <c r="MC62" s="12"/>
      <c r="MD62" s="12"/>
      <c r="ME62" s="12"/>
      <c r="MF62" s="12"/>
      <c r="MG62" s="12"/>
      <c r="MH62" s="12"/>
      <c r="MI62" s="12"/>
      <c r="MJ62" s="12"/>
      <c r="MK62" s="12"/>
      <c r="ML62" s="12"/>
      <c r="MM62" s="12"/>
      <c r="MN62" s="12"/>
      <c r="MO62" s="12"/>
      <c r="MP62" s="12"/>
      <c r="MQ62" s="12"/>
      <c r="MR62" s="12"/>
      <c r="MS62" s="12"/>
      <c r="MT62" s="12"/>
      <c r="MU62" s="12"/>
      <c r="MV62" s="12"/>
      <c r="MW62" s="12"/>
      <c r="MX62" s="12"/>
      <c r="MY62" s="12"/>
      <c r="MZ62" s="12"/>
      <c r="NA62" s="12"/>
      <c r="NB62" s="12"/>
      <c r="NC62" s="12"/>
      <c r="ND62" s="12"/>
      <c r="NE62" s="12"/>
      <c r="NF62" s="12"/>
      <c r="NG62" s="12"/>
      <c r="NH62" s="12"/>
      <c r="NI62" s="12"/>
      <c r="NJ62" s="12"/>
      <c r="NK62" s="12"/>
      <c r="NL62" s="12"/>
      <c r="NM62" s="12"/>
      <c r="NN62" s="12"/>
      <c r="NO62" s="12"/>
      <c r="NP62" s="12"/>
      <c r="NQ62" s="12"/>
      <c r="NR62" s="12"/>
      <c r="NS62" s="12"/>
      <c r="NT62" s="12"/>
      <c r="NU62" s="12"/>
      <c r="NV62" s="12"/>
      <c r="NW62" s="12"/>
      <c r="NX62" s="12"/>
      <c r="NY62" s="12"/>
      <c r="NZ62" s="12"/>
      <c r="OA62" s="12"/>
      <c r="OB62" s="12"/>
      <c r="OC62" s="12"/>
      <c r="OD62" s="12"/>
      <c r="OE62" s="12"/>
      <c r="OF62" s="12"/>
      <c r="OG62" s="12"/>
      <c r="OH62" s="12"/>
      <c r="OI62" s="12"/>
      <c r="OJ62" s="12"/>
      <c r="OK62" s="12"/>
      <c r="OL62" s="12"/>
      <c r="OM62" s="12"/>
      <c r="ON62" s="12"/>
      <c r="OO62" s="12"/>
      <c r="OP62" s="12"/>
      <c r="OQ62" s="12"/>
      <c r="OR62" s="12"/>
      <c r="OS62" s="12"/>
      <c r="OT62" s="12"/>
      <c r="OU62" s="12"/>
      <c r="OV62" s="12"/>
      <c r="OW62" s="12"/>
      <c r="OX62" s="12"/>
      <c r="OY62" s="12"/>
      <c r="OZ62" s="12"/>
      <c r="PA62" s="12"/>
      <c r="PB62" s="12"/>
      <c r="PC62" s="12"/>
      <c r="PD62" s="12"/>
      <c r="PE62" s="12"/>
      <c r="PF62" s="12"/>
      <c r="PG62" s="12"/>
      <c r="PH62" s="12"/>
      <c r="PI62" s="12"/>
      <c r="PJ62" s="12"/>
      <c r="PK62" s="12"/>
      <c r="PL62" s="12"/>
      <c r="PM62" s="12"/>
      <c r="PN62" s="12"/>
      <c r="PO62" s="12"/>
      <c r="PP62" s="12"/>
      <c r="PQ62" s="12"/>
      <c r="PR62" s="12"/>
      <c r="PS62" s="12"/>
      <c r="PT62" s="12"/>
      <c r="PU62" s="12"/>
      <c r="PV62" s="12"/>
      <c r="PW62" s="12"/>
      <c r="PX62" s="12"/>
      <c r="PY62" s="12"/>
      <c r="PZ62" s="12"/>
      <c r="QA62" s="12"/>
      <c r="QB62" s="12"/>
      <c r="QC62" s="12"/>
      <c r="QD62" s="12"/>
      <c r="QE62" s="12"/>
      <c r="QF62" s="12"/>
      <c r="QG62" s="12"/>
      <c r="QH62" s="12"/>
      <c r="QI62" s="12"/>
      <c r="QJ62" s="12"/>
      <c r="QK62" s="12"/>
      <c r="QL62" s="12"/>
      <c r="QM62" s="12"/>
      <c r="QN62" s="12"/>
      <c r="QO62" s="12"/>
      <c r="QP62" s="12"/>
      <c r="QQ62" s="12"/>
      <c r="QR62" s="12"/>
      <c r="QS62" s="12"/>
      <c r="QT62" s="12"/>
      <c r="QU62" s="12"/>
      <c r="QV62" s="12"/>
      <c r="QW62" s="12"/>
      <c r="QX62" s="12"/>
      <c r="QY62" s="12"/>
      <c r="QZ62" s="12"/>
      <c r="RA62" s="12"/>
      <c r="RB62" s="12"/>
      <c r="RC62" s="12"/>
      <c r="RD62" s="12"/>
      <c r="RE62" s="12"/>
      <c r="RF62" s="12"/>
      <c r="RG62" s="12"/>
      <c r="RH62" s="12"/>
      <c r="RI62" s="12"/>
      <c r="RJ62" s="12"/>
      <c r="RK62" s="12"/>
      <c r="RL62" s="12"/>
      <c r="RM62" s="12"/>
      <c r="RN62" s="12"/>
      <c r="RO62" s="12"/>
      <c r="RP62" s="12"/>
      <c r="RQ62" s="12"/>
      <c r="RR62" s="12"/>
      <c r="RS62" s="12"/>
      <c r="RT62" s="12"/>
      <c r="RU62" s="12"/>
      <c r="RV62" s="12"/>
      <c r="RW62" s="12"/>
      <c r="RX62" s="12"/>
      <c r="RY62" s="12"/>
      <c r="RZ62" s="12"/>
      <c r="SA62" s="12"/>
      <c r="SB62" s="12"/>
      <c r="SC62" s="12"/>
      <c r="SD62" s="12"/>
      <c r="SE62" s="12"/>
      <c r="SF62" s="12"/>
      <c r="SG62" s="12"/>
      <c r="SH62" s="12"/>
      <c r="SI62" s="12"/>
      <c r="SJ62" s="12"/>
      <c r="SK62" s="12"/>
      <c r="SL62" s="12"/>
      <c r="SM62" s="12"/>
      <c r="SN62" s="12"/>
      <c r="SO62" s="12"/>
      <c r="SP62" s="12"/>
      <c r="SQ62" s="12"/>
      <c r="SR62" s="12"/>
      <c r="SS62" s="12"/>
      <c r="ST62" s="12"/>
      <c r="SU62" s="12"/>
      <c r="SV62" s="12"/>
      <c r="SW62" s="12"/>
      <c r="SX62" s="12"/>
      <c r="SY62" s="12"/>
      <c r="SZ62" s="12"/>
      <c r="TA62" s="12"/>
      <c r="TB62" s="12"/>
      <c r="TC62" s="12"/>
      <c r="TD62" s="12"/>
      <c r="TE62" s="12"/>
      <c r="TF62" s="12"/>
      <c r="TG62" s="12"/>
      <c r="TH62" s="12"/>
      <c r="TI62" s="12"/>
      <c r="TJ62" s="12"/>
      <c r="TK62" s="12"/>
      <c r="TL62" s="12"/>
      <c r="TM62" s="12"/>
      <c r="TN62" s="12"/>
      <c r="TO62" s="12"/>
      <c r="TP62" s="12"/>
      <c r="TQ62" s="12"/>
      <c r="TR62" s="12"/>
      <c r="TS62" s="12"/>
      <c r="TT62" s="12"/>
      <c r="TU62" s="12"/>
      <c r="TV62" s="12"/>
      <c r="TW62" s="12"/>
      <c r="TX62" s="12"/>
      <c r="TY62" s="12"/>
      <c r="TZ62" s="12"/>
      <c r="UA62" s="12"/>
      <c r="UB62" s="12"/>
      <c r="UC62" s="12"/>
      <c r="UD62" s="12"/>
      <c r="UE62" s="12"/>
      <c r="UF62" s="12"/>
      <c r="UG62" s="12"/>
      <c r="UH62" s="12"/>
      <c r="UI62" s="12"/>
      <c r="UJ62" s="12"/>
      <c r="UK62" s="12"/>
      <c r="UL62" s="12"/>
      <c r="UM62" s="12"/>
      <c r="UN62" s="12"/>
      <c r="UO62" s="12"/>
      <c r="UP62" s="12"/>
      <c r="UQ62" s="12"/>
      <c r="UR62" s="12"/>
      <c r="US62" s="12"/>
      <c r="UT62" s="12"/>
      <c r="UU62" s="12"/>
      <c r="UV62" s="12"/>
      <c r="UW62" s="12"/>
      <c r="UX62" s="12"/>
      <c r="UY62" s="12"/>
      <c r="UZ62" s="12"/>
      <c r="VA62" s="12"/>
      <c r="VB62" s="12"/>
      <c r="VC62" s="12"/>
      <c r="VD62" s="12"/>
      <c r="VE62" s="12"/>
      <c r="VF62" s="12"/>
      <c r="VG62" s="12"/>
      <c r="VH62" s="12"/>
      <c r="VI62" s="12"/>
      <c r="VJ62" s="12"/>
      <c r="VK62" s="12"/>
      <c r="VL62" s="12"/>
      <c r="VM62" s="12"/>
      <c r="VN62" s="12"/>
      <c r="VO62" s="12"/>
      <c r="VP62" s="12"/>
      <c r="VQ62" s="12"/>
      <c r="VR62" s="12"/>
      <c r="VS62" s="12"/>
      <c r="VT62" s="12"/>
      <c r="VU62" s="12"/>
      <c r="VV62" s="12"/>
      <c r="VW62" s="12"/>
      <c r="VX62" s="12"/>
      <c r="VY62" s="12"/>
      <c r="VZ62" s="12"/>
      <c r="WA62" s="12"/>
      <c r="WB62" s="12"/>
      <c r="WC62" s="12"/>
      <c r="WD62" s="12"/>
      <c r="WE62" s="12"/>
      <c r="WF62" s="12"/>
      <c r="WG62" s="12"/>
      <c r="WH62" s="12"/>
      <c r="WI62" s="12"/>
      <c r="WJ62" s="12"/>
      <c r="WK62" s="12"/>
      <c r="WL62" s="12"/>
      <c r="WM62" s="12"/>
      <c r="WN62" s="12"/>
      <c r="WO62" s="12"/>
      <c r="WP62" s="12"/>
      <c r="WQ62" s="12"/>
      <c r="WR62" s="12"/>
      <c r="WS62" s="12"/>
      <c r="WT62" s="12"/>
      <c r="WU62" s="12"/>
      <c r="WV62" s="12"/>
      <c r="WW62" s="12"/>
      <c r="WX62" s="12"/>
      <c r="WY62" s="12"/>
      <c r="WZ62" s="12"/>
      <c r="XA62" s="12"/>
      <c r="XB62" s="12"/>
      <c r="XC62" s="12"/>
      <c r="XD62" s="12"/>
      <c r="XE62" s="12"/>
      <c r="XF62" s="12"/>
      <c r="XG62" s="12"/>
      <c r="XH62" s="12"/>
      <c r="XI62" s="12"/>
      <c r="XJ62" s="12"/>
      <c r="XK62" s="12"/>
      <c r="XL62" s="12"/>
      <c r="XM62" s="12"/>
      <c r="XN62" s="12"/>
      <c r="XO62" s="12"/>
      <c r="XP62" s="12"/>
      <c r="XQ62" s="12"/>
      <c r="XR62" s="12"/>
      <c r="XS62" s="12"/>
      <c r="XT62" s="12"/>
      <c r="XU62" s="12"/>
      <c r="XV62" s="12"/>
      <c r="XW62" s="12"/>
      <c r="XX62" s="12"/>
      <c r="XY62" s="12"/>
      <c r="XZ62" s="12"/>
      <c r="YA62" s="12"/>
      <c r="YB62" s="12"/>
      <c r="YC62" s="12"/>
      <c r="YD62" s="12"/>
      <c r="YE62" s="12"/>
      <c r="YF62" s="12"/>
      <c r="YG62" s="12"/>
      <c r="YH62" s="12"/>
      <c r="YI62" s="12"/>
      <c r="YJ62" s="12"/>
      <c r="YK62" s="12"/>
      <c r="YL62" s="12"/>
      <c r="YM62" s="12"/>
      <c r="YN62" s="12"/>
      <c r="YO62" s="12"/>
      <c r="YP62" s="12"/>
      <c r="YQ62" s="12"/>
      <c r="YR62" s="12"/>
      <c r="YS62" s="12"/>
      <c r="YT62" s="12"/>
      <c r="YU62" s="12"/>
      <c r="YV62" s="12"/>
      <c r="YW62" s="12"/>
      <c r="YX62" s="12"/>
      <c r="YY62" s="12"/>
      <c r="YZ62" s="12"/>
      <c r="ZA62" s="12"/>
      <c r="ZB62" s="12"/>
      <c r="ZC62" s="12"/>
      <c r="ZD62" s="12"/>
      <c r="ZE62" s="12"/>
      <c r="ZF62" s="12"/>
      <c r="ZG62" s="12"/>
      <c r="ZH62" s="12"/>
      <c r="ZI62" s="12"/>
      <c r="ZJ62" s="12"/>
      <c r="ZK62" s="12"/>
      <c r="ZL62" s="12"/>
      <c r="ZM62" s="12"/>
      <c r="ZN62" s="12"/>
      <c r="ZO62" s="12"/>
      <c r="ZP62" s="12"/>
      <c r="ZQ62" s="12"/>
      <c r="ZR62" s="12"/>
      <c r="ZS62" s="12"/>
      <c r="ZT62" s="12"/>
      <c r="ZU62" s="12"/>
      <c r="ZV62" s="12"/>
      <c r="ZW62" s="12"/>
      <c r="ZX62" s="12"/>
      <c r="ZY62" s="12"/>
      <c r="ZZ62" s="12"/>
      <c r="AAA62" s="12"/>
      <c r="AAB62" s="12"/>
      <c r="AAC62" s="12"/>
      <c r="AAD62" s="12"/>
      <c r="AAE62" s="12"/>
      <c r="AAF62" s="12"/>
      <c r="AAG62" s="12"/>
      <c r="AAH62" s="12"/>
      <c r="AAI62" s="12"/>
      <c r="AAJ62" s="12"/>
      <c r="AAK62" s="12"/>
      <c r="AAL62" s="12"/>
      <c r="AAM62" s="12"/>
      <c r="AAN62" s="12"/>
      <c r="AAO62" s="12"/>
      <c r="AAP62" s="12"/>
      <c r="AAQ62" s="12"/>
      <c r="AAR62" s="12"/>
      <c r="AAS62" s="12"/>
      <c r="AAT62" s="12"/>
      <c r="AAU62" s="12"/>
      <c r="AAV62" s="12"/>
      <c r="AAW62" s="12"/>
      <c r="AAX62" s="12"/>
      <c r="AAY62" s="12"/>
      <c r="AAZ62" s="12"/>
      <c r="ABA62" s="12"/>
      <c r="ABB62" s="12"/>
      <c r="ABC62" s="12"/>
      <c r="ABD62" s="12"/>
      <c r="ABE62" s="12"/>
      <c r="ABF62" s="12"/>
      <c r="ABG62" s="12"/>
      <c r="ABH62" s="12"/>
      <c r="ABI62" s="12"/>
      <c r="ABJ62" s="12"/>
      <c r="ABK62" s="12"/>
      <c r="ABL62" s="12"/>
      <c r="ABM62" s="12"/>
      <c r="ABN62" s="12"/>
      <c r="ABO62" s="12"/>
      <c r="ABP62" s="12"/>
      <c r="ABQ62" s="12"/>
      <c r="ABR62" s="12"/>
      <c r="ABS62" s="12"/>
      <c r="ABT62" s="12"/>
      <c r="ABU62" s="12"/>
      <c r="ABV62" s="12"/>
      <c r="ABW62" s="12"/>
      <c r="ABX62" s="12"/>
      <c r="ABY62" s="12"/>
      <c r="ABZ62" s="12"/>
      <c r="ACA62" s="12"/>
      <c r="ACB62" s="12"/>
      <c r="ACC62" s="12"/>
      <c r="ACD62" s="12"/>
      <c r="ACE62" s="12"/>
      <c r="ACF62" s="12"/>
      <c r="ACG62" s="12"/>
      <c r="ACH62" s="12"/>
      <c r="ACI62" s="12"/>
      <c r="ACJ62" s="12"/>
      <c r="ACK62" s="12"/>
      <c r="ACL62" s="12"/>
      <c r="ACM62" s="12"/>
      <c r="ACN62" s="12"/>
      <c r="ACO62" s="12"/>
      <c r="ACP62" s="12"/>
      <c r="ACQ62" s="12"/>
      <c r="ACR62" s="12"/>
      <c r="ACS62" s="12"/>
      <c r="ACT62" s="12"/>
      <c r="ACU62" s="12"/>
      <c r="ACV62" s="12"/>
      <c r="ACW62" s="12"/>
      <c r="ACX62" s="12"/>
      <c r="ACY62" s="12"/>
      <c r="ACZ62" s="12"/>
      <c r="ADA62" s="12"/>
      <c r="ADB62" s="12"/>
      <c r="ADC62" s="12"/>
      <c r="ADD62" s="12"/>
      <c r="ADE62" s="12"/>
      <c r="ADF62" s="12"/>
      <c r="ADG62" s="12"/>
      <c r="ADH62" s="12"/>
      <c r="ADI62" s="12"/>
      <c r="ADJ62" s="12"/>
      <c r="ADK62" s="12"/>
      <c r="ADL62" s="12"/>
      <c r="ADM62" s="12"/>
      <c r="ADN62" s="12"/>
      <c r="ADO62" s="12"/>
      <c r="ADP62" s="12"/>
      <c r="ADQ62" s="12"/>
      <c r="ADR62" s="12"/>
      <c r="ADS62" s="12"/>
      <c r="ADT62" s="12"/>
      <c r="ADU62" s="12"/>
      <c r="ADV62" s="12"/>
      <c r="ADW62" s="12"/>
      <c r="ADX62" s="12"/>
      <c r="ADY62" s="12"/>
      <c r="ADZ62" s="12"/>
      <c r="AEA62" s="12"/>
      <c r="AEB62" s="12"/>
      <c r="AEC62" s="12"/>
      <c r="AED62" s="12"/>
      <c r="AEE62" s="12"/>
      <c r="AEF62" s="12"/>
      <c r="AEG62" s="12"/>
      <c r="AEH62" s="12"/>
      <c r="AEI62" s="12"/>
      <c r="AEJ62" s="12"/>
      <c r="AEK62" s="12"/>
      <c r="AEL62" s="12"/>
      <c r="AEM62" s="12"/>
      <c r="AEN62" s="12"/>
      <c r="AEO62" s="12"/>
      <c r="AEP62" s="12"/>
      <c r="AEQ62" s="12"/>
      <c r="AER62" s="12"/>
      <c r="AES62" s="12"/>
      <c r="AET62" s="12"/>
      <c r="AEU62" s="12"/>
      <c r="AEV62" s="12"/>
    </row>
    <row r="63" spans="1:828" s="27" customFormat="1" ht="18" x14ac:dyDescent="0.2">
      <c r="A63" s="61"/>
      <c r="D63" s="29"/>
      <c r="E63" s="23"/>
      <c r="F63" s="23"/>
      <c r="G63" s="23"/>
      <c r="H63" s="30"/>
      <c r="I63" s="23" t="s">
        <v>58</v>
      </c>
      <c r="J63" s="29">
        <v>44961</v>
      </c>
      <c r="K63" s="30"/>
      <c r="L63" s="23"/>
      <c r="M63" s="29"/>
      <c r="N63" s="47"/>
      <c r="O63" s="47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2"/>
      <c r="FJ63" s="12"/>
      <c r="FK63" s="12"/>
      <c r="FL63" s="12"/>
      <c r="FM63" s="12"/>
      <c r="FN63" s="12"/>
      <c r="FO63" s="12"/>
      <c r="FP63" s="12"/>
      <c r="FQ63" s="12"/>
      <c r="FR63" s="12"/>
      <c r="FS63" s="12"/>
      <c r="FT63" s="12"/>
      <c r="FU63" s="12"/>
      <c r="FV63" s="12"/>
      <c r="FW63" s="12"/>
      <c r="FX63" s="12"/>
      <c r="FY63" s="12"/>
      <c r="FZ63" s="12"/>
      <c r="GA63" s="12"/>
      <c r="GB63" s="12"/>
      <c r="GC63" s="12"/>
      <c r="GD63" s="12"/>
      <c r="GE63" s="12"/>
      <c r="GF63" s="12"/>
      <c r="GG63" s="12"/>
      <c r="GH63" s="12"/>
      <c r="GI63" s="12"/>
      <c r="GJ63" s="12"/>
      <c r="GK63" s="12"/>
      <c r="GL63" s="12"/>
      <c r="GM63" s="12"/>
      <c r="GN63" s="12"/>
      <c r="GO63" s="12"/>
      <c r="GP63" s="12"/>
      <c r="GQ63" s="12"/>
      <c r="GR63" s="12"/>
      <c r="GS63" s="12"/>
      <c r="GT63" s="12"/>
      <c r="GU63" s="12"/>
      <c r="GV63" s="12"/>
      <c r="GW63" s="12"/>
      <c r="GX63" s="12"/>
      <c r="GY63" s="12"/>
      <c r="GZ63" s="12"/>
      <c r="HA63" s="12"/>
      <c r="HB63" s="12"/>
      <c r="HC63" s="12"/>
      <c r="HD63" s="12"/>
      <c r="HE63" s="12"/>
      <c r="HF63" s="12"/>
      <c r="HG63" s="12"/>
      <c r="HH63" s="12"/>
      <c r="HI63" s="12"/>
      <c r="HJ63" s="12"/>
      <c r="HK63" s="12"/>
      <c r="HL63" s="12"/>
      <c r="HM63" s="12"/>
      <c r="HN63" s="12"/>
      <c r="HO63" s="12"/>
      <c r="HP63" s="12"/>
      <c r="HQ63" s="12"/>
      <c r="HR63" s="12"/>
      <c r="HS63" s="12"/>
      <c r="HT63" s="12"/>
      <c r="HU63" s="12"/>
      <c r="HV63" s="12"/>
      <c r="HW63" s="12"/>
      <c r="HX63" s="12"/>
      <c r="HY63" s="12"/>
      <c r="HZ63" s="12"/>
      <c r="IA63" s="12"/>
      <c r="IB63" s="12"/>
      <c r="IC63" s="12"/>
      <c r="ID63" s="12"/>
      <c r="IE63" s="12"/>
      <c r="IF63" s="12"/>
      <c r="IG63" s="12"/>
      <c r="IH63" s="12"/>
      <c r="II63" s="12"/>
      <c r="IJ63" s="12"/>
      <c r="IK63" s="12"/>
      <c r="IL63" s="12"/>
      <c r="IM63" s="12"/>
      <c r="IN63" s="12"/>
      <c r="IO63" s="12"/>
      <c r="IP63" s="12"/>
      <c r="IQ63" s="12"/>
      <c r="IR63" s="12"/>
      <c r="IS63" s="12"/>
      <c r="IT63" s="12"/>
      <c r="IU63" s="12"/>
      <c r="IV63" s="12"/>
      <c r="IW63" s="12"/>
      <c r="IX63" s="12"/>
      <c r="IY63" s="12"/>
      <c r="IZ63" s="12"/>
      <c r="JA63" s="12"/>
      <c r="JB63" s="12"/>
      <c r="JC63" s="12"/>
      <c r="JD63" s="12"/>
      <c r="JE63" s="12"/>
      <c r="JF63" s="12"/>
      <c r="JG63" s="12"/>
      <c r="JH63" s="12"/>
      <c r="JI63" s="12"/>
      <c r="JJ63" s="12"/>
      <c r="JK63" s="12"/>
      <c r="JL63" s="12"/>
      <c r="JM63" s="12"/>
      <c r="JN63" s="12"/>
      <c r="JO63" s="12"/>
      <c r="JP63" s="12"/>
      <c r="JQ63" s="12"/>
      <c r="JR63" s="12"/>
      <c r="JS63" s="12"/>
      <c r="JT63" s="12"/>
      <c r="JU63" s="12"/>
      <c r="JV63" s="12"/>
      <c r="JW63" s="12"/>
      <c r="JX63" s="12"/>
      <c r="JY63" s="12"/>
      <c r="JZ63" s="12"/>
      <c r="KA63" s="12"/>
      <c r="KB63" s="12"/>
      <c r="KC63" s="12"/>
      <c r="KD63" s="12"/>
      <c r="KE63" s="12"/>
      <c r="KF63" s="12"/>
      <c r="KG63" s="12"/>
      <c r="KH63" s="12"/>
      <c r="KI63" s="12"/>
      <c r="KJ63" s="12"/>
      <c r="KK63" s="12"/>
      <c r="KL63" s="12"/>
      <c r="KM63" s="12"/>
      <c r="KN63" s="12"/>
      <c r="KO63" s="12"/>
      <c r="KP63" s="12"/>
      <c r="KQ63" s="12"/>
      <c r="KR63" s="12"/>
      <c r="KS63" s="12"/>
      <c r="KT63" s="12"/>
      <c r="KU63" s="12"/>
      <c r="KV63" s="12"/>
      <c r="KW63" s="12"/>
      <c r="KX63" s="12"/>
      <c r="KY63" s="12"/>
      <c r="KZ63" s="12"/>
      <c r="LA63" s="12"/>
      <c r="LB63" s="12"/>
      <c r="LC63" s="12"/>
      <c r="LD63" s="12"/>
      <c r="LE63" s="12"/>
      <c r="LF63" s="12"/>
      <c r="LG63" s="12"/>
      <c r="LH63" s="12"/>
      <c r="LI63" s="12"/>
      <c r="LJ63" s="12"/>
      <c r="LK63" s="12"/>
      <c r="LL63" s="12"/>
      <c r="LM63" s="12"/>
      <c r="LN63" s="12"/>
      <c r="LO63" s="12"/>
      <c r="LP63" s="12"/>
      <c r="LQ63" s="12"/>
      <c r="LR63" s="12"/>
      <c r="LS63" s="12"/>
      <c r="LT63" s="12"/>
      <c r="LU63" s="12"/>
      <c r="LV63" s="12"/>
      <c r="LW63" s="12"/>
      <c r="LX63" s="12"/>
      <c r="LY63" s="12"/>
      <c r="LZ63" s="12"/>
      <c r="MA63" s="12"/>
      <c r="MB63" s="12"/>
      <c r="MC63" s="12"/>
      <c r="MD63" s="12"/>
      <c r="ME63" s="12"/>
      <c r="MF63" s="12"/>
      <c r="MG63" s="12"/>
      <c r="MH63" s="12"/>
      <c r="MI63" s="12"/>
      <c r="MJ63" s="12"/>
      <c r="MK63" s="12"/>
      <c r="ML63" s="12"/>
      <c r="MM63" s="12"/>
      <c r="MN63" s="12"/>
      <c r="MO63" s="12"/>
      <c r="MP63" s="12"/>
      <c r="MQ63" s="12"/>
      <c r="MR63" s="12"/>
      <c r="MS63" s="12"/>
      <c r="MT63" s="12"/>
      <c r="MU63" s="12"/>
      <c r="MV63" s="12"/>
      <c r="MW63" s="12"/>
      <c r="MX63" s="12"/>
      <c r="MY63" s="12"/>
      <c r="MZ63" s="12"/>
      <c r="NA63" s="12"/>
      <c r="NB63" s="12"/>
      <c r="NC63" s="12"/>
      <c r="ND63" s="12"/>
      <c r="NE63" s="12"/>
      <c r="NF63" s="12"/>
      <c r="NG63" s="12"/>
      <c r="NH63" s="12"/>
      <c r="NI63" s="12"/>
      <c r="NJ63" s="12"/>
      <c r="NK63" s="12"/>
      <c r="NL63" s="12"/>
      <c r="NM63" s="12"/>
      <c r="NN63" s="12"/>
      <c r="NO63" s="12"/>
      <c r="NP63" s="12"/>
      <c r="NQ63" s="12"/>
      <c r="NR63" s="12"/>
      <c r="NS63" s="12"/>
      <c r="NT63" s="12"/>
      <c r="NU63" s="12"/>
      <c r="NV63" s="12"/>
      <c r="NW63" s="12"/>
      <c r="NX63" s="12"/>
      <c r="NY63" s="12"/>
      <c r="NZ63" s="12"/>
      <c r="OA63" s="12"/>
      <c r="OB63" s="12"/>
      <c r="OC63" s="12"/>
      <c r="OD63" s="12"/>
      <c r="OE63" s="12"/>
      <c r="OF63" s="12"/>
      <c r="OG63" s="12"/>
      <c r="OH63" s="12"/>
      <c r="OI63" s="12"/>
      <c r="OJ63" s="12"/>
      <c r="OK63" s="12"/>
      <c r="OL63" s="12"/>
      <c r="OM63" s="12"/>
      <c r="ON63" s="12"/>
      <c r="OO63" s="12"/>
      <c r="OP63" s="12"/>
      <c r="OQ63" s="12"/>
      <c r="OR63" s="12"/>
      <c r="OS63" s="12"/>
      <c r="OT63" s="12"/>
      <c r="OU63" s="12"/>
      <c r="OV63" s="12"/>
      <c r="OW63" s="12"/>
      <c r="OX63" s="12"/>
      <c r="OY63" s="12"/>
      <c r="OZ63" s="12"/>
      <c r="PA63" s="12"/>
      <c r="PB63" s="12"/>
      <c r="PC63" s="12"/>
      <c r="PD63" s="12"/>
      <c r="PE63" s="12"/>
      <c r="PF63" s="12"/>
      <c r="PG63" s="12"/>
      <c r="PH63" s="12"/>
      <c r="PI63" s="12"/>
      <c r="PJ63" s="12"/>
      <c r="PK63" s="12"/>
      <c r="PL63" s="12"/>
      <c r="PM63" s="12"/>
      <c r="PN63" s="12"/>
      <c r="PO63" s="12"/>
      <c r="PP63" s="12"/>
      <c r="PQ63" s="12"/>
      <c r="PR63" s="12"/>
      <c r="PS63" s="12"/>
      <c r="PT63" s="12"/>
      <c r="PU63" s="12"/>
      <c r="PV63" s="12"/>
      <c r="PW63" s="12"/>
      <c r="PX63" s="12"/>
      <c r="PY63" s="12"/>
      <c r="PZ63" s="12"/>
      <c r="QA63" s="12"/>
      <c r="QB63" s="12"/>
      <c r="QC63" s="12"/>
      <c r="QD63" s="12"/>
      <c r="QE63" s="12"/>
      <c r="QF63" s="12"/>
      <c r="QG63" s="12"/>
      <c r="QH63" s="12"/>
      <c r="QI63" s="12"/>
      <c r="QJ63" s="12"/>
      <c r="QK63" s="12"/>
      <c r="QL63" s="12"/>
      <c r="QM63" s="12"/>
      <c r="QN63" s="12"/>
      <c r="QO63" s="12"/>
      <c r="QP63" s="12"/>
      <c r="QQ63" s="12"/>
      <c r="QR63" s="12"/>
      <c r="QS63" s="12"/>
      <c r="QT63" s="12"/>
      <c r="QU63" s="12"/>
      <c r="QV63" s="12"/>
      <c r="QW63" s="12"/>
      <c r="QX63" s="12"/>
      <c r="QY63" s="12"/>
      <c r="QZ63" s="12"/>
      <c r="RA63" s="12"/>
      <c r="RB63" s="12"/>
      <c r="RC63" s="12"/>
      <c r="RD63" s="12"/>
      <c r="RE63" s="12"/>
      <c r="RF63" s="12"/>
      <c r="RG63" s="12"/>
      <c r="RH63" s="12"/>
      <c r="RI63" s="12"/>
      <c r="RJ63" s="12"/>
      <c r="RK63" s="12"/>
      <c r="RL63" s="12"/>
      <c r="RM63" s="12"/>
      <c r="RN63" s="12"/>
      <c r="RO63" s="12"/>
      <c r="RP63" s="12"/>
      <c r="RQ63" s="12"/>
      <c r="RR63" s="12"/>
      <c r="RS63" s="12"/>
      <c r="RT63" s="12"/>
      <c r="RU63" s="12"/>
      <c r="RV63" s="12"/>
      <c r="RW63" s="12"/>
      <c r="RX63" s="12"/>
      <c r="RY63" s="12"/>
      <c r="RZ63" s="12"/>
      <c r="SA63" s="12"/>
      <c r="SB63" s="12"/>
      <c r="SC63" s="12"/>
      <c r="SD63" s="12"/>
      <c r="SE63" s="12"/>
      <c r="SF63" s="12"/>
      <c r="SG63" s="12"/>
      <c r="SH63" s="12"/>
      <c r="SI63" s="12"/>
      <c r="SJ63" s="12"/>
      <c r="SK63" s="12"/>
      <c r="SL63" s="12"/>
      <c r="SM63" s="12"/>
      <c r="SN63" s="12"/>
      <c r="SO63" s="12"/>
      <c r="SP63" s="12"/>
      <c r="SQ63" s="12"/>
      <c r="SR63" s="12"/>
      <c r="SS63" s="12"/>
      <c r="ST63" s="12"/>
      <c r="SU63" s="12"/>
      <c r="SV63" s="12"/>
      <c r="SW63" s="12"/>
      <c r="SX63" s="12"/>
      <c r="SY63" s="12"/>
      <c r="SZ63" s="12"/>
      <c r="TA63" s="12"/>
      <c r="TB63" s="12"/>
      <c r="TC63" s="12"/>
      <c r="TD63" s="12"/>
      <c r="TE63" s="12"/>
      <c r="TF63" s="12"/>
      <c r="TG63" s="12"/>
      <c r="TH63" s="12"/>
      <c r="TI63" s="12"/>
      <c r="TJ63" s="12"/>
      <c r="TK63" s="12"/>
      <c r="TL63" s="12"/>
      <c r="TM63" s="12"/>
      <c r="TN63" s="12"/>
      <c r="TO63" s="12"/>
      <c r="TP63" s="12"/>
      <c r="TQ63" s="12"/>
      <c r="TR63" s="12"/>
      <c r="TS63" s="12"/>
      <c r="TT63" s="12"/>
      <c r="TU63" s="12"/>
      <c r="TV63" s="12"/>
      <c r="TW63" s="12"/>
      <c r="TX63" s="12"/>
      <c r="TY63" s="12"/>
      <c r="TZ63" s="12"/>
      <c r="UA63" s="12"/>
      <c r="UB63" s="12"/>
      <c r="UC63" s="12"/>
      <c r="UD63" s="12"/>
      <c r="UE63" s="12"/>
      <c r="UF63" s="12"/>
      <c r="UG63" s="12"/>
      <c r="UH63" s="12"/>
      <c r="UI63" s="12"/>
      <c r="UJ63" s="12"/>
      <c r="UK63" s="12"/>
      <c r="UL63" s="12"/>
      <c r="UM63" s="12"/>
      <c r="UN63" s="12"/>
      <c r="UO63" s="12"/>
      <c r="UP63" s="12"/>
      <c r="UQ63" s="12"/>
      <c r="UR63" s="12"/>
      <c r="US63" s="12"/>
      <c r="UT63" s="12"/>
      <c r="UU63" s="12"/>
      <c r="UV63" s="12"/>
      <c r="UW63" s="12"/>
      <c r="UX63" s="12"/>
      <c r="UY63" s="12"/>
      <c r="UZ63" s="12"/>
      <c r="VA63" s="12"/>
      <c r="VB63" s="12"/>
      <c r="VC63" s="12"/>
      <c r="VD63" s="12"/>
      <c r="VE63" s="12"/>
      <c r="VF63" s="12"/>
      <c r="VG63" s="12"/>
      <c r="VH63" s="12"/>
      <c r="VI63" s="12"/>
      <c r="VJ63" s="12"/>
      <c r="VK63" s="12"/>
      <c r="VL63" s="12"/>
      <c r="VM63" s="12"/>
      <c r="VN63" s="12"/>
      <c r="VO63" s="12"/>
      <c r="VP63" s="12"/>
      <c r="VQ63" s="12"/>
      <c r="VR63" s="12"/>
      <c r="VS63" s="12"/>
      <c r="VT63" s="12"/>
      <c r="VU63" s="12"/>
      <c r="VV63" s="12"/>
      <c r="VW63" s="12"/>
      <c r="VX63" s="12"/>
      <c r="VY63" s="12"/>
      <c r="VZ63" s="12"/>
      <c r="WA63" s="12"/>
      <c r="WB63" s="12"/>
      <c r="WC63" s="12"/>
      <c r="WD63" s="12"/>
      <c r="WE63" s="12"/>
      <c r="WF63" s="12"/>
      <c r="WG63" s="12"/>
      <c r="WH63" s="12"/>
      <c r="WI63" s="12"/>
      <c r="WJ63" s="12"/>
      <c r="WK63" s="12"/>
      <c r="WL63" s="12"/>
      <c r="WM63" s="12"/>
      <c r="WN63" s="12"/>
      <c r="WO63" s="12"/>
      <c r="WP63" s="12"/>
      <c r="WQ63" s="12"/>
      <c r="WR63" s="12"/>
      <c r="WS63" s="12"/>
      <c r="WT63" s="12"/>
      <c r="WU63" s="12"/>
      <c r="WV63" s="12"/>
      <c r="WW63" s="12"/>
      <c r="WX63" s="12"/>
      <c r="WY63" s="12"/>
      <c r="WZ63" s="12"/>
      <c r="XA63" s="12"/>
      <c r="XB63" s="12"/>
      <c r="XC63" s="12"/>
      <c r="XD63" s="12"/>
      <c r="XE63" s="12"/>
      <c r="XF63" s="12"/>
      <c r="XG63" s="12"/>
      <c r="XH63" s="12"/>
      <c r="XI63" s="12"/>
      <c r="XJ63" s="12"/>
      <c r="XK63" s="12"/>
      <c r="XL63" s="12"/>
      <c r="XM63" s="12"/>
      <c r="XN63" s="12"/>
      <c r="XO63" s="12"/>
      <c r="XP63" s="12"/>
      <c r="XQ63" s="12"/>
      <c r="XR63" s="12"/>
      <c r="XS63" s="12"/>
      <c r="XT63" s="12"/>
      <c r="XU63" s="12"/>
      <c r="XV63" s="12"/>
      <c r="XW63" s="12"/>
      <c r="XX63" s="12"/>
      <c r="XY63" s="12"/>
      <c r="XZ63" s="12"/>
      <c r="YA63" s="12"/>
      <c r="YB63" s="12"/>
      <c r="YC63" s="12"/>
      <c r="YD63" s="12"/>
      <c r="YE63" s="12"/>
      <c r="YF63" s="12"/>
      <c r="YG63" s="12"/>
      <c r="YH63" s="12"/>
      <c r="YI63" s="12"/>
      <c r="YJ63" s="12"/>
      <c r="YK63" s="12"/>
      <c r="YL63" s="12"/>
      <c r="YM63" s="12"/>
      <c r="YN63" s="12"/>
      <c r="YO63" s="12"/>
      <c r="YP63" s="12"/>
      <c r="YQ63" s="12"/>
      <c r="YR63" s="12"/>
      <c r="YS63" s="12"/>
      <c r="YT63" s="12"/>
      <c r="YU63" s="12"/>
      <c r="YV63" s="12"/>
      <c r="YW63" s="12"/>
      <c r="YX63" s="12"/>
      <c r="YY63" s="12"/>
      <c r="YZ63" s="12"/>
      <c r="ZA63" s="12"/>
      <c r="ZB63" s="12"/>
      <c r="ZC63" s="12"/>
      <c r="ZD63" s="12"/>
      <c r="ZE63" s="12"/>
      <c r="ZF63" s="12"/>
      <c r="ZG63" s="12"/>
      <c r="ZH63" s="12"/>
      <c r="ZI63" s="12"/>
      <c r="ZJ63" s="12"/>
      <c r="ZK63" s="12"/>
      <c r="ZL63" s="12"/>
      <c r="ZM63" s="12"/>
      <c r="ZN63" s="12"/>
      <c r="ZO63" s="12"/>
      <c r="ZP63" s="12"/>
      <c r="ZQ63" s="12"/>
      <c r="ZR63" s="12"/>
      <c r="ZS63" s="12"/>
      <c r="ZT63" s="12"/>
      <c r="ZU63" s="12"/>
      <c r="ZV63" s="12"/>
      <c r="ZW63" s="12"/>
      <c r="ZX63" s="12"/>
      <c r="ZY63" s="12"/>
      <c r="ZZ63" s="12"/>
      <c r="AAA63" s="12"/>
      <c r="AAB63" s="12"/>
      <c r="AAC63" s="12"/>
      <c r="AAD63" s="12"/>
      <c r="AAE63" s="12"/>
      <c r="AAF63" s="12"/>
      <c r="AAG63" s="12"/>
      <c r="AAH63" s="12"/>
      <c r="AAI63" s="12"/>
      <c r="AAJ63" s="12"/>
      <c r="AAK63" s="12"/>
      <c r="AAL63" s="12"/>
      <c r="AAM63" s="12"/>
      <c r="AAN63" s="12"/>
      <c r="AAO63" s="12"/>
      <c r="AAP63" s="12"/>
      <c r="AAQ63" s="12"/>
      <c r="AAR63" s="12"/>
      <c r="AAS63" s="12"/>
      <c r="AAT63" s="12"/>
      <c r="AAU63" s="12"/>
      <c r="AAV63" s="12"/>
      <c r="AAW63" s="12"/>
      <c r="AAX63" s="12"/>
      <c r="AAY63" s="12"/>
      <c r="AAZ63" s="12"/>
      <c r="ABA63" s="12"/>
      <c r="ABB63" s="12"/>
      <c r="ABC63" s="12"/>
      <c r="ABD63" s="12"/>
      <c r="ABE63" s="12"/>
      <c r="ABF63" s="12"/>
      <c r="ABG63" s="12"/>
      <c r="ABH63" s="12"/>
      <c r="ABI63" s="12"/>
      <c r="ABJ63" s="12"/>
      <c r="ABK63" s="12"/>
      <c r="ABL63" s="12"/>
      <c r="ABM63" s="12"/>
      <c r="ABN63" s="12"/>
      <c r="ABO63" s="12"/>
      <c r="ABP63" s="12"/>
      <c r="ABQ63" s="12"/>
      <c r="ABR63" s="12"/>
      <c r="ABS63" s="12"/>
      <c r="ABT63" s="12"/>
      <c r="ABU63" s="12"/>
      <c r="ABV63" s="12"/>
      <c r="ABW63" s="12"/>
      <c r="ABX63" s="12"/>
      <c r="ABY63" s="12"/>
      <c r="ABZ63" s="12"/>
      <c r="ACA63" s="12"/>
      <c r="ACB63" s="12"/>
      <c r="ACC63" s="12"/>
      <c r="ACD63" s="12"/>
      <c r="ACE63" s="12"/>
      <c r="ACF63" s="12"/>
      <c r="ACG63" s="12"/>
      <c r="ACH63" s="12"/>
      <c r="ACI63" s="12"/>
      <c r="ACJ63" s="12"/>
      <c r="ACK63" s="12"/>
      <c r="ACL63" s="12"/>
      <c r="ACM63" s="12"/>
      <c r="ACN63" s="12"/>
      <c r="ACO63" s="12"/>
      <c r="ACP63" s="12"/>
      <c r="ACQ63" s="12"/>
      <c r="ACR63" s="12"/>
      <c r="ACS63" s="12"/>
      <c r="ACT63" s="12"/>
      <c r="ACU63" s="12"/>
      <c r="ACV63" s="12"/>
      <c r="ACW63" s="12"/>
      <c r="ACX63" s="12"/>
      <c r="ACY63" s="12"/>
      <c r="ACZ63" s="12"/>
      <c r="ADA63" s="12"/>
      <c r="ADB63" s="12"/>
      <c r="ADC63" s="12"/>
      <c r="ADD63" s="12"/>
      <c r="ADE63" s="12"/>
      <c r="ADF63" s="12"/>
      <c r="ADG63" s="12"/>
      <c r="ADH63" s="12"/>
      <c r="ADI63" s="12"/>
      <c r="ADJ63" s="12"/>
      <c r="ADK63" s="12"/>
      <c r="ADL63" s="12"/>
      <c r="ADM63" s="12"/>
      <c r="ADN63" s="12"/>
      <c r="ADO63" s="12"/>
      <c r="ADP63" s="12"/>
      <c r="ADQ63" s="12"/>
      <c r="ADR63" s="12"/>
      <c r="ADS63" s="12"/>
      <c r="ADT63" s="12"/>
      <c r="ADU63" s="12"/>
      <c r="ADV63" s="12"/>
      <c r="ADW63" s="12"/>
      <c r="ADX63" s="12"/>
      <c r="ADY63" s="12"/>
      <c r="ADZ63" s="12"/>
      <c r="AEA63" s="12"/>
      <c r="AEB63" s="12"/>
      <c r="AEC63" s="12"/>
      <c r="AED63" s="12"/>
      <c r="AEE63" s="12"/>
      <c r="AEF63" s="12"/>
      <c r="AEG63" s="12"/>
      <c r="AEH63" s="12"/>
      <c r="AEI63" s="12"/>
      <c r="AEJ63" s="12"/>
      <c r="AEK63" s="12"/>
      <c r="AEL63" s="12"/>
      <c r="AEM63" s="12"/>
      <c r="AEN63" s="12"/>
      <c r="AEO63" s="12"/>
      <c r="AEP63" s="12"/>
      <c r="AEQ63" s="12"/>
      <c r="AER63" s="12"/>
      <c r="AES63" s="12"/>
      <c r="AET63" s="12"/>
      <c r="AEU63" s="12"/>
      <c r="AEV63" s="12"/>
    </row>
    <row r="64" spans="1:828" s="27" customFormat="1" ht="18" x14ac:dyDescent="0.2">
      <c r="A64" s="61"/>
      <c r="D64" s="29"/>
      <c r="E64" s="23"/>
      <c r="F64" s="23"/>
      <c r="G64" s="23"/>
      <c r="H64" s="30"/>
      <c r="I64" s="23" t="s">
        <v>59</v>
      </c>
      <c r="J64" s="29">
        <v>1402</v>
      </c>
      <c r="K64" s="30"/>
      <c r="L64" s="23"/>
      <c r="M64" s="29"/>
      <c r="N64" s="47"/>
      <c r="O64" s="47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2"/>
      <c r="FJ64" s="12"/>
      <c r="FK64" s="12"/>
      <c r="FL64" s="12"/>
      <c r="FM64" s="12"/>
      <c r="FN64" s="12"/>
      <c r="FO64" s="12"/>
      <c r="FP64" s="12"/>
      <c r="FQ64" s="12"/>
      <c r="FR64" s="12"/>
      <c r="FS64" s="12"/>
      <c r="FT64" s="12"/>
      <c r="FU64" s="12"/>
      <c r="FV64" s="12"/>
      <c r="FW64" s="12"/>
      <c r="FX64" s="12"/>
      <c r="FY64" s="12"/>
      <c r="FZ64" s="12"/>
      <c r="GA64" s="12"/>
      <c r="GB64" s="12"/>
      <c r="GC64" s="12"/>
      <c r="GD64" s="12"/>
      <c r="GE64" s="12"/>
      <c r="GF64" s="12"/>
      <c r="GG64" s="12"/>
      <c r="GH64" s="12"/>
      <c r="GI64" s="12"/>
      <c r="GJ64" s="12"/>
      <c r="GK64" s="12"/>
      <c r="GL64" s="12"/>
      <c r="GM64" s="12"/>
      <c r="GN64" s="12"/>
      <c r="GO64" s="12"/>
      <c r="GP64" s="12"/>
      <c r="GQ64" s="12"/>
      <c r="GR64" s="12"/>
      <c r="GS64" s="12"/>
      <c r="GT64" s="12"/>
      <c r="GU64" s="12"/>
      <c r="GV64" s="12"/>
      <c r="GW64" s="12"/>
      <c r="GX64" s="12"/>
      <c r="GY64" s="12"/>
      <c r="GZ64" s="12"/>
      <c r="HA64" s="12"/>
      <c r="HB64" s="12"/>
      <c r="HC64" s="12"/>
      <c r="HD64" s="12"/>
      <c r="HE64" s="12"/>
      <c r="HF64" s="12"/>
      <c r="HG64" s="12"/>
      <c r="HH64" s="12"/>
      <c r="HI64" s="12"/>
      <c r="HJ64" s="12"/>
      <c r="HK64" s="12"/>
      <c r="HL64" s="12"/>
      <c r="HM64" s="12"/>
      <c r="HN64" s="12"/>
      <c r="HO64" s="12"/>
      <c r="HP64" s="12"/>
      <c r="HQ64" s="12"/>
      <c r="HR64" s="12"/>
      <c r="HS64" s="12"/>
      <c r="HT64" s="12"/>
      <c r="HU64" s="12"/>
      <c r="HV64" s="12"/>
      <c r="HW64" s="12"/>
      <c r="HX64" s="12"/>
      <c r="HY64" s="12"/>
      <c r="HZ64" s="12"/>
      <c r="IA64" s="12"/>
      <c r="IB64" s="12"/>
      <c r="IC64" s="12"/>
      <c r="ID64" s="12"/>
      <c r="IE64" s="12"/>
      <c r="IF64" s="12"/>
      <c r="IG64" s="12"/>
      <c r="IH64" s="12"/>
      <c r="II64" s="12"/>
      <c r="IJ64" s="12"/>
      <c r="IK64" s="12"/>
      <c r="IL64" s="12"/>
      <c r="IM64" s="12"/>
      <c r="IN64" s="12"/>
      <c r="IO64" s="12"/>
      <c r="IP64" s="12"/>
      <c r="IQ64" s="12"/>
      <c r="IR64" s="12"/>
      <c r="IS64" s="12"/>
      <c r="IT64" s="12"/>
      <c r="IU64" s="12"/>
      <c r="IV64" s="12"/>
      <c r="IW64" s="12"/>
      <c r="IX64" s="12"/>
      <c r="IY64" s="12"/>
      <c r="IZ64" s="12"/>
      <c r="JA64" s="12"/>
      <c r="JB64" s="12"/>
      <c r="JC64" s="12"/>
      <c r="JD64" s="12"/>
      <c r="JE64" s="12"/>
      <c r="JF64" s="12"/>
      <c r="JG64" s="12"/>
      <c r="JH64" s="12"/>
      <c r="JI64" s="12"/>
      <c r="JJ64" s="12"/>
      <c r="JK64" s="12"/>
      <c r="JL64" s="12"/>
      <c r="JM64" s="12"/>
      <c r="JN64" s="12"/>
      <c r="JO64" s="12"/>
      <c r="JP64" s="12"/>
      <c r="JQ64" s="12"/>
      <c r="JR64" s="12"/>
      <c r="JS64" s="12"/>
      <c r="JT64" s="12"/>
      <c r="JU64" s="12"/>
      <c r="JV64" s="12"/>
      <c r="JW64" s="12"/>
      <c r="JX64" s="12"/>
      <c r="JY64" s="12"/>
      <c r="JZ64" s="12"/>
      <c r="KA64" s="12"/>
      <c r="KB64" s="12"/>
      <c r="KC64" s="12"/>
      <c r="KD64" s="12"/>
      <c r="KE64" s="12"/>
      <c r="KF64" s="12"/>
      <c r="KG64" s="12"/>
      <c r="KH64" s="12"/>
      <c r="KI64" s="12"/>
      <c r="KJ64" s="12"/>
      <c r="KK64" s="12"/>
      <c r="KL64" s="12"/>
      <c r="KM64" s="12"/>
      <c r="KN64" s="12"/>
      <c r="KO64" s="12"/>
      <c r="KP64" s="12"/>
      <c r="KQ64" s="12"/>
      <c r="KR64" s="12"/>
      <c r="KS64" s="12"/>
      <c r="KT64" s="12"/>
      <c r="KU64" s="12"/>
      <c r="KV64" s="12"/>
      <c r="KW64" s="12"/>
      <c r="KX64" s="12"/>
      <c r="KY64" s="12"/>
      <c r="KZ64" s="12"/>
      <c r="LA64" s="12"/>
      <c r="LB64" s="12"/>
      <c r="LC64" s="12"/>
      <c r="LD64" s="12"/>
      <c r="LE64" s="12"/>
      <c r="LF64" s="12"/>
      <c r="LG64" s="12"/>
      <c r="LH64" s="12"/>
      <c r="LI64" s="12"/>
      <c r="LJ64" s="12"/>
      <c r="LK64" s="12"/>
      <c r="LL64" s="12"/>
      <c r="LM64" s="12"/>
      <c r="LN64" s="12"/>
      <c r="LO64" s="12"/>
      <c r="LP64" s="12"/>
      <c r="LQ64" s="12"/>
      <c r="LR64" s="12"/>
      <c r="LS64" s="12"/>
      <c r="LT64" s="12"/>
      <c r="LU64" s="12"/>
      <c r="LV64" s="12"/>
      <c r="LW64" s="12"/>
      <c r="LX64" s="12"/>
      <c r="LY64" s="12"/>
      <c r="LZ64" s="12"/>
      <c r="MA64" s="12"/>
      <c r="MB64" s="12"/>
      <c r="MC64" s="12"/>
      <c r="MD64" s="12"/>
      <c r="ME64" s="12"/>
      <c r="MF64" s="12"/>
      <c r="MG64" s="12"/>
      <c r="MH64" s="12"/>
      <c r="MI64" s="12"/>
      <c r="MJ64" s="12"/>
      <c r="MK64" s="12"/>
      <c r="ML64" s="12"/>
      <c r="MM64" s="12"/>
      <c r="MN64" s="12"/>
      <c r="MO64" s="12"/>
      <c r="MP64" s="12"/>
      <c r="MQ64" s="12"/>
      <c r="MR64" s="12"/>
      <c r="MS64" s="12"/>
      <c r="MT64" s="12"/>
      <c r="MU64" s="12"/>
      <c r="MV64" s="12"/>
      <c r="MW64" s="12"/>
      <c r="MX64" s="12"/>
      <c r="MY64" s="12"/>
      <c r="MZ64" s="12"/>
      <c r="NA64" s="12"/>
      <c r="NB64" s="12"/>
      <c r="NC64" s="12"/>
      <c r="ND64" s="12"/>
      <c r="NE64" s="12"/>
      <c r="NF64" s="12"/>
      <c r="NG64" s="12"/>
      <c r="NH64" s="12"/>
      <c r="NI64" s="12"/>
      <c r="NJ64" s="12"/>
      <c r="NK64" s="12"/>
      <c r="NL64" s="12"/>
      <c r="NM64" s="12"/>
      <c r="NN64" s="12"/>
      <c r="NO64" s="12"/>
      <c r="NP64" s="12"/>
      <c r="NQ64" s="12"/>
      <c r="NR64" s="12"/>
      <c r="NS64" s="12"/>
      <c r="NT64" s="12"/>
      <c r="NU64" s="12"/>
      <c r="NV64" s="12"/>
      <c r="NW64" s="12"/>
      <c r="NX64" s="12"/>
      <c r="NY64" s="12"/>
      <c r="NZ64" s="12"/>
      <c r="OA64" s="12"/>
      <c r="OB64" s="12"/>
      <c r="OC64" s="12"/>
      <c r="OD64" s="12"/>
      <c r="OE64" s="12"/>
      <c r="OF64" s="12"/>
      <c r="OG64" s="12"/>
      <c r="OH64" s="12"/>
      <c r="OI64" s="12"/>
      <c r="OJ64" s="12"/>
      <c r="OK64" s="12"/>
      <c r="OL64" s="12"/>
      <c r="OM64" s="12"/>
      <c r="ON64" s="12"/>
      <c r="OO64" s="12"/>
      <c r="OP64" s="12"/>
      <c r="OQ64" s="12"/>
      <c r="OR64" s="12"/>
      <c r="OS64" s="12"/>
      <c r="OT64" s="12"/>
      <c r="OU64" s="12"/>
      <c r="OV64" s="12"/>
      <c r="OW64" s="12"/>
      <c r="OX64" s="12"/>
      <c r="OY64" s="12"/>
      <c r="OZ64" s="12"/>
      <c r="PA64" s="12"/>
      <c r="PB64" s="12"/>
      <c r="PC64" s="12"/>
      <c r="PD64" s="12"/>
      <c r="PE64" s="12"/>
      <c r="PF64" s="12"/>
      <c r="PG64" s="12"/>
      <c r="PH64" s="12"/>
      <c r="PI64" s="12"/>
      <c r="PJ64" s="12"/>
      <c r="PK64" s="12"/>
      <c r="PL64" s="12"/>
      <c r="PM64" s="12"/>
      <c r="PN64" s="12"/>
      <c r="PO64" s="12"/>
      <c r="PP64" s="12"/>
      <c r="PQ64" s="12"/>
      <c r="PR64" s="12"/>
      <c r="PS64" s="12"/>
      <c r="PT64" s="12"/>
      <c r="PU64" s="12"/>
      <c r="PV64" s="12"/>
      <c r="PW64" s="12"/>
      <c r="PX64" s="12"/>
      <c r="PY64" s="12"/>
      <c r="PZ64" s="12"/>
      <c r="QA64" s="12"/>
      <c r="QB64" s="12"/>
      <c r="QC64" s="12"/>
      <c r="QD64" s="12"/>
      <c r="QE64" s="12"/>
      <c r="QF64" s="12"/>
      <c r="QG64" s="12"/>
      <c r="QH64" s="12"/>
      <c r="QI64" s="12"/>
      <c r="QJ64" s="12"/>
      <c r="QK64" s="12"/>
      <c r="QL64" s="12"/>
      <c r="QM64" s="12"/>
      <c r="QN64" s="12"/>
      <c r="QO64" s="12"/>
      <c r="QP64" s="12"/>
      <c r="QQ64" s="12"/>
      <c r="QR64" s="12"/>
      <c r="QS64" s="12"/>
      <c r="QT64" s="12"/>
      <c r="QU64" s="12"/>
      <c r="QV64" s="12"/>
      <c r="QW64" s="12"/>
      <c r="QX64" s="12"/>
      <c r="QY64" s="12"/>
      <c r="QZ64" s="12"/>
      <c r="RA64" s="12"/>
      <c r="RB64" s="12"/>
      <c r="RC64" s="12"/>
      <c r="RD64" s="12"/>
      <c r="RE64" s="12"/>
      <c r="RF64" s="12"/>
      <c r="RG64" s="12"/>
      <c r="RH64" s="12"/>
      <c r="RI64" s="12"/>
      <c r="RJ64" s="12"/>
      <c r="RK64" s="12"/>
      <c r="RL64" s="12"/>
      <c r="RM64" s="12"/>
      <c r="RN64" s="12"/>
      <c r="RO64" s="12"/>
      <c r="RP64" s="12"/>
      <c r="RQ64" s="12"/>
      <c r="RR64" s="12"/>
      <c r="RS64" s="12"/>
      <c r="RT64" s="12"/>
      <c r="RU64" s="12"/>
      <c r="RV64" s="12"/>
      <c r="RW64" s="12"/>
      <c r="RX64" s="12"/>
      <c r="RY64" s="12"/>
      <c r="RZ64" s="12"/>
      <c r="SA64" s="12"/>
      <c r="SB64" s="12"/>
      <c r="SC64" s="12"/>
      <c r="SD64" s="12"/>
      <c r="SE64" s="12"/>
      <c r="SF64" s="12"/>
      <c r="SG64" s="12"/>
      <c r="SH64" s="12"/>
      <c r="SI64" s="12"/>
      <c r="SJ64" s="12"/>
      <c r="SK64" s="12"/>
      <c r="SL64" s="12"/>
      <c r="SM64" s="12"/>
      <c r="SN64" s="12"/>
      <c r="SO64" s="12"/>
      <c r="SP64" s="12"/>
      <c r="SQ64" s="12"/>
      <c r="SR64" s="12"/>
      <c r="SS64" s="12"/>
      <c r="ST64" s="12"/>
      <c r="SU64" s="12"/>
      <c r="SV64" s="12"/>
      <c r="SW64" s="12"/>
      <c r="SX64" s="12"/>
      <c r="SY64" s="12"/>
      <c r="SZ64" s="12"/>
      <c r="TA64" s="12"/>
      <c r="TB64" s="12"/>
      <c r="TC64" s="12"/>
      <c r="TD64" s="12"/>
      <c r="TE64" s="12"/>
      <c r="TF64" s="12"/>
      <c r="TG64" s="12"/>
      <c r="TH64" s="12"/>
      <c r="TI64" s="12"/>
      <c r="TJ64" s="12"/>
      <c r="TK64" s="12"/>
      <c r="TL64" s="12"/>
      <c r="TM64" s="12"/>
      <c r="TN64" s="12"/>
      <c r="TO64" s="12"/>
      <c r="TP64" s="12"/>
      <c r="TQ64" s="12"/>
      <c r="TR64" s="12"/>
      <c r="TS64" s="12"/>
      <c r="TT64" s="12"/>
      <c r="TU64" s="12"/>
      <c r="TV64" s="12"/>
      <c r="TW64" s="12"/>
      <c r="TX64" s="12"/>
      <c r="TY64" s="12"/>
      <c r="TZ64" s="12"/>
      <c r="UA64" s="12"/>
      <c r="UB64" s="12"/>
      <c r="UC64" s="12"/>
      <c r="UD64" s="12"/>
      <c r="UE64" s="12"/>
      <c r="UF64" s="12"/>
      <c r="UG64" s="12"/>
      <c r="UH64" s="12"/>
      <c r="UI64" s="12"/>
      <c r="UJ64" s="12"/>
      <c r="UK64" s="12"/>
      <c r="UL64" s="12"/>
      <c r="UM64" s="12"/>
      <c r="UN64" s="12"/>
      <c r="UO64" s="12"/>
      <c r="UP64" s="12"/>
      <c r="UQ64" s="12"/>
      <c r="UR64" s="12"/>
      <c r="US64" s="12"/>
      <c r="UT64" s="12"/>
      <c r="UU64" s="12"/>
      <c r="UV64" s="12"/>
      <c r="UW64" s="12"/>
      <c r="UX64" s="12"/>
      <c r="UY64" s="12"/>
      <c r="UZ64" s="12"/>
      <c r="VA64" s="12"/>
      <c r="VB64" s="12"/>
      <c r="VC64" s="12"/>
      <c r="VD64" s="12"/>
      <c r="VE64" s="12"/>
      <c r="VF64" s="12"/>
      <c r="VG64" s="12"/>
      <c r="VH64" s="12"/>
      <c r="VI64" s="12"/>
      <c r="VJ64" s="12"/>
      <c r="VK64" s="12"/>
      <c r="VL64" s="12"/>
      <c r="VM64" s="12"/>
      <c r="VN64" s="12"/>
      <c r="VO64" s="12"/>
      <c r="VP64" s="12"/>
      <c r="VQ64" s="12"/>
      <c r="VR64" s="12"/>
      <c r="VS64" s="12"/>
      <c r="VT64" s="12"/>
      <c r="VU64" s="12"/>
      <c r="VV64" s="12"/>
      <c r="VW64" s="12"/>
      <c r="VX64" s="12"/>
      <c r="VY64" s="12"/>
      <c r="VZ64" s="12"/>
      <c r="WA64" s="12"/>
      <c r="WB64" s="12"/>
      <c r="WC64" s="12"/>
      <c r="WD64" s="12"/>
      <c r="WE64" s="12"/>
      <c r="WF64" s="12"/>
      <c r="WG64" s="12"/>
      <c r="WH64" s="12"/>
      <c r="WI64" s="12"/>
      <c r="WJ64" s="12"/>
      <c r="WK64" s="12"/>
      <c r="WL64" s="12"/>
      <c r="WM64" s="12"/>
      <c r="WN64" s="12"/>
      <c r="WO64" s="12"/>
      <c r="WP64" s="12"/>
      <c r="WQ64" s="12"/>
      <c r="WR64" s="12"/>
      <c r="WS64" s="12"/>
      <c r="WT64" s="12"/>
      <c r="WU64" s="12"/>
      <c r="WV64" s="12"/>
      <c r="WW64" s="12"/>
      <c r="WX64" s="12"/>
      <c r="WY64" s="12"/>
      <c r="WZ64" s="12"/>
      <c r="XA64" s="12"/>
      <c r="XB64" s="12"/>
      <c r="XC64" s="12"/>
      <c r="XD64" s="12"/>
      <c r="XE64" s="12"/>
      <c r="XF64" s="12"/>
      <c r="XG64" s="12"/>
      <c r="XH64" s="12"/>
      <c r="XI64" s="12"/>
      <c r="XJ64" s="12"/>
      <c r="XK64" s="12"/>
      <c r="XL64" s="12"/>
      <c r="XM64" s="12"/>
      <c r="XN64" s="12"/>
      <c r="XO64" s="12"/>
      <c r="XP64" s="12"/>
      <c r="XQ64" s="12"/>
      <c r="XR64" s="12"/>
      <c r="XS64" s="12"/>
      <c r="XT64" s="12"/>
      <c r="XU64" s="12"/>
      <c r="XV64" s="12"/>
      <c r="XW64" s="12"/>
      <c r="XX64" s="12"/>
      <c r="XY64" s="12"/>
      <c r="XZ64" s="12"/>
      <c r="YA64" s="12"/>
      <c r="YB64" s="12"/>
      <c r="YC64" s="12"/>
      <c r="YD64" s="12"/>
      <c r="YE64" s="12"/>
      <c r="YF64" s="12"/>
      <c r="YG64" s="12"/>
      <c r="YH64" s="12"/>
      <c r="YI64" s="12"/>
      <c r="YJ64" s="12"/>
      <c r="YK64" s="12"/>
      <c r="YL64" s="12"/>
      <c r="YM64" s="12"/>
      <c r="YN64" s="12"/>
      <c r="YO64" s="12"/>
      <c r="YP64" s="12"/>
      <c r="YQ64" s="12"/>
      <c r="YR64" s="12"/>
      <c r="YS64" s="12"/>
      <c r="YT64" s="12"/>
      <c r="YU64" s="12"/>
      <c r="YV64" s="12"/>
      <c r="YW64" s="12"/>
      <c r="YX64" s="12"/>
      <c r="YY64" s="12"/>
      <c r="YZ64" s="12"/>
      <c r="ZA64" s="12"/>
      <c r="ZB64" s="12"/>
      <c r="ZC64" s="12"/>
      <c r="ZD64" s="12"/>
      <c r="ZE64" s="12"/>
      <c r="ZF64" s="12"/>
      <c r="ZG64" s="12"/>
      <c r="ZH64" s="12"/>
      <c r="ZI64" s="12"/>
      <c r="ZJ64" s="12"/>
      <c r="ZK64" s="12"/>
      <c r="ZL64" s="12"/>
      <c r="ZM64" s="12"/>
      <c r="ZN64" s="12"/>
      <c r="ZO64" s="12"/>
      <c r="ZP64" s="12"/>
      <c r="ZQ64" s="12"/>
      <c r="ZR64" s="12"/>
      <c r="ZS64" s="12"/>
      <c r="ZT64" s="12"/>
      <c r="ZU64" s="12"/>
      <c r="ZV64" s="12"/>
      <c r="ZW64" s="12"/>
      <c r="ZX64" s="12"/>
      <c r="ZY64" s="12"/>
      <c r="ZZ64" s="12"/>
      <c r="AAA64" s="12"/>
      <c r="AAB64" s="12"/>
      <c r="AAC64" s="12"/>
      <c r="AAD64" s="12"/>
      <c r="AAE64" s="12"/>
      <c r="AAF64" s="12"/>
      <c r="AAG64" s="12"/>
      <c r="AAH64" s="12"/>
      <c r="AAI64" s="12"/>
      <c r="AAJ64" s="12"/>
      <c r="AAK64" s="12"/>
      <c r="AAL64" s="12"/>
      <c r="AAM64" s="12"/>
      <c r="AAN64" s="12"/>
      <c r="AAO64" s="12"/>
      <c r="AAP64" s="12"/>
      <c r="AAQ64" s="12"/>
      <c r="AAR64" s="12"/>
      <c r="AAS64" s="12"/>
      <c r="AAT64" s="12"/>
      <c r="AAU64" s="12"/>
      <c r="AAV64" s="12"/>
      <c r="AAW64" s="12"/>
      <c r="AAX64" s="12"/>
      <c r="AAY64" s="12"/>
      <c r="AAZ64" s="12"/>
      <c r="ABA64" s="12"/>
      <c r="ABB64" s="12"/>
      <c r="ABC64" s="12"/>
      <c r="ABD64" s="12"/>
      <c r="ABE64" s="12"/>
      <c r="ABF64" s="12"/>
      <c r="ABG64" s="12"/>
      <c r="ABH64" s="12"/>
      <c r="ABI64" s="12"/>
      <c r="ABJ64" s="12"/>
      <c r="ABK64" s="12"/>
      <c r="ABL64" s="12"/>
      <c r="ABM64" s="12"/>
      <c r="ABN64" s="12"/>
      <c r="ABO64" s="12"/>
      <c r="ABP64" s="12"/>
      <c r="ABQ64" s="12"/>
      <c r="ABR64" s="12"/>
      <c r="ABS64" s="12"/>
      <c r="ABT64" s="12"/>
      <c r="ABU64" s="12"/>
      <c r="ABV64" s="12"/>
      <c r="ABW64" s="12"/>
      <c r="ABX64" s="12"/>
      <c r="ABY64" s="12"/>
      <c r="ABZ64" s="12"/>
      <c r="ACA64" s="12"/>
      <c r="ACB64" s="12"/>
      <c r="ACC64" s="12"/>
      <c r="ACD64" s="12"/>
      <c r="ACE64" s="12"/>
      <c r="ACF64" s="12"/>
      <c r="ACG64" s="12"/>
      <c r="ACH64" s="12"/>
      <c r="ACI64" s="12"/>
      <c r="ACJ64" s="12"/>
      <c r="ACK64" s="12"/>
      <c r="ACL64" s="12"/>
      <c r="ACM64" s="12"/>
      <c r="ACN64" s="12"/>
      <c r="ACO64" s="12"/>
      <c r="ACP64" s="12"/>
      <c r="ACQ64" s="12"/>
      <c r="ACR64" s="12"/>
      <c r="ACS64" s="12"/>
      <c r="ACT64" s="12"/>
      <c r="ACU64" s="12"/>
      <c r="ACV64" s="12"/>
      <c r="ACW64" s="12"/>
      <c r="ACX64" s="12"/>
      <c r="ACY64" s="12"/>
      <c r="ACZ64" s="12"/>
      <c r="ADA64" s="12"/>
      <c r="ADB64" s="12"/>
      <c r="ADC64" s="12"/>
      <c r="ADD64" s="12"/>
      <c r="ADE64" s="12"/>
      <c r="ADF64" s="12"/>
      <c r="ADG64" s="12"/>
      <c r="ADH64" s="12"/>
      <c r="ADI64" s="12"/>
      <c r="ADJ64" s="12"/>
      <c r="ADK64" s="12"/>
      <c r="ADL64" s="12"/>
      <c r="ADM64" s="12"/>
      <c r="ADN64" s="12"/>
      <c r="ADO64" s="12"/>
      <c r="ADP64" s="12"/>
      <c r="ADQ64" s="12"/>
      <c r="ADR64" s="12"/>
      <c r="ADS64" s="12"/>
      <c r="ADT64" s="12"/>
      <c r="ADU64" s="12"/>
      <c r="ADV64" s="12"/>
      <c r="ADW64" s="12"/>
      <c r="ADX64" s="12"/>
      <c r="ADY64" s="12"/>
      <c r="ADZ64" s="12"/>
      <c r="AEA64" s="12"/>
      <c r="AEB64" s="12"/>
      <c r="AEC64" s="12"/>
      <c r="AED64" s="12"/>
      <c r="AEE64" s="12"/>
      <c r="AEF64" s="12"/>
      <c r="AEG64" s="12"/>
      <c r="AEH64" s="12"/>
      <c r="AEI64" s="12"/>
      <c r="AEJ64" s="12"/>
      <c r="AEK64" s="12"/>
      <c r="AEL64" s="12"/>
      <c r="AEM64" s="12"/>
      <c r="AEN64" s="12"/>
      <c r="AEO64" s="12"/>
      <c r="AEP64" s="12"/>
      <c r="AEQ64" s="12"/>
      <c r="AER64" s="12"/>
      <c r="AES64" s="12"/>
      <c r="AET64" s="12"/>
      <c r="AEU64" s="12"/>
      <c r="AEV64" s="12"/>
    </row>
    <row r="65" spans="1:828" s="65" customFormat="1" ht="19" thickBot="1" x14ac:dyDescent="0.25">
      <c r="A65" s="62"/>
      <c r="B65" s="27"/>
      <c r="D65" s="64"/>
      <c r="E65" s="63"/>
      <c r="F65" s="63"/>
      <c r="G65" s="63"/>
      <c r="H65" s="66"/>
      <c r="I65" s="63"/>
      <c r="J65" s="64"/>
      <c r="K65" s="66"/>
      <c r="L65" s="63"/>
      <c r="M65" s="64"/>
      <c r="N65" s="47"/>
      <c r="O65" s="47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2"/>
      <c r="FJ65" s="12"/>
      <c r="FK65" s="12"/>
      <c r="FL65" s="12"/>
      <c r="FM65" s="12"/>
      <c r="FN65" s="12"/>
      <c r="FO65" s="12"/>
      <c r="FP65" s="12"/>
      <c r="FQ65" s="12"/>
      <c r="FR65" s="12"/>
      <c r="FS65" s="12"/>
      <c r="FT65" s="12"/>
      <c r="FU65" s="12"/>
      <c r="FV65" s="12"/>
      <c r="FW65" s="12"/>
      <c r="FX65" s="12"/>
      <c r="FY65" s="12"/>
      <c r="FZ65" s="12"/>
      <c r="GA65" s="12"/>
      <c r="GB65" s="12"/>
      <c r="GC65" s="12"/>
      <c r="GD65" s="12"/>
      <c r="GE65" s="12"/>
      <c r="GF65" s="12"/>
      <c r="GG65" s="12"/>
      <c r="GH65" s="12"/>
      <c r="GI65" s="12"/>
      <c r="GJ65" s="12"/>
      <c r="GK65" s="12"/>
      <c r="GL65" s="12"/>
      <c r="GM65" s="12"/>
      <c r="GN65" s="12"/>
      <c r="GO65" s="12"/>
      <c r="GP65" s="12"/>
      <c r="GQ65" s="12"/>
      <c r="GR65" s="12"/>
      <c r="GS65" s="12"/>
      <c r="GT65" s="12"/>
      <c r="GU65" s="12"/>
      <c r="GV65" s="12"/>
      <c r="GW65" s="12"/>
      <c r="GX65" s="12"/>
      <c r="GY65" s="12"/>
      <c r="GZ65" s="12"/>
      <c r="HA65" s="12"/>
      <c r="HB65" s="12"/>
      <c r="HC65" s="12"/>
      <c r="HD65" s="12"/>
      <c r="HE65" s="12"/>
      <c r="HF65" s="12"/>
      <c r="HG65" s="12"/>
      <c r="HH65" s="12"/>
      <c r="HI65" s="12"/>
      <c r="HJ65" s="12"/>
      <c r="HK65" s="12"/>
      <c r="HL65" s="12"/>
      <c r="HM65" s="12"/>
      <c r="HN65" s="12"/>
      <c r="HO65" s="12"/>
      <c r="HP65" s="12"/>
      <c r="HQ65" s="12"/>
      <c r="HR65" s="12"/>
      <c r="HS65" s="12"/>
      <c r="HT65" s="12"/>
      <c r="HU65" s="12"/>
      <c r="HV65" s="12"/>
      <c r="HW65" s="12"/>
      <c r="HX65" s="12"/>
      <c r="HY65" s="12"/>
      <c r="HZ65" s="12"/>
      <c r="IA65" s="12"/>
      <c r="IB65" s="12"/>
      <c r="IC65" s="12"/>
      <c r="ID65" s="12"/>
      <c r="IE65" s="12"/>
      <c r="IF65" s="12"/>
      <c r="IG65" s="12"/>
      <c r="IH65" s="12"/>
      <c r="II65" s="12"/>
      <c r="IJ65" s="12"/>
      <c r="IK65" s="12"/>
      <c r="IL65" s="12"/>
      <c r="IM65" s="12"/>
      <c r="IN65" s="12"/>
      <c r="IO65" s="12"/>
      <c r="IP65" s="12"/>
      <c r="IQ65" s="12"/>
      <c r="IR65" s="12"/>
      <c r="IS65" s="12"/>
      <c r="IT65" s="12"/>
      <c r="IU65" s="12"/>
      <c r="IV65" s="12"/>
      <c r="IW65" s="12"/>
      <c r="IX65" s="12"/>
      <c r="IY65" s="12"/>
      <c r="IZ65" s="12"/>
      <c r="JA65" s="12"/>
      <c r="JB65" s="12"/>
      <c r="JC65" s="12"/>
      <c r="JD65" s="12"/>
      <c r="JE65" s="12"/>
      <c r="JF65" s="12"/>
      <c r="JG65" s="12"/>
      <c r="JH65" s="12"/>
      <c r="JI65" s="12"/>
      <c r="JJ65" s="12"/>
      <c r="JK65" s="12"/>
      <c r="JL65" s="12"/>
      <c r="JM65" s="12"/>
      <c r="JN65" s="12"/>
      <c r="JO65" s="12"/>
      <c r="JP65" s="12"/>
      <c r="JQ65" s="12"/>
      <c r="JR65" s="12"/>
      <c r="JS65" s="12"/>
      <c r="JT65" s="12"/>
      <c r="JU65" s="12"/>
      <c r="JV65" s="12"/>
      <c r="JW65" s="12"/>
      <c r="JX65" s="12"/>
      <c r="JY65" s="12"/>
      <c r="JZ65" s="12"/>
      <c r="KA65" s="12"/>
      <c r="KB65" s="12"/>
      <c r="KC65" s="12"/>
      <c r="KD65" s="12"/>
      <c r="KE65" s="12"/>
      <c r="KF65" s="12"/>
      <c r="KG65" s="12"/>
      <c r="KH65" s="12"/>
      <c r="KI65" s="12"/>
      <c r="KJ65" s="12"/>
      <c r="KK65" s="12"/>
      <c r="KL65" s="12"/>
      <c r="KM65" s="12"/>
      <c r="KN65" s="12"/>
      <c r="KO65" s="12"/>
      <c r="KP65" s="12"/>
      <c r="KQ65" s="12"/>
      <c r="KR65" s="12"/>
      <c r="KS65" s="12"/>
      <c r="KT65" s="12"/>
      <c r="KU65" s="12"/>
      <c r="KV65" s="12"/>
      <c r="KW65" s="12"/>
      <c r="KX65" s="12"/>
      <c r="KY65" s="12"/>
      <c r="KZ65" s="12"/>
      <c r="LA65" s="12"/>
      <c r="LB65" s="12"/>
      <c r="LC65" s="12"/>
      <c r="LD65" s="12"/>
      <c r="LE65" s="12"/>
      <c r="LF65" s="12"/>
      <c r="LG65" s="12"/>
      <c r="LH65" s="12"/>
      <c r="LI65" s="12"/>
      <c r="LJ65" s="12"/>
      <c r="LK65" s="12"/>
      <c r="LL65" s="12"/>
      <c r="LM65" s="12"/>
      <c r="LN65" s="12"/>
      <c r="LO65" s="12"/>
      <c r="LP65" s="12"/>
      <c r="LQ65" s="12"/>
      <c r="LR65" s="12"/>
      <c r="LS65" s="12"/>
      <c r="LT65" s="12"/>
      <c r="LU65" s="12"/>
      <c r="LV65" s="12"/>
      <c r="LW65" s="12"/>
      <c r="LX65" s="12"/>
      <c r="LY65" s="12"/>
      <c r="LZ65" s="12"/>
      <c r="MA65" s="12"/>
      <c r="MB65" s="12"/>
      <c r="MC65" s="12"/>
      <c r="MD65" s="12"/>
      <c r="ME65" s="12"/>
      <c r="MF65" s="12"/>
      <c r="MG65" s="12"/>
      <c r="MH65" s="12"/>
      <c r="MI65" s="12"/>
      <c r="MJ65" s="12"/>
      <c r="MK65" s="12"/>
      <c r="ML65" s="12"/>
      <c r="MM65" s="12"/>
      <c r="MN65" s="12"/>
      <c r="MO65" s="12"/>
      <c r="MP65" s="12"/>
      <c r="MQ65" s="12"/>
      <c r="MR65" s="12"/>
      <c r="MS65" s="12"/>
      <c r="MT65" s="12"/>
      <c r="MU65" s="12"/>
      <c r="MV65" s="12"/>
      <c r="MW65" s="12"/>
      <c r="MX65" s="12"/>
      <c r="MY65" s="12"/>
      <c r="MZ65" s="12"/>
      <c r="NA65" s="12"/>
      <c r="NB65" s="12"/>
      <c r="NC65" s="12"/>
      <c r="ND65" s="12"/>
      <c r="NE65" s="12"/>
      <c r="NF65" s="12"/>
      <c r="NG65" s="12"/>
      <c r="NH65" s="12"/>
      <c r="NI65" s="12"/>
      <c r="NJ65" s="12"/>
      <c r="NK65" s="12"/>
      <c r="NL65" s="12"/>
      <c r="NM65" s="12"/>
      <c r="NN65" s="12"/>
      <c r="NO65" s="12"/>
      <c r="NP65" s="12"/>
      <c r="NQ65" s="12"/>
      <c r="NR65" s="12"/>
      <c r="NS65" s="12"/>
      <c r="NT65" s="12"/>
      <c r="NU65" s="12"/>
      <c r="NV65" s="12"/>
      <c r="NW65" s="12"/>
      <c r="NX65" s="12"/>
      <c r="NY65" s="12"/>
      <c r="NZ65" s="12"/>
      <c r="OA65" s="12"/>
      <c r="OB65" s="12"/>
      <c r="OC65" s="12"/>
      <c r="OD65" s="12"/>
      <c r="OE65" s="12"/>
      <c r="OF65" s="12"/>
      <c r="OG65" s="12"/>
      <c r="OH65" s="12"/>
      <c r="OI65" s="12"/>
      <c r="OJ65" s="12"/>
      <c r="OK65" s="12"/>
      <c r="OL65" s="12"/>
      <c r="OM65" s="12"/>
      <c r="ON65" s="12"/>
      <c r="OO65" s="12"/>
      <c r="OP65" s="12"/>
      <c r="OQ65" s="12"/>
      <c r="OR65" s="12"/>
      <c r="OS65" s="12"/>
      <c r="OT65" s="12"/>
      <c r="OU65" s="12"/>
      <c r="OV65" s="12"/>
      <c r="OW65" s="12"/>
      <c r="OX65" s="12"/>
      <c r="OY65" s="12"/>
      <c r="OZ65" s="12"/>
      <c r="PA65" s="12"/>
      <c r="PB65" s="12"/>
      <c r="PC65" s="12"/>
      <c r="PD65" s="12"/>
      <c r="PE65" s="12"/>
      <c r="PF65" s="12"/>
      <c r="PG65" s="12"/>
      <c r="PH65" s="12"/>
      <c r="PI65" s="12"/>
      <c r="PJ65" s="12"/>
      <c r="PK65" s="12"/>
      <c r="PL65" s="12"/>
      <c r="PM65" s="12"/>
      <c r="PN65" s="12"/>
      <c r="PO65" s="12"/>
      <c r="PP65" s="12"/>
      <c r="PQ65" s="12"/>
      <c r="PR65" s="12"/>
      <c r="PS65" s="12"/>
      <c r="PT65" s="12"/>
      <c r="PU65" s="12"/>
      <c r="PV65" s="12"/>
      <c r="PW65" s="12"/>
      <c r="PX65" s="12"/>
      <c r="PY65" s="12"/>
      <c r="PZ65" s="12"/>
      <c r="QA65" s="12"/>
      <c r="QB65" s="12"/>
      <c r="QC65" s="12"/>
      <c r="QD65" s="12"/>
      <c r="QE65" s="12"/>
      <c r="QF65" s="12"/>
      <c r="QG65" s="12"/>
      <c r="QH65" s="12"/>
      <c r="QI65" s="12"/>
      <c r="QJ65" s="12"/>
      <c r="QK65" s="12"/>
      <c r="QL65" s="12"/>
      <c r="QM65" s="12"/>
      <c r="QN65" s="12"/>
      <c r="QO65" s="12"/>
      <c r="QP65" s="12"/>
      <c r="QQ65" s="12"/>
      <c r="QR65" s="12"/>
      <c r="QS65" s="12"/>
      <c r="QT65" s="12"/>
      <c r="QU65" s="12"/>
      <c r="QV65" s="12"/>
      <c r="QW65" s="12"/>
      <c r="QX65" s="12"/>
      <c r="QY65" s="12"/>
      <c r="QZ65" s="12"/>
      <c r="RA65" s="12"/>
      <c r="RB65" s="12"/>
      <c r="RC65" s="12"/>
      <c r="RD65" s="12"/>
      <c r="RE65" s="12"/>
      <c r="RF65" s="12"/>
      <c r="RG65" s="12"/>
      <c r="RH65" s="12"/>
      <c r="RI65" s="12"/>
      <c r="RJ65" s="12"/>
      <c r="RK65" s="12"/>
      <c r="RL65" s="12"/>
      <c r="RM65" s="12"/>
      <c r="RN65" s="12"/>
      <c r="RO65" s="12"/>
      <c r="RP65" s="12"/>
      <c r="RQ65" s="12"/>
      <c r="RR65" s="12"/>
      <c r="RS65" s="12"/>
      <c r="RT65" s="12"/>
      <c r="RU65" s="12"/>
      <c r="RV65" s="12"/>
      <c r="RW65" s="12"/>
      <c r="RX65" s="12"/>
      <c r="RY65" s="12"/>
      <c r="RZ65" s="12"/>
      <c r="SA65" s="12"/>
      <c r="SB65" s="12"/>
      <c r="SC65" s="12"/>
      <c r="SD65" s="12"/>
      <c r="SE65" s="12"/>
      <c r="SF65" s="12"/>
      <c r="SG65" s="12"/>
      <c r="SH65" s="12"/>
      <c r="SI65" s="12"/>
      <c r="SJ65" s="12"/>
      <c r="SK65" s="12"/>
      <c r="SL65" s="12"/>
      <c r="SM65" s="12"/>
      <c r="SN65" s="12"/>
      <c r="SO65" s="12"/>
      <c r="SP65" s="12"/>
      <c r="SQ65" s="12"/>
      <c r="SR65" s="12"/>
      <c r="SS65" s="12"/>
      <c r="ST65" s="12"/>
      <c r="SU65" s="12"/>
      <c r="SV65" s="12"/>
      <c r="SW65" s="12"/>
      <c r="SX65" s="12"/>
      <c r="SY65" s="12"/>
      <c r="SZ65" s="12"/>
      <c r="TA65" s="12"/>
      <c r="TB65" s="12"/>
      <c r="TC65" s="12"/>
      <c r="TD65" s="12"/>
      <c r="TE65" s="12"/>
      <c r="TF65" s="12"/>
      <c r="TG65" s="12"/>
      <c r="TH65" s="12"/>
      <c r="TI65" s="12"/>
      <c r="TJ65" s="12"/>
      <c r="TK65" s="12"/>
      <c r="TL65" s="12"/>
      <c r="TM65" s="12"/>
      <c r="TN65" s="12"/>
      <c r="TO65" s="12"/>
      <c r="TP65" s="12"/>
      <c r="TQ65" s="12"/>
      <c r="TR65" s="12"/>
      <c r="TS65" s="12"/>
      <c r="TT65" s="12"/>
      <c r="TU65" s="12"/>
      <c r="TV65" s="12"/>
      <c r="TW65" s="12"/>
      <c r="TX65" s="12"/>
      <c r="TY65" s="12"/>
      <c r="TZ65" s="12"/>
      <c r="UA65" s="12"/>
      <c r="UB65" s="12"/>
      <c r="UC65" s="12"/>
      <c r="UD65" s="12"/>
      <c r="UE65" s="12"/>
      <c r="UF65" s="12"/>
      <c r="UG65" s="12"/>
      <c r="UH65" s="12"/>
      <c r="UI65" s="12"/>
      <c r="UJ65" s="12"/>
      <c r="UK65" s="12"/>
      <c r="UL65" s="12"/>
      <c r="UM65" s="12"/>
      <c r="UN65" s="12"/>
      <c r="UO65" s="12"/>
      <c r="UP65" s="12"/>
      <c r="UQ65" s="12"/>
      <c r="UR65" s="12"/>
      <c r="US65" s="12"/>
      <c r="UT65" s="12"/>
      <c r="UU65" s="12"/>
      <c r="UV65" s="12"/>
      <c r="UW65" s="12"/>
      <c r="UX65" s="12"/>
      <c r="UY65" s="12"/>
      <c r="UZ65" s="12"/>
      <c r="VA65" s="12"/>
      <c r="VB65" s="12"/>
      <c r="VC65" s="12"/>
      <c r="VD65" s="12"/>
      <c r="VE65" s="12"/>
      <c r="VF65" s="12"/>
      <c r="VG65" s="12"/>
      <c r="VH65" s="12"/>
      <c r="VI65" s="12"/>
      <c r="VJ65" s="12"/>
      <c r="VK65" s="12"/>
      <c r="VL65" s="12"/>
      <c r="VM65" s="12"/>
      <c r="VN65" s="12"/>
      <c r="VO65" s="12"/>
      <c r="VP65" s="12"/>
      <c r="VQ65" s="12"/>
      <c r="VR65" s="12"/>
      <c r="VS65" s="12"/>
      <c r="VT65" s="12"/>
      <c r="VU65" s="12"/>
      <c r="VV65" s="12"/>
      <c r="VW65" s="12"/>
      <c r="VX65" s="12"/>
      <c r="VY65" s="12"/>
      <c r="VZ65" s="12"/>
      <c r="WA65" s="12"/>
      <c r="WB65" s="12"/>
      <c r="WC65" s="12"/>
      <c r="WD65" s="12"/>
      <c r="WE65" s="12"/>
      <c r="WF65" s="12"/>
      <c r="WG65" s="12"/>
      <c r="WH65" s="12"/>
      <c r="WI65" s="12"/>
      <c r="WJ65" s="12"/>
      <c r="WK65" s="12"/>
      <c r="WL65" s="12"/>
      <c r="WM65" s="12"/>
      <c r="WN65" s="12"/>
      <c r="WO65" s="12"/>
      <c r="WP65" s="12"/>
      <c r="WQ65" s="12"/>
      <c r="WR65" s="12"/>
      <c r="WS65" s="12"/>
      <c r="WT65" s="12"/>
      <c r="WU65" s="12"/>
      <c r="WV65" s="12"/>
      <c r="WW65" s="12"/>
      <c r="WX65" s="12"/>
      <c r="WY65" s="12"/>
      <c r="WZ65" s="12"/>
      <c r="XA65" s="12"/>
      <c r="XB65" s="12"/>
      <c r="XC65" s="12"/>
      <c r="XD65" s="12"/>
      <c r="XE65" s="12"/>
      <c r="XF65" s="12"/>
      <c r="XG65" s="12"/>
      <c r="XH65" s="12"/>
      <c r="XI65" s="12"/>
      <c r="XJ65" s="12"/>
      <c r="XK65" s="12"/>
      <c r="XL65" s="12"/>
      <c r="XM65" s="12"/>
      <c r="XN65" s="12"/>
      <c r="XO65" s="12"/>
      <c r="XP65" s="12"/>
      <c r="XQ65" s="12"/>
      <c r="XR65" s="12"/>
      <c r="XS65" s="12"/>
      <c r="XT65" s="12"/>
      <c r="XU65" s="12"/>
      <c r="XV65" s="12"/>
      <c r="XW65" s="12"/>
      <c r="XX65" s="12"/>
      <c r="XY65" s="12"/>
      <c r="XZ65" s="12"/>
      <c r="YA65" s="12"/>
      <c r="YB65" s="12"/>
      <c r="YC65" s="12"/>
      <c r="YD65" s="12"/>
      <c r="YE65" s="12"/>
      <c r="YF65" s="12"/>
      <c r="YG65" s="12"/>
      <c r="YH65" s="12"/>
      <c r="YI65" s="12"/>
      <c r="YJ65" s="12"/>
      <c r="YK65" s="12"/>
      <c r="YL65" s="12"/>
      <c r="YM65" s="12"/>
      <c r="YN65" s="12"/>
      <c r="YO65" s="12"/>
      <c r="YP65" s="12"/>
      <c r="YQ65" s="12"/>
      <c r="YR65" s="12"/>
      <c r="YS65" s="12"/>
      <c r="YT65" s="12"/>
      <c r="YU65" s="12"/>
      <c r="YV65" s="12"/>
      <c r="YW65" s="12"/>
      <c r="YX65" s="12"/>
      <c r="YY65" s="12"/>
      <c r="YZ65" s="12"/>
      <c r="ZA65" s="12"/>
      <c r="ZB65" s="12"/>
      <c r="ZC65" s="12"/>
      <c r="ZD65" s="12"/>
      <c r="ZE65" s="12"/>
      <c r="ZF65" s="12"/>
      <c r="ZG65" s="12"/>
      <c r="ZH65" s="12"/>
      <c r="ZI65" s="12"/>
      <c r="ZJ65" s="12"/>
      <c r="ZK65" s="12"/>
      <c r="ZL65" s="12"/>
      <c r="ZM65" s="12"/>
      <c r="ZN65" s="12"/>
      <c r="ZO65" s="12"/>
      <c r="ZP65" s="12"/>
      <c r="ZQ65" s="12"/>
      <c r="ZR65" s="12"/>
      <c r="ZS65" s="12"/>
      <c r="ZT65" s="12"/>
      <c r="ZU65" s="12"/>
      <c r="ZV65" s="12"/>
      <c r="ZW65" s="12"/>
      <c r="ZX65" s="12"/>
      <c r="ZY65" s="12"/>
      <c r="ZZ65" s="12"/>
      <c r="AAA65" s="12"/>
      <c r="AAB65" s="12"/>
      <c r="AAC65" s="12"/>
      <c r="AAD65" s="12"/>
      <c r="AAE65" s="12"/>
      <c r="AAF65" s="12"/>
      <c r="AAG65" s="12"/>
      <c r="AAH65" s="12"/>
      <c r="AAI65" s="12"/>
      <c r="AAJ65" s="12"/>
      <c r="AAK65" s="12"/>
      <c r="AAL65" s="12"/>
      <c r="AAM65" s="12"/>
      <c r="AAN65" s="12"/>
      <c r="AAO65" s="12"/>
      <c r="AAP65" s="12"/>
      <c r="AAQ65" s="12"/>
      <c r="AAR65" s="12"/>
      <c r="AAS65" s="12"/>
      <c r="AAT65" s="12"/>
      <c r="AAU65" s="12"/>
      <c r="AAV65" s="12"/>
      <c r="AAW65" s="12"/>
      <c r="AAX65" s="12"/>
      <c r="AAY65" s="12"/>
      <c r="AAZ65" s="12"/>
      <c r="ABA65" s="12"/>
      <c r="ABB65" s="12"/>
      <c r="ABC65" s="12"/>
      <c r="ABD65" s="12"/>
      <c r="ABE65" s="12"/>
      <c r="ABF65" s="12"/>
      <c r="ABG65" s="12"/>
      <c r="ABH65" s="12"/>
      <c r="ABI65" s="12"/>
      <c r="ABJ65" s="12"/>
      <c r="ABK65" s="12"/>
      <c r="ABL65" s="12"/>
      <c r="ABM65" s="12"/>
      <c r="ABN65" s="12"/>
      <c r="ABO65" s="12"/>
      <c r="ABP65" s="12"/>
      <c r="ABQ65" s="12"/>
      <c r="ABR65" s="12"/>
      <c r="ABS65" s="12"/>
      <c r="ABT65" s="12"/>
      <c r="ABU65" s="12"/>
      <c r="ABV65" s="12"/>
      <c r="ABW65" s="12"/>
      <c r="ABX65" s="12"/>
      <c r="ABY65" s="12"/>
      <c r="ABZ65" s="12"/>
      <c r="ACA65" s="12"/>
      <c r="ACB65" s="12"/>
      <c r="ACC65" s="12"/>
      <c r="ACD65" s="12"/>
      <c r="ACE65" s="12"/>
      <c r="ACF65" s="12"/>
      <c r="ACG65" s="12"/>
      <c r="ACH65" s="12"/>
      <c r="ACI65" s="12"/>
      <c r="ACJ65" s="12"/>
      <c r="ACK65" s="12"/>
      <c r="ACL65" s="12"/>
      <c r="ACM65" s="12"/>
      <c r="ACN65" s="12"/>
      <c r="ACO65" s="12"/>
      <c r="ACP65" s="12"/>
      <c r="ACQ65" s="12"/>
      <c r="ACR65" s="12"/>
      <c r="ACS65" s="12"/>
      <c r="ACT65" s="12"/>
      <c r="ACU65" s="12"/>
      <c r="ACV65" s="12"/>
      <c r="ACW65" s="12"/>
      <c r="ACX65" s="12"/>
      <c r="ACY65" s="12"/>
      <c r="ACZ65" s="12"/>
      <c r="ADA65" s="12"/>
      <c r="ADB65" s="12"/>
      <c r="ADC65" s="12"/>
      <c r="ADD65" s="12"/>
      <c r="ADE65" s="12"/>
      <c r="ADF65" s="12"/>
      <c r="ADG65" s="12"/>
      <c r="ADH65" s="12"/>
      <c r="ADI65" s="12"/>
      <c r="ADJ65" s="12"/>
      <c r="ADK65" s="12"/>
      <c r="ADL65" s="12"/>
      <c r="ADM65" s="12"/>
      <c r="ADN65" s="12"/>
      <c r="ADO65" s="12"/>
      <c r="ADP65" s="12"/>
      <c r="ADQ65" s="12"/>
      <c r="ADR65" s="12"/>
      <c r="ADS65" s="12"/>
      <c r="ADT65" s="12"/>
      <c r="ADU65" s="12"/>
      <c r="ADV65" s="12"/>
      <c r="ADW65" s="12"/>
      <c r="ADX65" s="12"/>
      <c r="ADY65" s="12"/>
      <c r="ADZ65" s="12"/>
      <c r="AEA65" s="12"/>
      <c r="AEB65" s="12"/>
      <c r="AEC65" s="12"/>
      <c r="AED65" s="12"/>
      <c r="AEE65" s="12"/>
      <c r="AEF65" s="12"/>
      <c r="AEG65" s="12"/>
      <c r="AEH65" s="12"/>
      <c r="AEI65" s="12"/>
      <c r="AEJ65" s="12"/>
      <c r="AEK65" s="12"/>
      <c r="AEL65" s="12"/>
      <c r="AEM65" s="12"/>
      <c r="AEN65" s="12"/>
      <c r="AEO65" s="12"/>
      <c r="AEP65" s="12"/>
      <c r="AEQ65" s="12"/>
      <c r="AER65" s="12"/>
      <c r="AES65" s="12"/>
      <c r="AET65" s="12"/>
      <c r="AEU65" s="12"/>
      <c r="AEV65" s="12"/>
    </row>
    <row r="66" spans="1:828" s="27" customFormat="1" ht="19" x14ac:dyDescent="0.2">
      <c r="A66" s="28" t="s">
        <v>60</v>
      </c>
      <c r="B66" s="26">
        <f t="shared" si="0"/>
        <v>9.8937990251460675E-3</v>
      </c>
      <c r="C66" s="23" t="s">
        <v>61</v>
      </c>
      <c r="D66" s="29">
        <f>1216+10</f>
        <v>1226</v>
      </c>
      <c r="E66" s="37">
        <f>G66/D74</f>
        <v>4.0349914458181346E-4</v>
      </c>
      <c r="F66" s="23" t="s">
        <v>62</v>
      </c>
      <c r="G66" s="29">
        <v>50</v>
      </c>
      <c r="H66" s="50">
        <f>SUM(J66:J67)/J74</f>
        <v>3.0467918569123554E-3</v>
      </c>
      <c r="I66" s="23" t="s">
        <v>63</v>
      </c>
      <c r="J66" s="29">
        <v>196</v>
      </c>
      <c r="K66" s="50">
        <f>M66/J74</f>
        <v>4.3770812592262007E-4</v>
      </c>
      <c r="L66" s="23" t="s">
        <v>64</v>
      </c>
      <c r="M66" s="29">
        <v>51</v>
      </c>
      <c r="N66" s="47">
        <f t="shared" si="1"/>
        <v>4.0349914458181346E-4</v>
      </c>
      <c r="O66" s="47">
        <f t="shared" si="2"/>
        <v>4.3770812592262007E-4</v>
      </c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  <c r="FX66" s="12"/>
      <c r="FY66" s="12"/>
      <c r="FZ66" s="12"/>
      <c r="GA66" s="12"/>
      <c r="GB66" s="12"/>
      <c r="GC66" s="12"/>
      <c r="GD66" s="12"/>
      <c r="GE66" s="12"/>
      <c r="GF66" s="12"/>
      <c r="GG66" s="12"/>
      <c r="GH66" s="12"/>
      <c r="GI66" s="12"/>
      <c r="GJ66" s="12"/>
      <c r="GK66" s="12"/>
      <c r="GL66" s="12"/>
      <c r="GM66" s="12"/>
      <c r="GN66" s="12"/>
      <c r="GO66" s="12"/>
      <c r="GP66" s="12"/>
      <c r="GQ66" s="12"/>
      <c r="GR66" s="12"/>
      <c r="GS66" s="12"/>
      <c r="GT66" s="12"/>
      <c r="GU66" s="12"/>
      <c r="GV66" s="12"/>
      <c r="GW66" s="12"/>
      <c r="GX66" s="12"/>
      <c r="GY66" s="12"/>
      <c r="GZ66" s="12"/>
      <c r="HA66" s="12"/>
      <c r="HB66" s="12"/>
      <c r="HC66" s="12"/>
      <c r="HD66" s="12"/>
      <c r="HE66" s="12"/>
      <c r="HF66" s="12"/>
      <c r="HG66" s="12"/>
      <c r="HH66" s="12"/>
      <c r="HI66" s="12"/>
      <c r="HJ66" s="12"/>
      <c r="HK66" s="12"/>
      <c r="HL66" s="12"/>
      <c r="HM66" s="12"/>
      <c r="HN66" s="12"/>
      <c r="HO66" s="12"/>
      <c r="HP66" s="12"/>
      <c r="HQ66" s="12"/>
      <c r="HR66" s="12"/>
      <c r="HS66" s="12"/>
      <c r="HT66" s="12"/>
      <c r="HU66" s="12"/>
      <c r="HV66" s="12"/>
      <c r="HW66" s="12"/>
      <c r="HX66" s="12"/>
      <c r="HY66" s="12"/>
      <c r="HZ66" s="12"/>
      <c r="IA66" s="12"/>
      <c r="IB66" s="12"/>
      <c r="IC66" s="12"/>
      <c r="ID66" s="12"/>
      <c r="IE66" s="12"/>
      <c r="IF66" s="12"/>
      <c r="IG66" s="12"/>
      <c r="IH66" s="12"/>
      <c r="II66" s="12"/>
      <c r="IJ66" s="12"/>
      <c r="IK66" s="12"/>
      <c r="IL66" s="12"/>
      <c r="IM66" s="12"/>
      <c r="IN66" s="12"/>
      <c r="IO66" s="12"/>
      <c r="IP66" s="12"/>
      <c r="IQ66" s="12"/>
      <c r="IR66" s="12"/>
      <c r="IS66" s="12"/>
      <c r="IT66" s="12"/>
      <c r="IU66" s="12"/>
      <c r="IV66" s="12"/>
      <c r="IW66" s="12"/>
      <c r="IX66" s="12"/>
      <c r="IY66" s="12"/>
      <c r="IZ66" s="12"/>
      <c r="JA66" s="12"/>
      <c r="JB66" s="12"/>
      <c r="JC66" s="12"/>
      <c r="JD66" s="12"/>
      <c r="JE66" s="12"/>
      <c r="JF66" s="12"/>
      <c r="JG66" s="12"/>
      <c r="JH66" s="12"/>
      <c r="JI66" s="12"/>
      <c r="JJ66" s="12"/>
      <c r="JK66" s="12"/>
      <c r="JL66" s="12"/>
      <c r="JM66" s="12"/>
      <c r="JN66" s="12"/>
      <c r="JO66" s="12"/>
      <c r="JP66" s="12"/>
      <c r="JQ66" s="12"/>
      <c r="JR66" s="12"/>
      <c r="JS66" s="12"/>
      <c r="JT66" s="12"/>
      <c r="JU66" s="12"/>
      <c r="JV66" s="12"/>
      <c r="JW66" s="12"/>
      <c r="JX66" s="12"/>
      <c r="JY66" s="12"/>
      <c r="JZ66" s="12"/>
      <c r="KA66" s="12"/>
      <c r="KB66" s="12"/>
      <c r="KC66" s="12"/>
      <c r="KD66" s="12"/>
      <c r="KE66" s="12"/>
      <c r="KF66" s="12"/>
      <c r="KG66" s="12"/>
      <c r="KH66" s="12"/>
      <c r="KI66" s="12"/>
      <c r="KJ66" s="12"/>
      <c r="KK66" s="12"/>
      <c r="KL66" s="12"/>
      <c r="KM66" s="12"/>
      <c r="KN66" s="12"/>
      <c r="KO66" s="12"/>
      <c r="KP66" s="12"/>
      <c r="KQ66" s="12"/>
      <c r="KR66" s="12"/>
      <c r="KS66" s="12"/>
      <c r="KT66" s="12"/>
      <c r="KU66" s="12"/>
      <c r="KV66" s="12"/>
      <c r="KW66" s="12"/>
      <c r="KX66" s="12"/>
      <c r="KY66" s="12"/>
      <c r="KZ66" s="12"/>
      <c r="LA66" s="12"/>
      <c r="LB66" s="12"/>
      <c r="LC66" s="12"/>
      <c r="LD66" s="12"/>
      <c r="LE66" s="12"/>
      <c r="LF66" s="12"/>
      <c r="LG66" s="12"/>
      <c r="LH66" s="12"/>
      <c r="LI66" s="12"/>
      <c r="LJ66" s="12"/>
      <c r="LK66" s="12"/>
      <c r="LL66" s="12"/>
      <c r="LM66" s="12"/>
      <c r="LN66" s="12"/>
      <c r="LO66" s="12"/>
      <c r="LP66" s="12"/>
      <c r="LQ66" s="12"/>
      <c r="LR66" s="12"/>
      <c r="LS66" s="12"/>
      <c r="LT66" s="12"/>
      <c r="LU66" s="12"/>
      <c r="LV66" s="12"/>
      <c r="LW66" s="12"/>
      <c r="LX66" s="12"/>
      <c r="LY66" s="12"/>
      <c r="LZ66" s="12"/>
      <c r="MA66" s="12"/>
      <c r="MB66" s="12"/>
      <c r="MC66" s="12"/>
      <c r="MD66" s="12"/>
      <c r="ME66" s="12"/>
      <c r="MF66" s="12"/>
      <c r="MG66" s="12"/>
      <c r="MH66" s="12"/>
      <c r="MI66" s="12"/>
      <c r="MJ66" s="12"/>
      <c r="MK66" s="12"/>
      <c r="ML66" s="12"/>
      <c r="MM66" s="12"/>
      <c r="MN66" s="12"/>
      <c r="MO66" s="12"/>
      <c r="MP66" s="12"/>
      <c r="MQ66" s="12"/>
      <c r="MR66" s="12"/>
      <c r="MS66" s="12"/>
      <c r="MT66" s="12"/>
      <c r="MU66" s="12"/>
      <c r="MV66" s="12"/>
      <c r="MW66" s="12"/>
      <c r="MX66" s="12"/>
      <c r="MY66" s="12"/>
      <c r="MZ66" s="12"/>
      <c r="NA66" s="12"/>
      <c r="NB66" s="12"/>
      <c r="NC66" s="12"/>
      <c r="ND66" s="12"/>
      <c r="NE66" s="12"/>
      <c r="NF66" s="12"/>
      <c r="NG66" s="12"/>
      <c r="NH66" s="12"/>
      <c r="NI66" s="12"/>
      <c r="NJ66" s="12"/>
      <c r="NK66" s="12"/>
      <c r="NL66" s="12"/>
      <c r="NM66" s="12"/>
      <c r="NN66" s="12"/>
      <c r="NO66" s="12"/>
      <c r="NP66" s="12"/>
      <c r="NQ66" s="12"/>
      <c r="NR66" s="12"/>
      <c r="NS66" s="12"/>
      <c r="NT66" s="12"/>
      <c r="NU66" s="12"/>
      <c r="NV66" s="12"/>
      <c r="NW66" s="12"/>
      <c r="NX66" s="12"/>
      <c r="NY66" s="12"/>
      <c r="NZ66" s="12"/>
      <c r="OA66" s="12"/>
      <c r="OB66" s="12"/>
      <c r="OC66" s="12"/>
      <c r="OD66" s="12"/>
      <c r="OE66" s="12"/>
      <c r="OF66" s="12"/>
      <c r="OG66" s="12"/>
      <c r="OH66" s="12"/>
      <c r="OI66" s="12"/>
      <c r="OJ66" s="12"/>
      <c r="OK66" s="12"/>
      <c r="OL66" s="12"/>
      <c r="OM66" s="12"/>
      <c r="ON66" s="12"/>
      <c r="OO66" s="12"/>
      <c r="OP66" s="12"/>
      <c r="OQ66" s="12"/>
      <c r="OR66" s="12"/>
      <c r="OS66" s="12"/>
      <c r="OT66" s="12"/>
      <c r="OU66" s="12"/>
      <c r="OV66" s="12"/>
      <c r="OW66" s="12"/>
      <c r="OX66" s="12"/>
      <c r="OY66" s="12"/>
      <c r="OZ66" s="12"/>
      <c r="PA66" s="12"/>
      <c r="PB66" s="12"/>
      <c r="PC66" s="12"/>
      <c r="PD66" s="12"/>
      <c r="PE66" s="12"/>
      <c r="PF66" s="12"/>
      <c r="PG66" s="12"/>
      <c r="PH66" s="12"/>
      <c r="PI66" s="12"/>
      <c r="PJ66" s="12"/>
      <c r="PK66" s="12"/>
      <c r="PL66" s="12"/>
      <c r="PM66" s="12"/>
      <c r="PN66" s="12"/>
      <c r="PO66" s="12"/>
      <c r="PP66" s="12"/>
      <c r="PQ66" s="12"/>
      <c r="PR66" s="12"/>
      <c r="PS66" s="12"/>
      <c r="PT66" s="12"/>
      <c r="PU66" s="12"/>
      <c r="PV66" s="12"/>
      <c r="PW66" s="12"/>
      <c r="PX66" s="12"/>
      <c r="PY66" s="12"/>
      <c r="PZ66" s="12"/>
      <c r="QA66" s="12"/>
      <c r="QB66" s="12"/>
      <c r="QC66" s="12"/>
      <c r="QD66" s="12"/>
      <c r="QE66" s="12"/>
      <c r="QF66" s="12"/>
      <c r="QG66" s="12"/>
      <c r="QH66" s="12"/>
      <c r="QI66" s="12"/>
      <c r="QJ66" s="12"/>
      <c r="QK66" s="12"/>
      <c r="QL66" s="12"/>
      <c r="QM66" s="12"/>
      <c r="QN66" s="12"/>
      <c r="QO66" s="12"/>
      <c r="QP66" s="12"/>
      <c r="QQ66" s="12"/>
      <c r="QR66" s="12"/>
      <c r="QS66" s="12"/>
      <c r="QT66" s="12"/>
      <c r="QU66" s="12"/>
      <c r="QV66" s="12"/>
      <c r="QW66" s="12"/>
      <c r="QX66" s="12"/>
      <c r="QY66" s="12"/>
      <c r="QZ66" s="12"/>
      <c r="RA66" s="12"/>
      <c r="RB66" s="12"/>
      <c r="RC66" s="12"/>
      <c r="RD66" s="12"/>
      <c r="RE66" s="12"/>
      <c r="RF66" s="12"/>
      <c r="RG66" s="12"/>
      <c r="RH66" s="12"/>
      <c r="RI66" s="12"/>
      <c r="RJ66" s="12"/>
      <c r="RK66" s="12"/>
      <c r="RL66" s="12"/>
      <c r="RM66" s="12"/>
      <c r="RN66" s="12"/>
      <c r="RO66" s="12"/>
      <c r="RP66" s="12"/>
      <c r="RQ66" s="12"/>
      <c r="RR66" s="12"/>
      <c r="RS66" s="12"/>
      <c r="RT66" s="12"/>
      <c r="RU66" s="12"/>
      <c r="RV66" s="12"/>
      <c r="RW66" s="12"/>
      <c r="RX66" s="12"/>
      <c r="RY66" s="12"/>
      <c r="RZ66" s="12"/>
      <c r="SA66" s="12"/>
      <c r="SB66" s="12"/>
      <c r="SC66" s="12"/>
      <c r="SD66" s="12"/>
      <c r="SE66" s="12"/>
      <c r="SF66" s="12"/>
      <c r="SG66" s="12"/>
      <c r="SH66" s="12"/>
      <c r="SI66" s="12"/>
      <c r="SJ66" s="12"/>
      <c r="SK66" s="12"/>
      <c r="SL66" s="12"/>
      <c r="SM66" s="12"/>
      <c r="SN66" s="12"/>
      <c r="SO66" s="12"/>
      <c r="SP66" s="12"/>
      <c r="SQ66" s="12"/>
      <c r="SR66" s="12"/>
      <c r="SS66" s="12"/>
      <c r="ST66" s="12"/>
      <c r="SU66" s="12"/>
      <c r="SV66" s="12"/>
      <c r="SW66" s="12"/>
      <c r="SX66" s="12"/>
      <c r="SY66" s="12"/>
      <c r="SZ66" s="12"/>
      <c r="TA66" s="12"/>
      <c r="TB66" s="12"/>
      <c r="TC66" s="12"/>
      <c r="TD66" s="12"/>
      <c r="TE66" s="12"/>
      <c r="TF66" s="12"/>
      <c r="TG66" s="12"/>
      <c r="TH66" s="12"/>
      <c r="TI66" s="12"/>
      <c r="TJ66" s="12"/>
      <c r="TK66" s="12"/>
      <c r="TL66" s="12"/>
      <c r="TM66" s="12"/>
      <c r="TN66" s="12"/>
      <c r="TO66" s="12"/>
      <c r="TP66" s="12"/>
      <c r="TQ66" s="12"/>
      <c r="TR66" s="12"/>
      <c r="TS66" s="12"/>
      <c r="TT66" s="12"/>
      <c r="TU66" s="12"/>
      <c r="TV66" s="12"/>
      <c r="TW66" s="12"/>
      <c r="TX66" s="12"/>
      <c r="TY66" s="12"/>
      <c r="TZ66" s="12"/>
      <c r="UA66" s="12"/>
      <c r="UB66" s="12"/>
      <c r="UC66" s="12"/>
      <c r="UD66" s="12"/>
      <c r="UE66" s="12"/>
      <c r="UF66" s="12"/>
      <c r="UG66" s="12"/>
      <c r="UH66" s="12"/>
      <c r="UI66" s="12"/>
      <c r="UJ66" s="12"/>
      <c r="UK66" s="12"/>
      <c r="UL66" s="12"/>
      <c r="UM66" s="12"/>
      <c r="UN66" s="12"/>
      <c r="UO66" s="12"/>
      <c r="UP66" s="12"/>
      <c r="UQ66" s="12"/>
      <c r="UR66" s="12"/>
      <c r="US66" s="12"/>
      <c r="UT66" s="12"/>
      <c r="UU66" s="12"/>
      <c r="UV66" s="12"/>
      <c r="UW66" s="12"/>
      <c r="UX66" s="12"/>
      <c r="UY66" s="12"/>
      <c r="UZ66" s="12"/>
      <c r="VA66" s="12"/>
      <c r="VB66" s="12"/>
      <c r="VC66" s="12"/>
      <c r="VD66" s="12"/>
      <c r="VE66" s="12"/>
      <c r="VF66" s="12"/>
      <c r="VG66" s="12"/>
      <c r="VH66" s="12"/>
      <c r="VI66" s="12"/>
      <c r="VJ66" s="12"/>
      <c r="VK66" s="12"/>
      <c r="VL66" s="12"/>
      <c r="VM66" s="12"/>
      <c r="VN66" s="12"/>
      <c r="VO66" s="12"/>
      <c r="VP66" s="12"/>
      <c r="VQ66" s="12"/>
      <c r="VR66" s="12"/>
      <c r="VS66" s="12"/>
      <c r="VT66" s="12"/>
      <c r="VU66" s="12"/>
      <c r="VV66" s="12"/>
      <c r="VW66" s="12"/>
      <c r="VX66" s="12"/>
      <c r="VY66" s="12"/>
      <c r="VZ66" s="12"/>
      <c r="WA66" s="12"/>
      <c r="WB66" s="12"/>
      <c r="WC66" s="12"/>
      <c r="WD66" s="12"/>
      <c r="WE66" s="12"/>
      <c r="WF66" s="12"/>
      <c r="WG66" s="12"/>
      <c r="WH66" s="12"/>
      <c r="WI66" s="12"/>
      <c r="WJ66" s="12"/>
      <c r="WK66" s="12"/>
      <c r="WL66" s="12"/>
      <c r="WM66" s="12"/>
      <c r="WN66" s="12"/>
      <c r="WO66" s="12"/>
      <c r="WP66" s="12"/>
      <c r="WQ66" s="12"/>
      <c r="WR66" s="12"/>
      <c r="WS66" s="12"/>
      <c r="WT66" s="12"/>
      <c r="WU66" s="12"/>
      <c r="WV66" s="12"/>
      <c r="WW66" s="12"/>
      <c r="WX66" s="12"/>
      <c r="WY66" s="12"/>
      <c r="WZ66" s="12"/>
      <c r="XA66" s="12"/>
      <c r="XB66" s="12"/>
      <c r="XC66" s="12"/>
      <c r="XD66" s="12"/>
      <c r="XE66" s="12"/>
      <c r="XF66" s="12"/>
      <c r="XG66" s="12"/>
      <c r="XH66" s="12"/>
      <c r="XI66" s="12"/>
      <c r="XJ66" s="12"/>
      <c r="XK66" s="12"/>
      <c r="XL66" s="12"/>
      <c r="XM66" s="12"/>
      <c r="XN66" s="12"/>
      <c r="XO66" s="12"/>
      <c r="XP66" s="12"/>
      <c r="XQ66" s="12"/>
      <c r="XR66" s="12"/>
      <c r="XS66" s="12"/>
      <c r="XT66" s="12"/>
      <c r="XU66" s="12"/>
      <c r="XV66" s="12"/>
      <c r="XW66" s="12"/>
      <c r="XX66" s="12"/>
      <c r="XY66" s="12"/>
      <c r="XZ66" s="12"/>
      <c r="YA66" s="12"/>
      <c r="YB66" s="12"/>
      <c r="YC66" s="12"/>
      <c r="YD66" s="12"/>
      <c r="YE66" s="12"/>
      <c r="YF66" s="12"/>
      <c r="YG66" s="12"/>
      <c r="YH66" s="12"/>
      <c r="YI66" s="12"/>
      <c r="YJ66" s="12"/>
      <c r="YK66" s="12"/>
      <c r="YL66" s="12"/>
      <c r="YM66" s="12"/>
      <c r="YN66" s="12"/>
      <c r="YO66" s="12"/>
      <c r="YP66" s="12"/>
      <c r="YQ66" s="12"/>
      <c r="YR66" s="12"/>
      <c r="YS66" s="12"/>
      <c r="YT66" s="12"/>
      <c r="YU66" s="12"/>
      <c r="YV66" s="12"/>
      <c r="YW66" s="12"/>
      <c r="YX66" s="12"/>
      <c r="YY66" s="12"/>
      <c r="YZ66" s="12"/>
      <c r="ZA66" s="12"/>
      <c r="ZB66" s="12"/>
      <c r="ZC66" s="12"/>
      <c r="ZD66" s="12"/>
      <c r="ZE66" s="12"/>
      <c r="ZF66" s="12"/>
      <c r="ZG66" s="12"/>
      <c r="ZH66" s="12"/>
      <c r="ZI66" s="12"/>
      <c r="ZJ66" s="12"/>
      <c r="ZK66" s="12"/>
      <c r="ZL66" s="12"/>
      <c r="ZM66" s="12"/>
      <c r="ZN66" s="12"/>
      <c r="ZO66" s="12"/>
      <c r="ZP66" s="12"/>
      <c r="ZQ66" s="12"/>
      <c r="ZR66" s="12"/>
      <c r="ZS66" s="12"/>
      <c r="ZT66" s="12"/>
      <c r="ZU66" s="12"/>
      <c r="ZV66" s="12"/>
      <c r="ZW66" s="12"/>
      <c r="ZX66" s="12"/>
      <c r="ZY66" s="12"/>
      <c r="ZZ66" s="12"/>
      <c r="AAA66" s="12"/>
      <c r="AAB66" s="12"/>
      <c r="AAC66" s="12"/>
      <c r="AAD66" s="12"/>
      <c r="AAE66" s="12"/>
      <c r="AAF66" s="12"/>
      <c r="AAG66" s="12"/>
      <c r="AAH66" s="12"/>
      <c r="AAI66" s="12"/>
      <c r="AAJ66" s="12"/>
      <c r="AAK66" s="12"/>
      <c r="AAL66" s="12"/>
      <c r="AAM66" s="12"/>
      <c r="AAN66" s="12"/>
      <c r="AAO66" s="12"/>
      <c r="AAP66" s="12"/>
      <c r="AAQ66" s="12"/>
      <c r="AAR66" s="12"/>
      <c r="AAS66" s="12"/>
      <c r="AAT66" s="12"/>
      <c r="AAU66" s="12"/>
      <c r="AAV66" s="12"/>
      <c r="AAW66" s="12"/>
      <c r="AAX66" s="12"/>
      <c r="AAY66" s="12"/>
      <c r="AAZ66" s="12"/>
      <c r="ABA66" s="12"/>
      <c r="ABB66" s="12"/>
      <c r="ABC66" s="12"/>
      <c r="ABD66" s="12"/>
      <c r="ABE66" s="12"/>
      <c r="ABF66" s="12"/>
      <c r="ABG66" s="12"/>
      <c r="ABH66" s="12"/>
      <c r="ABI66" s="12"/>
      <c r="ABJ66" s="12"/>
      <c r="ABK66" s="12"/>
      <c r="ABL66" s="12"/>
      <c r="ABM66" s="12"/>
      <c r="ABN66" s="12"/>
      <c r="ABO66" s="12"/>
      <c r="ABP66" s="12"/>
      <c r="ABQ66" s="12"/>
      <c r="ABR66" s="12"/>
      <c r="ABS66" s="12"/>
      <c r="ABT66" s="12"/>
      <c r="ABU66" s="12"/>
      <c r="ABV66" s="12"/>
      <c r="ABW66" s="12"/>
      <c r="ABX66" s="12"/>
      <c r="ABY66" s="12"/>
      <c r="ABZ66" s="12"/>
      <c r="ACA66" s="12"/>
      <c r="ACB66" s="12"/>
      <c r="ACC66" s="12"/>
      <c r="ACD66" s="12"/>
      <c r="ACE66" s="12"/>
      <c r="ACF66" s="12"/>
      <c r="ACG66" s="12"/>
      <c r="ACH66" s="12"/>
      <c r="ACI66" s="12"/>
      <c r="ACJ66" s="12"/>
      <c r="ACK66" s="12"/>
      <c r="ACL66" s="12"/>
      <c r="ACM66" s="12"/>
      <c r="ACN66" s="12"/>
      <c r="ACO66" s="12"/>
      <c r="ACP66" s="12"/>
      <c r="ACQ66" s="12"/>
      <c r="ACR66" s="12"/>
      <c r="ACS66" s="12"/>
      <c r="ACT66" s="12"/>
      <c r="ACU66" s="12"/>
      <c r="ACV66" s="12"/>
      <c r="ACW66" s="12"/>
      <c r="ACX66" s="12"/>
      <c r="ACY66" s="12"/>
      <c r="ACZ66" s="12"/>
      <c r="ADA66" s="12"/>
      <c r="ADB66" s="12"/>
      <c r="ADC66" s="12"/>
      <c r="ADD66" s="12"/>
      <c r="ADE66" s="12"/>
      <c r="ADF66" s="12"/>
      <c r="ADG66" s="12"/>
      <c r="ADH66" s="12"/>
      <c r="ADI66" s="12"/>
      <c r="ADJ66" s="12"/>
      <c r="ADK66" s="12"/>
      <c r="ADL66" s="12"/>
      <c r="ADM66" s="12"/>
      <c r="ADN66" s="12"/>
      <c r="ADO66" s="12"/>
      <c r="ADP66" s="12"/>
      <c r="ADQ66" s="12"/>
      <c r="ADR66" s="12"/>
      <c r="ADS66" s="12"/>
      <c r="ADT66" s="12"/>
      <c r="ADU66" s="12"/>
      <c r="ADV66" s="12"/>
      <c r="ADW66" s="12"/>
      <c r="ADX66" s="12"/>
      <c r="ADY66" s="12"/>
      <c r="ADZ66" s="12"/>
      <c r="AEA66" s="12"/>
      <c r="AEB66" s="12"/>
      <c r="AEC66" s="12"/>
      <c r="AED66" s="12"/>
      <c r="AEE66" s="12"/>
      <c r="AEF66" s="12"/>
      <c r="AEG66" s="12"/>
      <c r="AEH66" s="12"/>
      <c r="AEI66" s="12"/>
      <c r="AEJ66" s="12"/>
      <c r="AEK66" s="12"/>
      <c r="AEL66" s="12"/>
      <c r="AEM66" s="12"/>
      <c r="AEN66" s="12"/>
      <c r="AEO66" s="12"/>
      <c r="AEP66" s="12"/>
      <c r="AEQ66" s="12"/>
      <c r="AER66" s="12"/>
      <c r="AES66" s="12"/>
      <c r="AET66" s="12"/>
      <c r="AEU66" s="12"/>
      <c r="AEV66" s="12"/>
    </row>
    <row r="67" spans="1:828" s="27" customFormat="1" ht="18" x14ac:dyDescent="0.2">
      <c r="A67" s="67"/>
      <c r="B67" s="30"/>
      <c r="D67" s="29"/>
      <c r="E67" s="23"/>
      <c r="F67" s="23"/>
      <c r="G67" s="23"/>
      <c r="H67" s="30"/>
      <c r="I67" s="23" t="s">
        <v>65</v>
      </c>
      <c r="J67" s="29">
        <v>159</v>
      </c>
      <c r="K67" s="30"/>
      <c r="L67" s="23"/>
      <c r="M67" s="29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  <c r="FX67" s="12"/>
      <c r="FY67" s="12"/>
      <c r="FZ67" s="12"/>
      <c r="GA67" s="12"/>
      <c r="GB67" s="12"/>
      <c r="GC67" s="12"/>
      <c r="GD67" s="12"/>
      <c r="GE67" s="12"/>
      <c r="GF67" s="12"/>
      <c r="GG67" s="12"/>
      <c r="GH67" s="12"/>
      <c r="GI67" s="12"/>
      <c r="GJ67" s="12"/>
      <c r="GK67" s="12"/>
      <c r="GL67" s="12"/>
      <c r="GM67" s="12"/>
      <c r="GN67" s="12"/>
      <c r="GO67" s="12"/>
      <c r="GP67" s="12"/>
      <c r="GQ67" s="12"/>
      <c r="GR67" s="12"/>
      <c r="GS67" s="12"/>
      <c r="GT67" s="12"/>
      <c r="GU67" s="12"/>
      <c r="GV67" s="12"/>
      <c r="GW67" s="12"/>
      <c r="GX67" s="12"/>
      <c r="GY67" s="12"/>
      <c r="GZ67" s="12"/>
      <c r="HA67" s="12"/>
      <c r="HB67" s="12"/>
      <c r="HC67" s="12"/>
      <c r="HD67" s="12"/>
      <c r="HE67" s="12"/>
      <c r="HF67" s="12"/>
      <c r="HG67" s="12"/>
      <c r="HH67" s="12"/>
      <c r="HI67" s="12"/>
      <c r="HJ67" s="12"/>
      <c r="HK67" s="12"/>
      <c r="HL67" s="12"/>
      <c r="HM67" s="12"/>
      <c r="HN67" s="12"/>
      <c r="HO67" s="12"/>
      <c r="HP67" s="12"/>
      <c r="HQ67" s="12"/>
      <c r="HR67" s="12"/>
      <c r="HS67" s="12"/>
      <c r="HT67" s="12"/>
      <c r="HU67" s="12"/>
      <c r="HV67" s="12"/>
      <c r="HW67" s="12"/>
      <c r="HX67" s="12"/>
      <c r="HY67" s="12"/>
      <c r="HZ67" s="12"/>
      <c r="IA67" s="12"/>
      <c r="IB67" s="12"/>
      <c r="IC67" s="12"/>
      <c r="ID67" s="12"/>
      <c r="IE67" s="12"/>
      <c r="IF67" s="12"/>
      <c r="IG67" s="12"/>
      <c r="IH67" s="12"/>
      <c r="II67" s="12"/>
      <c r="IJ67" s="12"/>
      <c r="IK67" s="12"/>
      <c r="IL67" s="12"/>
      <c r="IM67" s="12"/>
      <c r="IN67" s="12"/>
      <c r="IO67" s="12"/>
      <c r="IP67" s="12"/>
      <c r="IQ67" s="12"/>
      <c r="IR67" s="12"/>
      <c r="IS67" s="12"/>
      <c r="IT67" s="12"/>
      <c r="IU67" s="12"/>
      <c r="IV67" s="12"/>
      <c r="IW67" s="12"/>
      <c r="IX67" s="12"/>
      <c r="IY67" s="12"/>
      <c r="IZ67" s="12"/>
      <c r="JA67" s="12"/>
      <c r="JB67" s="12"/>
      <c r="JC67" s="12"/>
      <c r="JD67" s="12"/>
      <c r="JE67" s="12"/>
      <c r="JF67" s="12"/>
      <c r="JG67" s="12"/>
      <c r="JH67" s="12"/>
      <c r="JI67" s="12"/>
      <c r="JJ67" s="12"/>
      <c r="JK67" s="12"/>
      <c r="JL67" s="12"/>
      <c r="JM67" s="12"/>
      <c r="JN67" s="12"/>
      <c r="JO67" s="12"/>
      <c r="JP67" s="12"/>
      <c r="JQ67" s="12"/>
      <c r="JR67" s="12"/>
      <c r="JS67" s="12"/>
      <c r="JT67" s="12"/>
      <c r="JU67" s="12"/>
      <c r="JV67" s="12"/>
      <c r="JW67" s="12"/>
      <c r="JX67" s="12"/>
      <c r="JY67" s="12"/>
      <c r="JZ67" s="12"/>
      <c r="KA67" s="12"/>
      <c r="KB67" s="12"/>
      <c r="KC67" s="12"/>
      <c r="KD67" s="12"/>
      <c r="KE67" s="12"/>
      <c r="KF67" s="12"/>
      <c r="KG67" s="12"/>
      <c r="KH67" s="12"/>
      <c r="KI67" s="12"/>
      <c r="KJ67" s="12"/>
      <c r="KK67" s="12"/>
      <c r="KL67" s="12"/>
      <c r="KM67" s="12"/>
      <c r="KN67" s="12"/>
      <c r="KO67" s="12"/>
      <c r="KP67" s="12"/>
      <c r="KQ67" s="12"/>
      <c r="KR67" s="12"/>
      <c r="KS67" s="12"/>
      <c r="KT67" s="12"/>
      <c r="KU67" s="12"/>
      <c r="KV67" s="12"/>
      <c r="KW67" s="12"/>
      <c r="KX67" s="12"/>
      <c r="KY67" s="12"/>
      <c r="KZ67" s="12"/>
      <c r="LA67" s="12"/>
      <c r="LB67" s="12"/>
      <c r="LC67" s="12"/>
      <c r="LD67" s="12"/>
      <c r="LE67" s="12"/>
      <c r="LF67" s="12"/>
      <c r="LG67" s="12"/>
      <c r="LH67" s="12"/>
      <c r="LI67" s="12"/>
      <c r="LJ67" s="12"/>
      <c r="LK67" s="12"/>
      <c r="LL67" s="12"/>
      <c r="LM67" s="12"/>
      <c r="LN67" s="12"/>
      <c r="LO67" s="12"/>
      <c r="LP67" s="12"/>
      <c r="LQ67" s="12"/>
      <c r="LR67" s="12"/>
      <c r="LS67" s="12"/>
      <c r="LT67" s="12"/>
      <c r="LU67" s="12"/>
      <c r="LV67" s="12"/>
      <c r="LW67" s="12"/>
      <c r="LX67" s="12"/>
      <c r="LY67" s="12"/>
      <c r="LZ67" s="12"/>
      <c r="MA67" s="12"/>
      <c r="MB67" s="12"/>
      <c r="MC67" s="12"/>
      <c r="MD67" s="12"/>
      <c r="ME67" s="12"/>
      <c r="MF67" s="12"/>
      <c r="MG67" s="12"/>
      <c r="MH67" s="12"/>
      <c r="MI67" s="12"/>
      <c r="MJ67" s="12"/>
      <c r="MK67" s="12"/>
      <c r="ML67" s="12"/>
      <c r="MM67" s="12"/>
      <c r="MN67" s="12"/>
      <c r="MO67" s="12"/>
      <c r="MP67" s="12"/>
      <c r="MQ67" s="12"/>
      <c r="MR67" s="12"/>
      <c r="MS67" s="12"/>
      <c r="MT67" s="12"/>
      <c r="MU67" s="12"/>
      <c r="MV67" s="12"/>
      <c r="MW67" s="12"/>
      <c r="MX67" s="12"/>
      <c r="MY67" s="12"/>
      <c r="MZ67" s="12"/>
      <c r="NA67" s="12"/>
      <c r="NB67" s="12"/>
      <c r="NC67" s="12"/>
      <c r="ND67" s="12"/>
      <c r="NE67" s="12"/>
      <c r="NF67" s="12"/>
      <c r="NG67" s="12"/>
      <c r="NH67" s="12"/>
      <c r="NI67" s="12"/>
      <c r="NJ67" s="12"/>
      <c r="NK67" s="12"/>
      <c r="NL67" s="12"/>
      <c r="NM67" s="12"/>
      <c r="NN67" s="12"/>
      <c r="NO67" s="12"/>
      <c r="NP67" s="12"/>
      <c r="NQ67" s="12"/>
      <c r="NR67" s="12"/>
      <c r="NS67" s="12"/>
      <c r="NT67" s="12"/>
      <c r="NU67" s="12"/>
      <c r="NV67" s="12"/>
      <c r="NW67" s="12"/>
      <c r="NX67" s="12"/>
      <c r="NY67" s="12"/>
      <c r="NZ67" s="12"/>
      <c r="OA67" s="12"/>
      <c r="OB67" s="12"/>
      <c r="OC67" s="12"/>
      <c r="OD67" s="12"/>
      <c r="OE67" s="12"/>
      <c r="OF67" s="12"/>
      <c r="OG67" s="12"/>
      <c r="OH67" s="12"/>
      <c r="OI67" s="12"/>
      <c r="OJ67" s="12"/>
      <c r="OK67" s="12"/>
      <c r="OL67" s="12"/>
      <c r="OM67" s="12"/>
      <c r="ON67" s="12"/>
      <c r="OO67" s="12"/>
      <c r="OP67" s="12"/>
      <c r="OQ67" s="12"/>
      <c r="OR67" s="12"/>
      <c r="OS67" s="12"/>
      <c r="OT67" s="12"/>
      <c r="OU67" s="12"/>
      <c r="OV67" s="12"/>
      <c r="OW67" s="12"/>
      <c r="OX67" s="12"/>
      <c r="OY67" s="12"/>
      <c r="OZ67" s="12"/>
      <c r="PA67" s="12"/>
      <c r="PB67" s="12"/>
      <c r="PC67" s="12"/>
      <c r="PD67" s="12"/>
      <c r="PE67" s="12"/>
      <c r="PF67" s="12"/>
      <c r="PG67" s="12"/>
      <c r="PH67" s="12"/>
      <c r="PI67" s="12"/>
      <c r="PJ67" s="12"/>
      <c r="PK67" s="12"/>
      <c r="PL67" s="12"/>
      <c r="PM67" s="12"/>
      <c r="PN67" s="12"/>
      <c r="PO67" s="12"/>
      <c r="PP67" s="12"/>
      <c r="PQ67" s="12"/>
      <c r="PR67" s="12"/>
      <c r="PS67" s="12"/>
      <c r="PT67" s="12"/>
      <c r="PU67" s="12"/>
      <c r="PV67" s="12"/>
      <c r="PW67" s="12"/>
      <c r="PX67" s="12"/>
      <c r="PY67" s="12"/>
      <c r="PZ67" s="12"/>
      <c r="QA67" s="12"/>
      <c r="QB67" s="12"/>
      <c r="QC67" s="12"/>
      <c r="QD67" s="12"/>
      <c r="QE67" s="12"/>
      <c r="QF67" s="12"/>
      <c r="QG67" s="12"/>
      <c r="QH67" s="12"/>
      <c r="QI67" s="12"/>
      <c r="QJ67" s="12"/>
      <c r="QK67" s="12"/>
      <c r="QL67" s="12"/>
      <c r="QM67" s="12"/>
      <c r="QN67" s="12"/>
      <c r="QO67" s="12"/>
      <c r="QP67" s="12"/>
      <c r="QQ67" s="12"/>
      <c r="QR67" s="12"/>
      <c r="QS67" s="12"/>
      <c r="QT67" s="12"/>
      <c r="QU67" s="12"/>
      <c r="QV67" s="12"/>
      <c r="QW67" s="12"/>
      <c r="QX67" s="12"/>
      <c r="QY67" s="12"/>
      <c r="QZ67" s="12"/>
      <c r="RA67" s="12"/>
      <c r="RB67" s="12"/>
      <c r="RC67" s="12"/>
      <c r="RD67" s="12"/>
      <c r="RE67" s="12"/>
      <c r="RF67" s="12"/>
      <c r="RG67" s="12"/>
      <c r="RH67" s="12"/>
      <c r="RI67" s="12"/>
      <c r="RJ67" s="12"/>
      <c r="RK67" s="12"/>
      <c r="RL67" s="12"/>
      <c r="RM67" s="12"/>
      <c r="RN67" s="12"/>
      <c r="RO67" s="12"/>
      <c r="RP67" s="12"/>
      <c r="RQ67" s="12"/>
      <c r="RR67" s="12"/>
      <c r="RS67" s="12"/>
      <c r="RT67" s="12"/>
      <c r="RU67" s="12"/>
      <c r="RV67" s="12"/>
      <c r="RW67" s="12"/>
      <c r="RX67" s="12"/>
      <c r="RY67" s="12"/>
      <c r="RZ67" s="12"/>
      <c r="SA67" s="12"/>
      <c r="SB67" s="12"/>
      <c r="SC67" s="12"/>
      <c r="SD67" s="12"/>
      <c r="SE67" s="12"/>
      <c r="SF67" s="12"/>
      <c r="SG67" s="12"/>
      <c r="SH67" s="12"/>
      <c r="SI67" s="12"/>
      <c r="SJ67" s="12"/>
      <c r="SK67" s="12"/>
      <c r="SL67" s="12"/>
      <c r="SM67" s="12"/>
      <c r="SN67" s="12"/>
      <c r="SO67" s="12"/>
      <c r="SP67" s="12"/>
      <c r="SQ67" s="12"/>
      <c r="SR67" s="12"/>
      <c r="SS67" s="12"/>
      <c r="ST67" s="12"/>
      <c r="SU67" s="12"/>
      <c r="SV67" s="12"/>
      <c r="SW67" s="12"/>
      <c r="SX67" s="12"/>
      <c r="SY67" s="12"/>
      <c r="SZ67" s="12"/>
      <c r="TA67" s="12"/>
      <c r="TB67" s="12"/>
      <c r="TC67" s="12"/>
      <c r="TD67" s="12"/>
      <c r="TE67" s="12"/>
      <c r="TF67" s="12"/>
      <c r="TG67" s="12"/>
      <c r="TH67" s="12"/>
      <c r="TI67" s="12"/>
      <c r="TJ67" s="12"/>
      <c r="TK67" s="12"/>
      <c r="TL67" s="12"/>
      <c r="TM67" s="12"/>
      <c r="TN67" s="12"/>
      <c r="TO67" s="12"/>
      <c r="TP67" s="12"/>
      <c r="TQ67" s="12"/>
      <c r="TR67" s="12"/>
      <c r="TS67" s="12"/>
      <c r="TT67" s="12"/>
      <c r="TU67" s="12"/>
      <c r="TV67" s="12"/>
      <c r="TW67" s="12"/>
      <c r="TX67" s="12"/>
      <c r="TY67" s="12"/>
      <c r="TZ67" s="12"/>
      <c r="UA67" s="12"/>
      <c r="UB67" s="12"/>
      <c r="UC67" s="12"/>
      <c r="UD67" s="12"/>
      <c r="UE67" s="12"/>
      <c r="UF67" s="12"/>
      <c r="UG67" s="12"/>
      <c r="UH67" s="12"/>
      <c r="UI67" s="12"/>
      <c r="UJ67" s="12"/>
      <c r="UK67" s="12"/>
      <c r="UL67" s="12"/>
      <c r="UM67" s="12"/>
      <c r="UN67" s="12"/>
      <c r="UO67" s="12"/>
      <c r="UP67" s="12"/>
      <c r="UQ67" s="12"/>
      <c r="UR67" s="12"/>
      <c r="US67" s="12"/>
      <c r="UT67" s="12"/>
      <c r="UU67" s="12"/>
      <c r="UV67" s="12"/>
      <c r="UW67" s="12"/>
      <c r="UX67" s="12"/>
      <c r="UY67" s="12"/>
      <c r="UZ67" s="12"/>
      <c r="VA67" s="12"/>
      <c r="VB67" s="12"/>
      <c r="VC67" s="12"/>
      <c r="VD67" s="12"/>
      <c r="VE67" s="12"/>
      <c r="VF67" s="12"/>
      <c r="VG67" s="12"/>
      <c r="VH67" s="12"/>
      <c r="VI67" s="12"/>
      <c r="VJ67" s="12"/>
      <c r="VK67" s="12"/>
      <c r="VL67" s="12"/>
      <c r="VM67" s="12"/>
      <c r="VN67" s="12"/>
      <c r="VO67" s="12"/>
      <c r="VP67" s="12"/>
      <c r="VQ67" s="12"/>
      <c r="VR67" s="12"/>
      <c r="VS67" s="12"/>
      <c r="VT67" s="12"/>
      <c r="VU67" s="12"/>
      <c r="VV67" s="12"/>
      <c r="VW67" s="12"/>
      <c r="VX67" s="12"/>
      <c r="VY67" s="12"/>
      <c r="VZ67" s="12"/>
      <c r="WA67" s="12"/>
      <c r="WB67" s="12"/>
      <c r="WC67" s="12"/>
      <c r="WD67" s="12"/>
      <c r="WE67" s="12"/>
      <c r="WF67" s="12"/>
      <c r="WG67" s="12"/>
      <c r="WH67" s="12"/>
      <c r="WI67" s="12"/>
      <c r="WJ67" s="12"/>
      <c r="WK67" s="12"/>
      <c r="WL67" s="12"/>
      <c r="WM67" s="12"/>
      <c r="WN67" s="12"/>
      <c r="WO67" s="12"/>
      <c r="WP67" s="12"/>
      <c r="WQ67" s="12"/>
      <c r="WR67" s="12"/>
      <c r="WS67" s="12"/>
      <c r="WT67" s="12"/>
      <c r="WU67" s="12"/>
      <c r="WV67" s="12"/>
      <c r="WW67" s="12"/>
      <c r="WX67" s="12"/>
      <c r="WY67" s="12"/>
      <c r="WZ67" s="12"/>
      <c r="XA67" s="12"/>
      <c r="XB67" s="12"/>
      <c r="XC67" s="12"/>
      <c r="XD67" s="12"/>
      <c r="XE67" s="12"/>
      <c r="XF67" s="12"/>
      <c r="XG67" s="12"/>
      <c r="XH67" s="12"/>
      <c r="XI67" s="12"/>
      <c r="XJ67" s="12"/>
      <c r="XK67" s="12"/>
      <c r="XL67" s="12"/>
      <c r="XM67" s="12"/>
      <c r="XN67" s="12"/>
      <c r="XO67" s="12"/>
      <c r="XP67" s="12"/>
      <c r="XQ67" s="12"/>
      <c r="XR67" s="12"/>
      <c r="XS67" s="12"/>
      <c r="XT67" s="12"/>
      <c r="XU67" s="12"/>
      <c r="XV67" s="12"/>
      <c r="XW67" s="12"/>
      <c r="XX67" s="12"/>
      <c r="XY67" s="12"/>
      <c r="XZ67" s="12"/>
      <c r="YA67" s="12"/>
      <c r="YB67" s="12"/>
      <c r="YC67" s="12"/>
      <c r="YD67" s="12"/>
      <c r="YE67" s="12"/>
      <c r="YF67" s="12"/>
      <c r="YG67" s="12"/>
      <c r="YH67" s="12"/>
      <c r="YI67" s="12"/>
      <c r="YJ67" s="12"/>
      <c r="YK67" s="12"/>
      <c r="YL67" s="12"/>
      <c r="YM67" s="12"/>
      <c r="YN67" s="12"/>
      <c r="YO67" s="12"/>
      <c r="YP67" s="12"/>
      <c r="YQ67" s="12"/>
      <c r="YR67" s="12"/>
      <c r="YS67" s="12"/>
      <c r="YT67" s="12"/>
      <c r="YU67" s="12"/>
      <c r="YV67" s="12"/>
      <c r="YW67" s="12"/>
      <c r="YX67" s="12"/>
      <c r="YY67" s="12"/>
      <c r="YZ67" s="12"/>
      <c r="ZA67" s="12"/>
      <c r="ZB67" s="12"/>
      <c r="ZC67" s="12"/>
      <c r="ZD67" s="12"/>
      <c r="ZE67" s="12"/>
      <c r="ZF67" s="12"/>
      <c r="ZG67" s="12"/>
      <c r="ZH67" s="12"/>
      <c r="ZI67" s="12"/>
      <c r="ZJ67" s="12"/>
      <c r="ZK67" s="12"/>
      <c r="ZL67" s="12"/>
      <c r="ZM67" s="12"/>
      <c r="ZN67" s="12"/>
      <c r="ZO67" s="12"/>
      <c r="ZP67" s="12"/>
      <c r="ZQ67" s="12"/>
      <c r="ZR67" s="12"/>
      <c r="ZS67" s="12"/>
      <c r="ZT67" s="12"/>
      <c r="ZU67" s="12"/>
      <c r="ZV67" s="12"/>
      <c r="ZW67" s="12"/>
      <c r="ZX67" s="12"/>
      <c r="ZY67" s="12"/>
      <c r="ZZ67" s="12"/>
      <c r="AAA67" s="12"/>
      <c r="AAB67" s="12"/>
      <c r="AAC67" s="12"/>
      <c r="AAD67" s="12"/>
      <c r="AAE67" s="12"/>
      <c r="AAF67" s="12"/>
      <c r="AAG67" s="12"/>
      <c r="AAH67" s="12"/>
      <c r="AAI67" s="12"/>
      <c r="AAJ67" s="12"/>
      <c r="AAK67" s="12"/>
      <c r="AAL67" s="12"/>
      <c r="AAM67" s="12"/>
      <c r="AAN67" s="12"/>
      <c r="AAO67" s="12"/>
      <c r="AAP67" s="12"/>
      <c r="AAQ67" s="12"/>
      <c r="AAR67" s="12"/>
      <c r="AAS67" s="12"/>
      <c r="AAT67" s="12"/>
      <c r="AAU67" s="12"/>
      <c r="AAV67" s="12"/>
      <c r="AAW67" s="12"/>
      <c r="AAX67" s="12"/>
      <c r="AAY67" s="12"/>
      <c r="AAZ67" s="12"/>
      <c r="ABA67" s="12"/>
      <c r="ABB67" s="12"/>
      <c r="ABC67" s="12"/>
      <c r="ABD67" s="12"/>
      <c r="ABE67" s="12"/>
      <c r="ABF67" s="12"/>
      <c r="ABG67" s="12"/>
      <c r="ABH67" s="12"/>
      <c r="ABI67" s="12"/>
      <c r="ABJ67" s="12"/>
      <c r="ABK67" s="12"/>
      <c r="ABL67" s="12"/>
      <c r="ABM67" s="12"/>
      <c r="ABN67" s="12"/>
      <c r="ABO67" s="12"/>
      <c r="ABP67" s="12"/>
      <c r="ABQ67" s="12"/>
      <c r="ABR67" s="12"/>
      <c r="ABS67" s="12"/>
      <c r="ABT67" s="12"/>
      <c r="ABU67" s="12"/>
      <c r="ABV67" s="12"/>
      <c r="ABW67" s="12"/>
      <c r="ABX67" s="12"/>
      <c r="ABY67" s="12"/>
      <c r="ABZ67" s="12"/>
      <c r="ACA67" s="12"/>
      <c r="ACB67" s="12"/>
      <c r="ACC67" s="12"/>
      <c r="ACD67" s="12"/>
      <c r="ACE67" s="12"/>
      <c r="ACF67" s="12"/>
      <c r="ACG67" s="12"/>
      <c r="ACH67" s="12"/>
      <c r="ACI67" s="12"/>
      <c r="ACJ67" s="12"/>
      <c r="ACK67" s="12"/>
      <c r="ACL67" s="12"/>
      <c r="ACM67" s="12"/>
      <c r="ACN67" s="12"/>
      <c r="ACO67" s="12"/>
      <c r="ACP67" s="12"/>
      <c r="ACQ67" s="12"/>
      <c r="ACR67" s="12"/>
      <c r="ACS67" s="12"/>
      <c r="ACT67" s="12"/>
      <c r="ACU67" s="12"/>
      <c r="ACV67" s="12"/>
      <c r="ACW67" s="12"/>
      <c r="ACX67" s="12"/>
      <c r="ACY67" s="12"/>
      <c r="ACZ67" s="12"/>
      <c r="ADA67" s="12"/>
      <c r="ADB67" s="12"/>
      <c r="ADC67" s="12"/>
      <c r="ADD67" s="12"/>
      <c r="ADE67" s="12"/>
      <c r="ADF67" s="12"/>
      <c r="ADG67" s="12"/>
      <c r="ADH67" s="12"/>
      <c r="ADI67" s="12"/>
      <c r="ADJ67" s="12"/>
      <c r="ADK67" s="12"/>
      <c r="ADL67" s="12"/>
      <c r="ADM67" s="12"/>
      <c r="ADN67" s="12"/>
      <c r="ADO67" s="12"/>
      <c r="ADP67" s="12"/>
      <c r="ADQ67" s="12"/>
      <c r="ADR67" s="12"/>
      <c r="ADS67" s="12"/>
      <c r="ADT67" s="12"/>
      <c r="ADU67" s="12"/>
      <c r="ADV67" s="12"/>
      <c r="ADW67" s="12"/>
      <c r="ADX67" s="12"/>
      <c r="ADY67" s="12"/>
      <c r="ADZ67" s="12"/>
      <c r="AEA67" s="12"/>
      <c r="AEB67" s="12"/>
      <c r="AEC67" s="12"/>
      <c r="AED67" s="12"/>
      <c r="AEE67" s="12"/>
      <c r="AEF67" s="12"/>
      <c r="AEG67" s="12"/>
      <c r="AEH67" s="12"/>
      <c r="AEI67" s="12"/>
      <c r="AEJ67" s="12"/>
      <c r="AEK67" s="12"/>
      <c r="AEL67" s="12"/>
      <c r="AEM67" s="12"/>
      <c r="AEN67" s="12"/>
      <c r="AEO67" s="12"/>
      <c r="AEP67" s="12"/>
      <c r="AEQ67" s="12"/>
      <c r="AER67" s="12"/>
      <c r="AES67" s="12"/>
      <c r="AET67" s="12"/>
      <c r="AEU67" s="12"/>
      <c r="AEV67" s="12"/>
    </row>
    <row r="68" spans="1:828" s="27" customFormat="1" ht="18" x14ac:dyDescent="0.2">
      <c r="A68" s="67"/>
      <c r="B68" s="30"/>
      <c r="C68" s="23"/>
      <c r="D68" s="29"/>
      <c r="E68" s="23"/>
      <c r="F68" s="23"/>
      <c r="G68" s="23"/>
      <c r="H68" s="30"/>
      <c r="I68" s="23"/>
      <c r="J68" s="29"/>
      <c r="K68" s="30"/>
      <c r="L68" s="23"/>
      <c r="M68" s="29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2"/>
      <c r="FJ68" s="12"/>
      <c r="FK68" s="12"/>
      <c r="FL68" s="12"/>
      <c r="FM68" s="12"/>
      <c r="FN68" s="12"/>
      <c r="FO68" s="12"/>
      <c r="FP68" s="12"/>
      <c r="FQ68" s="12"/>
      <c r="FR68" s="12"/>
      <c r="FS68" s="12"/>
      <c r="FT68" s="12"/>
      <c r="FU68" s="12"/>
      <c r="FV68" s="12"/>
      <c r="FW68" s="12"/>
      <c r="FX68" s="12"/>
      <c r="FY68" s="12"/>
      <c r="FZ68" s="12"/>
      <c r="GA68" s="12"/>
      <c r="GB68" s="12"/>
      <c r="GC68" s="12"/>
      <c r="GD68" s="12"/>
      <c r="GE68" s="12"/>
      <c r="GF68" s="12"/>
      <c r="GG68" s="12"/>
      <c r="GH68" s="12"/>
      <c r="GI68" s="12"/>
      <c r="GJ68" s="12"/>
      <c r="GK68" s="12"/>
      <c r="GL68" s="12"/>
      <c r="GM68" s="12"/>
      <c r="GN68" s="12"/>
      <c r="GO68" s="12"/>
      <c r="GP68" s="12"/>
      <c r="GQ68" s="12"/>
      <c r="GR68" s="12"/>
      <c r="GS68" s="12"/>
      <c r="GT68" s="12"/>
      <c r="GU68" s="12"/>
      <c r="GV68" s="12"/>
      <c r="GW68" s="12"/>
      <c r="GX68" s="12"/>
      <c r="GY68" s="12"/>
      <c r="GZ68" s="12"/>
      <c r="HA68" s="12"/>
      <c r="HB68" s="12"/>
      <c r="HC68" s="12"/>
      <c r="HD68" s="12"/>
      <c r="HE68" s="12"/>
      <c r="HF68" s="12"/>
      <c r="HG68" s="12"/>
      <c r="HH68" s="12"/>
      <c r="HI68" s="12"/>
      <c r="HJ68" s="12"/>
      <c r="HK68" s="12"/>
      <c r="HL68" s="12"/>
      <c r="HM68" s="12"/>
      <c r="HN68" s="12"/>
      <c r="HO68" s="12"/>
      <c r="HP68" s="12"/>
      <c r="HQ68" s="12"/>
      <c r="HR68" s="12"/>
      <c r="HS68" s="12"/>
      <c r="HT68" s="12"/>
      <c r="HU68" s="12"/>
      <c r="HV68" s="12"/>
      <c r="HW68" s="12"/>
      <c r="HX68" s="12"/>
      <c r="HY68" s="12"/>
      <c r="HZ68" s="12"/>
      <c r="IA68" s="12"/>
      <c r="IB68" s="12"/>
      <c r="IC68" s="12"/>
      <c r="ID68" s="12"/>
      <c r="IE68" s="12"/>
      <c r="IF68" s="12"/>
      <c r="IG68" s="12"/>
      <c r="IH68" s="12"/>
      <c r="II68" s="12"/>
      <c r="IJ68" s="12"/>
      <c r="IK68" s="12"/>
      <c r="IL68" s="12"/>
      <c r="IM68" s="12"/>
      <c r="IN68" s="12"/>
      <c r="IO68" s="12"/>
      <c r="IP68" s="12"/>
      <c r="IQ68" s="12"/>
      <c r="IR68" s="12"/>
      <c r="IS68" s="12"/>
      <c r="IT68" s="12"/>
      <c r="IU68" s="12"/>
      <c r="IV68" s="12"/>
      <c r="IW68" s="12"/>
      <c r="IX68" s="12"/>
      <c r="IY68" s="12"/>
      <c r="IZ68" s="12"/>
      <c r="JA68" s="12"/>
      <c r="JB68" s="12"/>
      <c r="JC68" s="12"/>
      <c r="JD68" s="12"/>
      <c r="JE68" s="12"/>
      <c r="JF68" s="12"/>
      <c r="JG68" s="12"/>
      <c r="JH68" s="12"/>
      <c r="JI68" s="12"/>
      <c r="JJ68" s="12"/>
      <c r="JK68" s="12"/>
      <c r="JL68" s="12"/>
      <c r="JM68" s="12"/>
      <c r="JN68" s="12"/>
      <c r="JO68" s="12"/>
      <c r="JP68" s="12"/>
      <c r="JQ68" s="12"/>
      <c r="JR68" s="12"/>
      <c r="JS68" s="12"/>
      <c r="JT68" s="12"/>
      <c r="JU68" s="12"/>
      <c r="JV68" s="12"/>
      <c r="JW68" s="12"/>
      <c r="JX68" s="12"/>
      <c r="JY68" s="12"/>
      <c r="JZ68" s="12"/>
      <c r="KA68" s="12"/>
      <c r="KB68" s="12"/>
      <c r="KC68" s="12"/>
      <c r="KD68" s="12"/>
      <c r="KE68" s="12"/>
      <c r="KF68" s="12"/>
      <c r="KG68" s="12"/>
      <c r="KH68" s="12"/>
      <c r="KI68" s="12"/>
      <c r="KJ68" s="12"/>
      <c r="KK68" s="12"/>
      <c r="KL68" s="12"/>
      <c r="KM68" s="12"/>
      <c r="KN68" s="12"/>
      <c r="KO68" s="12"/>
      <c r="KP68" s="12"/>
      <c r="KQ68" s="12"/>
      <c r="KR68" s="12"/>
      <c r="KS68" s="12"/>
      <c r="KT68" s="12"/>
      <c r="KU68" s="12"/>
      <c r="KV68" s="12"/>
      <c r="KW68" s="12"/>
      <c r="KX68" s="12"/>
      <c r="KY68" s="12"/>
      <c r="KZ68" s="12"/>
      <c r="LA68" s="12"/>
      <c r="LB68" s="12"/>
      <c r="LC68" s="12"/>
      <c r="LD68" s="12"/>
      <c r="LE68" s="12"/>
      <c r="LF68" s="12"/>
      <c r="LG68" s="12"/>
      <c r="LH68" s="12"/>
      <c r="LI68" s="12"/>
      <c r="LJ68" s="12"/>
      <c r="LK68" s="12"/>
      <c r="LL68" s="12"/>
      <c r="LM68" s="12"/>
      <c r="LN68" s="12"/>
      <c r="LO68" s="12"/>
      <c r="LP68" s="12"/>
      <c r="LQ68" s="12"/>
      <c r="LR68" s="12"/>
      <c r="LS68" s="12"/>
      <c r="LT68" s="12"/>
      <c r="LU68" s="12"/>
      <c r="LV68" s="12"/>
      <c r="LW68" s="12"/>
      <c r="LX68" s="12"/>
      <c r="LY68" s="12"/>
      <c r="LZ68" s="12"/>
      <c r="MA68" s="12"/>
      <c r="MB68" s="12"/>
      <c r="MC68" s="12"/>
      <c r="MD68" s="12"/>
      <c r="ME68" s="12"/>
      <c r="MF68" s="12"/>
      <c r="MG68" s="12"/>
      <c r="MH68" s="12"/>
      <c r="MI68" s="12"/>
      <c r="MJ68" s="12"/>
      <c r="MK68" s="12"/>
      <c r="ML68" s="12"/>
      <c r="MM68" s="12"/>
      <c r="MN68" s="12"/>
      <c r="MO68" s="12"/>
      <c r="MP68" s="12"/>
      <c r="MQ68" s="12"/>
      <c r="MR68" s="12"/>
      <c r="MS68" s="12"/>
      <c r="MT68" s="12"/>
      <c r="MU68" s="12"/>
      <c r="MV68" s="12"/>
      <c r="MW68" s="12"/>
      <c r="MX68" s="12"/>
      <c r="MY68" s="12"/>
      <c r="MZ68" s="12"/>
      <c r="NA68" s="12"/>
      <c r="NB68" s="12"/>
      <c r="NC68" s="12"/>
      <c r="ND68" s="12"/>
      <c r="NE68" s="12"/>
      <c r="NF68" s="12"/>
      <c r="NG68" s="12"/>
      <c r="NH68" s="12"/>
      <c r="NI68" s="12"/>
      <c r="NJ68" s="12"/>
      <c r="NK68" s="12"/>
      <c r="NL68" s="12"/>
      <c r="NM68" s="12"/>
      <c r="NN68" s="12"/>
      <c r="NO68" s="12"/>
      <c r="NP68" s="12"/>
      <c r="NQ68" s="12"/>
      <c r="NR68" s="12"/>
      <c r="NS68" s="12"/>
      <c r="NT68" s="12"/>
      <c r="NU68" s="12"/>
      <c r="NV68" s="12"/>
      <c r="NW68" s="12"/>
      <c r="NX68" s="12"/>
      <c r="NY68" s="12"/>
      <c r="NZ68" s="12"/>
      <c r="OA68" s="12"/>
      <c r="OB68" s="12"/>
      <c r="OC68" s="12"/>
      <c r="OD68" s="12"/>
      <c r="OE68" s="12"/>
      <c r="OF68" s="12"/>
      <c r="OG68" s="12"/>
      <c r="OH68" s="12"/>
      <c r="OI68" s="12"/>
      <c r="OJ68" s="12"/>
      <c r="OK68" s="12"/>
      <c r="OL68" s="12"/>
      <c r="OM68" s="12"/>
      <c r="ON68" s="12"/>
      <c r="OO68" s="12"/>
      <c r="OP68" s="12"/>
      <c r="OQ68" s="12"/>
      <c r="OR68" s="12"/>
      <c r="OS68" s="12"/>
      <c r="OT68" s="12"/>
      <c r="OU68" s="12"/>
      <c r="OV68" s="12"/>
      <c r="OW68" s="12"/>
      <c r="OX68" s="12"/>
      <c r="OY68" s="12"/>
      <c r="OZ68" s="12"/>
      <c r="PA68" s="12"/>
      <c r="PB68" s="12"/>
      <c r="PC68" s="12"/>
      <c r="PD68" s="12"/>
      <c r="PE68" s="12"/>
      <c r="PF68" s="12"/>
      <c r="PG68" s="12"/>
      <c r="PH68" s="12"/>
      <c r="PI68" s="12"/>
      <c r="PJ68" s="12"/>
      <c r="PK68" s="12"/>
      <c r="PL68" s="12"/>
      <c r="PM68" s="12"/>
      <c r="PN68" s="12"/>
      <c r="PO68" s="12"/>
      <c r="PP68" s="12"/>
      <c r="PQ68" s="12"/>
      <c r="PR68" s="12"/>
      <c r="PS68" s="12"/>
      <c r="PT68" s="12"/>
      <c r="PU68" s="12"/>
      <c r="PV68" s="12"/>
      <c r="PW68" s="12"/>
      <c r="PX68" s="12"/>
      <c r="PY68" s="12"/>
      <c r="PZ68" s="12"/>
      <c r="QA68" s="12"/>
      <c r="QB68" s="12"/>
      <c r="QC68" s="12"/>
      <c r="QD68" s="12"/>
      <c r="QE68" s="12"/>
      <c r="QF68" s="12"/>
      <c r="QG68" s="12"/>
      <c r="QH68" s="12"/>
      <c r="QI68" s="12"/>
      <c r="QJ68" s="12"/>
      <c r="QK68" s="12"/>
      <c r="QL68" s="12"/>
      <c r="QM68" s="12"/>
      <c r="QN68" s="12"/>
      <c r="QO68" s="12"/>
      <c r="QP68" s="12"/>
      <c r="QQ68" s="12"/>
      <c r="QR68" s="12"/>
      <c r="QS68" s="12"/>
      <c r="QT68" s="12"/>
      <c r="QU68" s="12"/>
      <c r="QV68" s="12"/>
      <c r="QW68" s="12"/>
      <c r="QX68" s="12"/>
      <c r="QY68" s="12"/>
      <c r="QZ68" s="12"/>
      <c r="RA68" s="12"/>
      <c r="RB68" s="12"/>
      <c r="RC68" s="12"/>
      <c r="RD68" s="12"/>
      <c r="RE68" s="12"/>
      <c r="RF68" s="12"/>
      <c r="RG68" s="12"/>
      <c r="RH68" s="12"/>
      <c r="RI68" s="12"/>
      <c r="RJ68" s="12"/>
      <c r="RK68" s="12"/>
      <c r="RL68" s="12"/>
      <c r="RM68" s="12"/>
      <c r="RN68" s="12"/>
      <c r="RO68" s="12"/>
      <c r="RP68" s="12"/>
      <c r="RQ68" s="12"/>
      <c r="RR68" s="12"/>
      <c r="RS68" s="12"/>
      <c r="RT68" s="12"/>
      <c r="RU68" s="12"/>
      <c r="RV68" s="12"/>
      <c r="RW68" s="12"/>
      <c r="RX68" s="12"/>
      <c r="RY68" s="12"/>
      <c r="RZ68" s="12"/>
      <c r="SA68" s="12"/>
      <c r="SB68" s="12"/>
      <c r="SC68" s="12"/>
      <c r="SD68" s="12"/>
      <c r="SE68" s="12"/>
      <c r="SF68" s="12"/>
      <c r="SG68" s="12"/>
      <c r="SH68" s="12"/>
      <c r="SI68" s="12"/>
      <c r="SJ68" s="12"/>
      <c r="SK68" s="12"/>
      <c r="SL68" s="12"/>
      <c r="SM68" s="12"/>
      <c r="SN68" s="12"/>
      <c r="SO68" s="12"/>
      <c r="SP68" s="12"/>
      <c r="SQ68" s="12"/>
      <c r="SR68" s="12"/>
      <c r="SS68" s="12"/>
      <c r="ST68" s="12"/>
      <c r="SU68" s="12"/>
      <c r="SV68" s="12"/>
      <c r="SW68" s="12"/>
      <c r="SX68" s="12"/>
      <c r="SY68" s="12"/>
      <c r="SZ68" s="12"/>
      <c r="TA68" s="12"/>
      <c r="TB68" s="12"/>
      <c r="TC68" s="12"/>
      <c r="TD68" s="12"/>
      <c r="TE68" s="12"/>
      <c r="TF68" s="12"/>
      <c r="TG68" s="12"/>
      <c r="TH68" s="12"/>
      <c r="TI68" s="12"/>
      <c r="TJ68" s="12"/>
      <c r="TK68" s="12"/>
      <c r="TL68" s="12"/>
      <c r="TM68" s="12"/>
      <c r="TN68" s="12"/>
      <c r="TO68" s="12"/>
      <c r="TP68" s="12"/>
      <c r="TQ68" s="12"/>
      <c r="TR68" s="12"/>
      <c r="TS68" s="12"/>
      <c r="TT68" s="12"/>
      <c r="TU68" s="12"/>
      <c r="TV68" s="12"/>
      <c r="TW68" s="12"/>
      <c r="TX68" s="12"/>
      <c r="TY68" s="12"/>
      <c r="TZ68" s="12"/>
      <c r="UA68" s="12"/>
      <c r="UB68" s="12"/>
      <c r="UC68" s="12"/>
      <c r="UD68" s="12"/>
      <c r="UE68" s="12"/>
      <c r="UF68" s="12"/>
      <c r="UG68" s="12"/>
      <c r="UH68" s="12"/>
      <c r="UI68" s="12"/>
      <c r="UJ68" s="12"/>
      <c r="UK68" s="12"/>
      <c r="UL68" s="12"/>
      <c r="UM68" s="12"/>
      <c r="UN68" s="12"/>
      <c r="UO68" s="12"/>
      <c r="UP68" s="12"/>
      <c r="UQ68" s="12"/>
      <c r="UR68" s="12"/>
      <c r="US68" s="12"/>
      <c r="UT68" s="12"/>
      <c r="UU68" s="12"/>
      <c r="UV68" s="12"/>
      <c r="UW68" s="12"/>
      <c r="UX68" s="12"/>
      <c r="UY68" s="12"/>
      <c r="UZ68" s="12"/>
      <c r="VA68" s="12"/>
      <c r="VB68" s="12"/>
      <c r="VC68" s="12"/>
      <c r="VD68" s="12"/>
      <c r="VE68" s="12"/>
      <c r="VF68" s="12"/>
      <c r="VG68" s="12"/>
      <c r="VH68" s="12"/>
      <c r="VI68" s="12"/>
      <c r="VJ68" s="12"/>
      <c r="VK68" s="12"/>
      <c r="VL68" s="12"/>
      <c r="VM68" s="12"/>
      <c r="VN68" s="12"/>
      <c r="VO68" s="12"/>
      <c r="VP68" s="12"/>
      <c r="VQ68" s="12"/>
      <c r="VR68" s="12"/>
      <c r="VS68" s="12"/>
      <c r="VT68" s="12"/>
      <c r="VU68" s="12"/>
      <c r="VV68" s="12"/>
      <c r="VW68" s="12"/>
      <c r="VX68" s="12"/>
      <c r="VY68" s="12"/>
      <c r="VZ68" s="12"/>
      <c r="WA68" s="12"/>
      <c r="WB68" s="12"/>
      <c r="WC68" s="12"/>
      <c r="WD68" s="12"/>
      <c r="WE68" s="12"/>
      <c r="WF68" s="12"/>
      <c r="WG68" s="12"/>
      <c r="WH68" s="12"/>
      <c r="WI68" s="12"/>
      <c r="WJ68" s="12"/>
      <c r="WK68" s="12"/>
      <c r="WL68" s="12"/>
      <c r="WM68" s="12"/>
      <c r="WN68" s="12"/>
      <c r="WO68" s="12"/>
      <c r="WP68" s="12"/>
      <c r="WQ68" s="12"/>
      <c r="WR68" s="12"/>
      <c r="WS68" s="12"/>
      <c r="WT68" s="12"/>
      <c r="WU68" s="12"/>
      <c r="WV68" s="12"/>
      <c r="WW68" s="12"/>
      <c r="WX68" s="12"/>
      <c r="WY68" s="12"/>
      <c r="WZ68" s="12"/>
      <c r="XA68" s="12"/>
      <c r="XB68" s="12"/>
      <c r="XC68" s="12"/>
      <c r="XD68" s="12"/>
      <c r="XE68" s="12"/>
      <c r="XF68" s="12"/>
      <c r="XG68" s="12"/>
      <c r="XH68" s="12"/>
      <c r="XI68" s="12"/>
      <c r="XJ68" s="12"/>
      <c r="XK68" s="12"/>
      <c r="XL68" s="12"/>
      <c r="XM68" s="12"/>
      <c r="XN68" s="12"/>
      <c r="XO68" s="12"/>
      <c r="XP68" s="12"/>
      <c r="XQ68" s="12"/>
      <c r="XR68" s="12"/>
      <c r="XS68" s="12"/>
      <c r="XT68" s="12"/>
      <c r="XU68" s="12"/>
      <c r="XV68" s="12"/>
      <c r="XW68" s="12"/>
      <c r="XX68" s="12"/>
      <c r="XY68" s="12"/>
      <c r="XZ68" s="12"/>
      <c r="YA68" s="12"/>
      <c r="YB68" s="12"/>
      <c r="YC68" s="12"/>
      <c r="YD68" s="12"/>
      <c r="YE68" s="12"/>
      <c r="YF68" s="12"/>
      <c r="YG68" s="12"/>
      <c r="YH68" s="12"/>
      <c r="YI68" s="12"/>
      <c r="YJ68" s="12"/>
      <c r="YK68" s="12"/>
      <c r="YL68" s="12"/>
      <c r="YM68" s="12"/>
      <c r="YN68" s="12"/>
      <c r="YO68" s="12"/>
      <c r="YP68" s="12"/>
      <c r="YQ68" s="12"/>
      <c r="YR68" s="12"/>
      <c r="YS68" s="12"/>
      <c r="YT68" s="12"/>
      <c r="YU68" s="12"/>
      <c r="YV68" s="12"/>
      <c r="YW68" s="12"/>
      <c r="YX68" s="12"/>
      <c r="YY68" s="12"/>
      <c r="YZ68" s="12"/>
      <c r="ZA68" s="12"/>
      <c r="ZB68" s="12"/>
      <c r="ZC68" s="12"/>
      <c r="ZD68" s="12"/>
      <c r="ZE68" s="12"/>
      <c r="ZF68" s="12"/>
      <c r="ZG68" s="12"/>
      <c r="ZH68" s="12"/>
      <c r="ZI68" s="12"/>
      <c r="ZJ68" s="12"/>
      <c r="ZK68" s="12"/>
      <c r="ZL68" s="12"/>
      <c r="ZM68" s="12"/>
      <c r="ZN68" s="12"/>
      <c r="ZO68" s="12"/>
      <c r="ZP68" s="12"/>
      <c r="ZQ68" s="12"/>
      <c r="ZR68" s="12"/>
      <c r="ZS68" s="12"/>
      <c r="ZT68" s="12"/>
      <c r="ZU68" s="12"/>
      <c r="ZV68" s="12"/>
      <c r="ZW68" s="12"/>
      <c r="ZX68" s="12"/>
      <c r="ZY68" s="12"/>
      <c r="ZZ68" s="12"/>
      <c r="AAA68" s="12"/>
      <c r="AAB68" s="12"/>
      <c r="AAC68" s="12"/>
      <c r="AAD68" s="12"/>
      <c r="AAE68" s="12"/>
      <c r="AAF68" s="12"/>
      <c r="AAG68" s="12"/>
      <c r="AAH68" s="12"/>
      <c r="AAI68" s="12"/>
      <c r="AAJ68" s="12"/>
      <c r="AAK68" s="12"/>
      <c r="AAL68" s="12"/>
      <c r="AAM68" s="12"/>
      <c r="AAN68" s="12"/>
      <c r="AAO68" s="12"/>
      <c r="AAP68" s="12"/>
      <c r="AAQ68" s="12"/>
      <c r="AAR68" s="12"/>
      <c r="AAS68" s="12"/>
      <c r="AAT68" s="12"/>
      <c r="AAU68" s="12"/>
      <c r="AAV68" s="12"/>
      <c r="AAW68" s="12"/>
      <c r="AAX68" s="12"/>
      <c r="AAY68" s="12"/>
      <c r="AAZ68" s="12"/>
      <c r="ABA68" s="12"/>
      <c r="ABB68" s="12"/>
      <c r="ABC68" s="12"/>
      <c r="ABD68" s="12"/>
      <c r="ABE68" s="12"/>
      <c r="ABF68" s="12"/>
      <c r="ABG68" s="12"/>
      <c r="ABH68" s="12"/>
      <c r="ABI68" s="12"/>
      <c r="ABJ68" s="12"/>
      <c r="ABK68" s="12"/>
      <c r="ABL68" s="12"/>
      <c r="ABM68" s="12"/>
      <c r="ABN68" s="12"/>
      <c r="ABO68" s="12"/>
      <c r="ABP68" s="12"/>
      <c r="ABQ68" s="12"/>
      <c r="ABR68" s="12"/>
      <c r="ABS68" s="12"/>
      <c r="ABT68" s="12"/>
      <c r="ABU68" s="12"/>
      <c r="ABV68" s="12"/>
      <c r="ABW68" s="12"/>
      <c r="ABX68" s="12"/>
      <c r="ABY68" s="12"/>
      <c r="ABZ68" s="12"/>
      <c r="ACA68" s="12"/>
      <c r="ACB68" s="12"/>
      <c r="ACC68" s="12"/>
      <c r="ACD68" s="12"/>
      <c r="ACE68" s="12"/>
      <c r="ACF68" s="12"/>
      <c r="ACG68" s="12"/>
      <c r="ACH68" s="12"/>
      <c r="ACI68" s="12"/>
      <c r="ACJ68" s="12"/>
      <c r="ACK68" s="12"/>
      <c r="ACL68" s="12"/>
      <c r="ACM68" s="12"/>
      <c r="ACN68" s="12"/>
      <c r="ACO68" s="12"/>
      <c r="ACP68" s="12"/>
      <c r="ACQ68" s="12"/>
      <c r="ACR68" s="12"/>
      <c r="ACS68" s="12"/>
      <c r="ACT68" s="12"/>
      <c r="ACU68" s="12"/>
      <c r="ACV68" s="12"/>
      <c r="ACW68" s="12"/>
      <c r="ACX68" s="12"/>
      <c r="ACY68" s="12"/>
      <c r="ACZ68" s="12"/>
      <c r="ADA68" s="12"/>
      <c r="ADB68" s="12"/>
      <c r="ADC68" s="12"/>
      <c r="ADD68" s="12"/>
      <c r="ADE68" s="12"/>
      <c r="ADF68" s="12"/>
      <c r="ADG68" s="12"/>
      <c r="ADH68" s="12"/>
      <c r="ADI68" s="12"/>
      <c r="ADJ68" s="12"/>
      <c r="ADK68" s="12"/>
      <c r="ADL68" s="12"/>
      <c r="ADM68" s="12"/>
      <c r="ADN68" s="12"/>
      <c r="ADO68" s="12"/>
      <c r="ADP68" s="12"/>
      <c r="ADQ68" s="12"/>
      <c r="ADR68" s="12"/>
      <c r="ADS68" s="12"/>
      <c r="ADT68" s="12"/>
      <c r="ADU68" s="12"/>
      <c r="ADV68" s="12"/>
      <c r="ADW68" s="12"/>
      <c r="ADX68" s="12"/>
      <c r="ADY68" s="12"/>
      <c r="ADZ68" s="12"/>
      <c r="AEA68" s="12"/>
      <c r="AEB68" s="12"/>
      <c r="AEC68" s="12"/>
      <c r="AED68" s="12"/>
      <c r="AEE68" s="12"/>
      <c r="AEF68" s="12"/>
      <c r="AEG68" s="12"/>
      <c r="AEH68" s="12"/>
      <c r="AEI68" s="12"/>
      <c r="AEJ68" s="12"/>
      <c r="AEK68" s="12"/>
      <c r="AEL68" s="12"/>
      <c r="AEM68" s="12"/>
      <c r="AEN68" s="12"/>
      <c r="AEO68" s="12"/>
      <c r="AEP68" s="12"/>
      <c r="AEQ68" s="12"/>
      <c r="AER68" s="12"/>
      <c r="AES68" s="12"/>
      <c r="AET68" s="12"/>
      <c r="AEU68" s="12"/>
      <c r="AEV68" s="12"/>
    </row>
    <row r="69" spans="1:828" s="27" customFormat="1" ht="18" x14ac:dyDescent="0.2">
      <c r="A69" s="67"/>
      <c r="B69" s="30"/>
      <c r="C69" s="23"/>
      <c r="D69" s="29"/>
      <c r="E69" s="23"/>
      <c r="F69" s="23"/>
      <c r="G69" s="23"/>
      <c r="H69" s="30"/>
      <c r="I69" s="23"/>
      <c r="J69" s="29"/>
      <c r="K69" s="30"/>
      <c r="L69" s="23"/>
      <c r="M69" s="29"/>
      <c r="N69" s="12"/>
      <c r="O69" s="12"/>
      <c r="P69" s="68"/>
      <c r="Q69" s="68"/>
      <c r="R69" s="68"/>
      <c r="S69" s="68"/>
      <c r="T69" s="68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2"/>
      <c r="FJ69" s="12"/>
      <c r="FK69" s="12"/>
      <c r="FL69" s="12"/>
      <c r="FM69" s="12"/>
      <c r="FN69" s="12"/>
      <c r="FO69" s="12"/>
      <c r="FP69" s="12"/>
      <c r="FQ69" s="12"/>
      <c r="FR69" s="12"/>
      <c r="FS69" s="12"/>
      <c r="FT69" s="12"/>
      <c r="FU69" s="12"/>
      <c r="FV69" s="12"/>
      <c r="FW69" s="12"/>
      <c r="FX69" s="12"/>
      <c r="FY69" s="12"/>
      <c r="FZ69" s="12"/>
      <c r="GA69" s="12"/>
      <c r="GB69" s="12"/>
      <c r="GC69" s="12"/>
      <c r="GD69" s="12"/>
      <c r="GE69" s="12"/>
      <c r="GF69" s="12"/>
      <c r="GG69" s="12"/>
      <c r="GH69" s="12"/>
      <c r="GI69" s="12"/>
      <c r="GJ69" s="12"/>
      <c r="GK69" s="12"/>
      <c r="GL69" s="12"/>
      <c r="GM69" s="12"/>
      <c r="GN69" s="12"/>
      <c r="GO69" s="12"/>
      <c r="GP69" s="12"/>
      <c r="GQ69" s="12"/>
      <c r="GR69" s="12"/>
      <c r="GS69" s="12"/>
      <c r="GT69" s="12"/>
      <c r="GU69" s="12"/>
      <c r="GV69" s="12"/>
      <c r="GW69" s="12"/>
      <c r="GX69" s="12"/>
      <c r="GY69" s="12"/>
      <c r="GZ69" s="12"/>
      <c r="HA69" s="12"/>
      <c r="HB69" s="12"/>
      <c r="HC69" s="12"/>
      <c r="HD69" s="12"/>
      <c r="HE69" s="12"/>
      <c r="HF69" s="12"/>
      <c r="HG69" s="12"/>
      <c r="HH69" s="12"/>
      <c r="HI69" s="12"/>
      <c r="HJ69" s="12"/>
      <c r="HK69" s="12"/>
      <c r="HL69" s="12"/>
      <c r="HM69" s="12"/>
      <c r="HN69" s="12"/>
      <c r="HO69" s="12"/>
      <c r="HP69" s="12"/>
      <c r="HQ69" s="12"/>
      <c r="HR69" s="12"/>
      <c r="HS69" s="12"/>
      <c r="HT69" s="12"/>
      <c r="HU69" s="12"/>
      <c r="HV69" s="12"/>
      <c r="HW69" s="12"/>
      <c r="HX69" s="12"/>
      <c r="HY69" s="12"/>
      <c r="HZ69" s="12"/>
      <c r="IA69" s="12"/>
      <c r="IB69" s="12"/>
      <c r="IC69" s="12"/>
      <c r="ID69" s="12"/>
      <c r="IE69" s="12"/>
      <c r="IF69" s="12"/>
      <c r="IG69" s="12"/>
      <c r="IH69" s="12"/>
      <c r="II69" s="12"/>
      <c r="IJ69" s="12"/>
      <c r="IK69" s="12"/>
      <c r="IL69" s="12"/>
      <c r="IM69" s="12"/>
      <c r="IN69" s="12"/>
      <c r="IO69" s="12"/>
      <c r="IP69" s="12"/>
      <c r="IQ69" s="12"/>
      <c r="IR69" s="12"/>
      <c r="IS69" s="12"/>
      <c r="IT69" s="12"/>
      <c r="IU69" s="12"/>
      <c r="IV69" s="12"/>
      <c r="IW69" s="12"/>
      <c r="IX69" s="12"/>
      <c r="IY69" s="12"/>
      <c r="IZ69" s="12"/>
      <c r="JA69" s="12"/>
      <c r="JB69" s="12"/>
      <c r="JC69" s="12"/>
      <c r="JD69" s="12"/>
      <c r="JE69" s="12"/>
      <c r="JF69" s="12"/>
      <c r="JG69" s="12"/>
      <c r="JH69" s="12"/>
      <c r="JI69" s="12"/>
      <c r="JJ69" s="12"/>
      <c r="JK69" s="12"/>
      <c r="JL69" s="12"/>
      <c r="JM69" s="12"/>
      <c r="JN69" s="12"/>
      <c r="JO69" s="12"/>
      <c r="JP69" s="12"/>
      <c r="JQ69" s="12"/>
      <c r="JR69" s="12"/>
      <c r="JS69" s="12"/>
      <c r="JT69" s="12"/>
      <c r="JU69" s="12"/>
      <c r="JV69" s="12"/>
      <c r="JW69" s="12"/>
      <c r="JX69" s="12"/>
      <c r="JY69" s="12"/>
      <c r="JZ69" s="12"/>
      <c r="KA69" s="12"/>
      <c r="KB69" s="12"/>
      <c r="KC69" s="12"/>
      <c r="KD69" s="12"/>
      <c r="KE69" s="12"/>
      <c r="KF69" s="12"/>
      <c r="KG69" s="12"/>
      <c r="KH69" s="12"/>
      <c r="KI69" s="12"/>
      <c r="KJ69" s="12"/>
      <c r="KK69" s="12"/>
      <c r="KL69" s="12"/>
      <c r="KM69" s="12"/>
      <c r="KN69" s="12"/>
      <c r="KO69" s="12"/>
      <c r="KP69" s="12"/>
      <c r="KQ69" s="12"/>
      <c r="KR69" s="12"/>
      <c r="KS69" s="12"/>
      <c r="KT69" s="12"/>
      <c r="KU69" s="12"/>
      <c r="KV69" s="12"/>
      <c r="KW69" s="12"/>
      <c r="KX69" s="12"/>
      <c r="KY69" s="12"/>
      <c r="KZ69" s="12"/>
      <c r="LA69" s="12"/>
      <c r="LB69" s="12"/>
      <c r="LC69" s="12"/>
      <c r="LD69" s="12"/>
      <c r="LE69" s="12"/>
      <c r="LF69" s="12"/>
      <c r="LG69" s="12"/>
      <c r="LH69" s="12"/>
      <c r="LI69" s="12"/>
      <c r="LJ69" s="12"/>
      <c r="LK69" s="12"/>
      <c r="LL69" s="12"/>
      <c r="LM69" s="12"/>
      <c r="LN69" s="12"/>
      <c r="LO69" s="12"/>
      <c r="LP69" s="12"/>
      <c r="LQ69" s="12"/>
      <c r="LR69" s="12"/>
      <c r="LS69" s="12"/>
      <c r="LT69" s="12"/>
      <c r="LU69" s="12"/>
      <c r="LV69" s="12"/>
      <c r="LW69" s="12"/>
      <c r="LX69" s="12"/>
      <c r="LY69" s="12"/>
      <c r="LZ69" s="12"/>
      <c r="MA69" s="12"/>
      <c r="MB69" s="12"/>
      <c r="MC69" s="12"/>
      <c r="MD69" s="12"/>
      <c r="ME69" s="12"/>
      <c r="MF69" s="12"/>
      <c r="MG69" s="12"/>
      <c r="MH69" s="12"/>
      <c r="MI69" s="12"/>
      <c r="MJ69" s="12"/>
      <c r="MK69" s="12"/>
      <c r="ML69" s="12"/>
      <c r="MM69" s="12"/>
      <c r="MN69" s="12"/>
      <c r="MO69" s="12"/>
      <c r="MP69" s="12"/>
      <c r="MQ69" s="12"/>
      <c r="MR69" s="12"/>
      <c r="MS69" s="12"/>
      <c r="MT69" s="12"/>
      <c r="MU69" s="12"/>
      <c r="MV69" s="12"/>
      <c r="MW69" s="12"/>
      <c r="MX69" s="12"/>
      <c r="MY69" s="12"/>
      <c r="MZ69" s="12"/>
      <c r="NA69" s="12"/>
      <c r="NB69" s="12"/>
      <c r="NC69" s="12"/>
      <c r="ND69" s="12"/>
      <c r="NE69" s="12"/>
      <c r="NF69" s="12"/>
      <c r="NG69" s="12"/>
      <c r="NH69" s="12"/>
      <c r="NI69" s="12"/>
      <c r="NJ69" s="12"/>
      <c r="NK69" s="12"/>
      <c r="NL69" s="12"/>
      <c r="NM69" s="12"/>
      <c r="NN69" s="12"/>
      <c r="NO69" s="12"/>
      <c r="NP69" s="12"/>
      <c r="NQ69" s="12"/>
      <c r="NR69" s="12"/>
      <c r="NS69" s="12"/>
      <c r="NT69" s="12"/>
      <c r="NU69" s="12"/>
      <c r="NV69" s="12"/>
      <c r="NW69" s="12"/>
      <c r="NX69" s="12"/>
      <c r="NY69" s="12"/>
      <c r="NZ69" s="12"/>
      <c r="OA69" s="12"/>
      <c r="OB69" s="12"/>
      <c r="OC69" s="12"/>
      <c r="OD69" s="12"/>
      <c r="OE69" s="12"/>
      <c r="OF69" s="12"/>
      <c r="OG69" s="12"/>
      <c r="OH69" s="12"/>
      <c r="OI69" s="12"/>
      <c r="OJ69" s="12"/>
      <c r="OK69" s="12"/>
      <c r="OL69" s="12"/>
      <c r="OM69" s="12"/>
      <c r="ON69" s="12"/>
      <c r="OO69" s="12"/>
      <c r="OP69" s="12"/>
      <c r="OQ69" s="12"/>
      <c r="OR69" s="12"/>
      <c r="OS69" s="12"/>
      <c r="OT69" s="12"/>
      <c r="OU69" s="12"/>
      <c r="OV69" s="12"/>
      <c r="OW69" s="12"/>
      <c r="OX69" s="12"/>
      <c r="OY69" s="12"/>
      <c r="OZ69" s="12"/>
      <c r="PA69" s="12"/>
      <c r="PB69" s="12"/>
      <c r="PC69" s="12"/>
      <c r="PD69" s="12"/>
      <c r="PE69" s="12"/>
      <c r="PF69" s="12"/>
      <c r="PG69" s="12"/>
      <c r="PH69" s="12"/>
      <c r="PI69" s="12"/>
      <c r="PJ69" s="12"/>
      <c r="PK69" s="12"/>
      <c r="PL69" s="12"/>
      <c r="PM69" s="12"/>
      <c r="PN69" s="12"/>
      <c r="PO69" s="12"/>
      <c r="PP69" s="12"/>
      <c r="PQ69" s="12"/>
      <c r="PR69" s="12"/>
      <c r="PS69" s="12"/>
      <c r="PT69" s="12"/>
      <c r="PU69" s="12"/>
      <c r="PV69" s="12"/>
      <c r="PW69" s="12"/>
      <c r="PX69" s="12"/>
      <c r="PY69" s="12"/>
      <c r="PZ69" s="12"/>
      <c r="QA69" s="12"/>
      <c r="QB69" s="12"/>
      <c r="QC69" s="12"/>
      <c r="QD69" s="12"/>
      <c r="QE69" s="12"/>
      <c r="QF69" s="12"/>
      <c r="QG69" s="12"/>
      <c r="QH69" s="12"/>
      <c r="QI69" s="12"/>
      <c r="QJ69" s="12"/>
      <c r="QK69" s="12"/>
      <c r="QL69" s="12"/>
      <c r="QM69" s="12"/>
      <c r="QN69" s="12"/>
      <c r="QO69" s="12"/>
      <c r="QP69" s="12"/>
      <c r="QQ69" s="12"/>
      <c r="QR69" s="12"/>
      <c r="QS69" s="12"/>
      <c r="QT69" s="12"/>
      <c r="QU69" s="12"/>
      <c r="QV69" s="12"/>
      <c r="QW69" s="12"/>
      <c r="QX69" s="12"/>
      <c r="QY69" s="12"/>
      <c r="QZ69" s="12"/>
      <c r="RA69" s="12"/>
      <c r="RB69" s="12"/>
      <c r="RC69" s="12"/>
      <c r="RD69" s="12"/>
      <c r="RE69" s="12"/>
      <c r="RF69" s="12"/>
      <c r="RG69" s="12"/>
      <c r="RH69" s="12"/>
      <c r="RI69" s="12"/>
      <c r="RJ69" s="12"/>
      <c r="RK69" s="12"/>
      <c r="RL69" s="12"/>
      <c r="RM69" s="12"/>
      <c r="RN69" s="12"/>
      <c r="RO69" s="12"/>
      <c r="RP69" s="12"/>
      <c r="RQ69" s="12"/>
      <c r="RR69" s="12"/>
      <c r="RS69" s="12"/>
      <c r="RT69" s="12"/>
      <c r="RU69" s="12"/>
      <c r="RV69" s="12"/>
      <c r="RW69" s="12"/>
      <c r="RX69" s="12"/>
      <c r="RY69" s="12"/>
      <c r="RZ69" s="12"/>
      <c r="SA69" s="12"/>
      <c r="SB69" s="12"/>
      <c r="SC69" s="12"/>
      <c r="SD69" s="12"/>
      <c r="SE69" s="12"/>
      <c r="SF69" s="12"/>
      <c r="SG69" s="12"/>
      <c r="SH69" s="12"/>
      <c r="SI69" s="12"/>
      <c r="SJ69" s="12"/>
      <c r="SK69" s="12"/>
      <c r="SL69" s="12"/>
      <c r="SM69" s="12"/>
      <c r="SN69" s="12"/>
      <c r="SO69" s="12"/>
      <c r="SP69" s="12"/>
      <c r="SQ69" s="12"/>
      <c r="SR69" s="12"/>
      <c r="SS69" s="12"/>
      <c r="ST69" s="12"/>
      <c r="SU69" s="12"/>
      <c r="SV69" s="12"/>
      <c r="SW69" s="12"/>
      <c r="SX69" s="12"/>
      <c r="SY69" s="12"/>
      <c r="SZ69" s="12"/>
      <c r="TA69" s="12"/>
      <c r="TB69" s="12"/>
      <c r="TC69" s="12"/>
      <c r="TD69" s="12"/>
      <c r="TE69" s="12"/>
      <c r="TF69" s="12"/>
      <c r="TG69" s="12"/>
      <c r="TH69" s="12"/>
      <c r="TI69" s="12"/>
      <c r="TJ69" s="12"/>
      <c r="TK69" s="12"/>
      <c r="TL69" s="12"/>
      <c r="TM69" s="12"/>
      <c r="TN69" s="12"/>
      <c r="TO69" s="12"/>
      <c r="TP69" s="12"/>
      <c r="TQ69" s="12"/>
      <c r="TR69" s="12"/>
      <c r="TS69" s="12"/>
      <c r="TT69" s="12"/>
      <c r="TU69" s="12"/>
      <c r="TV69" s="12"/>
      <c r="TW69" s="12"/>
      <c r="TX69" s="12"/>
      <c r="TY69" s="12"/>
      <c r="TZ69" s="12"/>
      <c r="UA69" s="12"/>
      <c r="UB69" s="12"/>
      <c r="UC69" s="12"/>
      <c r="UD69" s="12"/>
      <c r="UE69" s="12"/>
      <c r="UF69" s="12"/>
      <c r="UG69" s="12"/>
      <c r="UH69" s="12"/>
      <c r="UI69" s="12"/>
      <c r="UJ69" s="12"/>
      <c r="UK69" s="12"/>
      <c r="UL69" s="12"/>
      <c r="UM69" s="12"/>
      <c r="UN69" s="12"/>
      <c r="UO69" s="12"/>
      <c r="UP69" s="12"/>
      <c r="UQ69" s="12"/>
      <c r="UR69" s="12"/>
      <c r="US69" s="12"/>
      <c r="UT69" s="12"/>
      <c r="UU69" s="12"/>
      <c r="UV69" s="12"/>
      <c r="UW69" s="12"/>
      <c r="UX69" s="12"/>
      <c r="UY69" s="12"/>
      <c r="UZ69" s="12"/>
      <c r="VA69" s="12"/>
      <c r="VB69" s="12"/>
      <c r="VC69" s="12"/>
      <c r="VD69" s="12"/>
      <c r="VE69" s="12"/>
      <c r="VF69" s="12"/>
      <c r="VG69" s="12"/>
      <c r="VH69" s="12"/>
      <c r="VI69" s="12"/>
      <c r="VJ69" s="12"/>
      <c r="VK69" s="12"/>
      <c r="VL69" s="12"/>
      <c r="VM69" s="12"/>
      <c r="VN69" s="12"/>
      <c r="VO69" s="12"/>
      <c r="VP69" s="12"/>
      <c r="VQ69" s="12"/>
      <c r="VR69" s="12"/>
      <c r="VS69" s="12"/>
      <c r="VT69" s="12"/>
      <c r="VU69" s="12"/>
      <c r="VV69" s="12"/>
      <c r="VW69" s="12"/>
      <c r="VX69" s="12"/>
      <c r="VY69" s="12"/>
      <c r="VZ69" s="12"/>
      <c r="WA69" s="12"/>
      <c r="WB69" s="12"/>
      <c r="WC69" s="12"/>
      <c r="WD69" s="12"/>
      <c r="WE69" s="12"/>
      <c r="WF69" s="12"/>
      <c r="WG69" s="12"/>
      <c r="WH69" s="12"/>
      <c r="WI69" s="12"/>
      <c r="WJ69" s="12"/>
      <c r="WK69" s="12"/>
      <c r="WL69" s="12"/>
      <c r="WM69" s="12"/>
      <c r="WN69" s="12"/>
      <c r="WO69" s="12"/>
      <c r="WP69" s="12"/>
      <c r="WQ69" s="12"/>
      <c r="WR69" s="12"/>
      <c r="WS69" s="12"/>
      <c r="WT69" s="12"/>
      <c r="WU69" s="12"/>
      <c r="WV69" s="12"/>
      <c r="WW69" s="12"/>
      <c r="WX69" s="12"/>
      <c r="WY69" s="12"/>
      <c r="WZ69" s="12"/>
      <c r="XA69" s="12"/>
      <c r="XB69" s="12"/>
      <c r="XC69" s="12"/>
      <c r="XD69" s="12"/>
      <c r="XE69" s="12"/>
      <c r="XF69" s="12"/>
      <c r="XG69" s="12"/>
      <c r="XH69" s="12"/>
      <c r="XI69" s="12"/>
      <c r="XJ69" s="12"/>
      <c r="XK69" s="12"/>
      <c r="XL69" s="12"/>
      <c r="XM69" s="12"/>
      <c r="XN69" s="12"/>
      <c r="XO69" s="12"/>
      <c r="XP69" s="12"/>
      <c r="XQ69" s="12"/>
      <c r="XR69" s="12"/>
      <c r="XS69" s="12"/>
      <c r="XT69" s="12"/>
      <c r="XU69" s="12"/>
      <c r="XV69" s="12"/>
      <c r="XW69" s="12"/>
      <c r="XX69" s="12"/>
      <c r="XY69" s="12"/>
      <c r="XZ69" s="12"/>
      <c r="YA69" s="12"/>
      <c r="YB69" s="12"/>
      <c r="YC69" s="12"/>
      <c r="YD69" s="12"/>
      <c r="YE69" s="12"/>
      <c r="YF69" s="12"/>
      <c r="YG69" s="12"/>
      <c r="YH69" s="12"/>
      <c r="YI69" s="12"/>
      <c r="YJ69" s="12"/>
      <c r="YK69" s="12"/>
      <c r="YL69" s="12"/>
      <c r="YM69" s="12"/>
      <c r="YN69" s="12"/>
      <c r="YO69" s="12"/>
      <c r="YP69" s="12"/>
      <c r="YQ69" s="12"/>
      <c r="YR69" s="12"/>
      <c r="YS69" s="12"/>
      <c r="YT69" s="12"/>
      <c r="YU69" s="12"/>
      <c r="YV69" s="12"/>
      <c r="YW69" s="12"/>
      <c r="YX69" s="12"/>
      <c r="YY69" s="12"/>
      <c r="YZ69" s="12"/>
      <c r="ZA69" s="12"/>
      <c r="ZB69" s="12"/>
      <c r="ZC69" s="12"/>
      <c r="ZD69" s="12"/>
      <c r="ZE69" s="12"/>
      <c r="ZF69" s="12"/>
      <c r="ZG69" s="12"/>
      <c r="ZH69" s="12"/>
      <c r="ZI69" s="12"/>
      <c r="ZJ69" s="12"/>
      <c r="ZK69" s="12"/>
      <c r="ZL69" s="12"/>
      <c r="ZM69" s="12"/>
      <c r="ZN69" s="12"/>
      <c r="ZO69" s="12"/>
      <c r="ZP69" s="12"/>
      <c r="ZQ69" s="12"/>
      <c r="ZR69" s="12"/>
      <c r="ZS69" s="12"/>
      <c r="ZT69" s="12"/>
      <c r="ZU69" s="12"/>
      <c r="ZV69" s="12"/>
      <c r="ZW69" s="12"/>
      <c r="ZX69" s="12"/>
      <c r="ZY69" s="12"/>
      <c r="ZZ69" s="12"/>
      <c r="AAA69" s="12"/>
      <c r="AAB69" s="12"/>
      <c r="AAC69" s="12"/>
      <c r="AAD69" s="12"/>
      <c r="AAE69" s="12"/>
      <c r="AAF69" s="12"/>
      <c r="AAG69" s="12"/>
      <c r="AAH69" s="12"/>
      <c r="AAI69" s="12"/>
      <c r="AAJ69" s="12"/>
      <c r="AAK69" s="12"/>
      <c r="AAL69" s="12"/>
      <c r="AAM69" s="12"/>
      <c r="AAN69" s="12"/>
      <c r="AAO69" s="12"/>
      <c r="AAP69" s="12"/>
      <c r="AAQ69" s="12"/>
      <c r="AAR69" s="12"/>
      <c r="AAS69" s="12"/>
      <c r="AAT69" s="12"/>
      <c r="AAU69" s="12"/>
      <c r="AAV69" s="12"/>
      <c r="AAW69" s="12"/>
      <c r="AAX69" s="12"/>
      <c r="AAY69" s="12"/>
      <c r="AAZ69" s="12"/>
      <c r="ABA69" s="12"/>
      <c r="ABB69" s="12"/>
      <c r="ABC69" s="12"/>
      <c r="ABD69" s="12"/>
      <c r="ABE69" s="12"/>
      <c r="ABF69" s="12"/>
      <c r="ABG69" s="12"/>
      <c r="ABH69" s="12"/>
      <c r="ABI69" s="12"/>
      <c r="ABJ69" s="12"/>
      <c r="ABK69" s="12"/>
      <c r="ABL69" s="12"/>
      <c r="ABM69" s="12"/>
      <c r="ABN69" s="12"/>
      <c r="ABO69" s="12"/>
      <c r="ABP69" s="12"/>
      <c r="ABQ69" s="12"/>
      <c r="ABR69" s="12"/>
      <c r="ABS69" s="12"/>
      <c r="ABT69" s="12"/>
      <c r="ABU69" s="12"/>
      <c r="ABV69" s="12"/>
      <c r="ABW69" s="12"/>
      <c r="ABX69" s="12"/>
      <c r="ABY69" s="12"/>
      <c r="ABZ69" s="12"/>
      <c r="ACA69" s="12"/>
      <c r="ACB69" s="12"/>
      <c r="ACC69" s="12"/>
      <c r="ACD69" s="12"/>
      <c r="ACE69" s="12"/>
      <c r="ACF69" s="12"/>
      <c r="ACG69" s="12"/>
      <c r="ACH69" s="12"/>
      <c r="ACI69" s="12"/>
      <c r="ACJ69" s="12"/>
      <c r="ACK69" s="12"/>
      <c r="ACL69" s="12"/>
      <c r="ACM69" s="12"/>
      <c r="ACN69" s="12"/>
      <c r="ACO69" s="12"/>
      <c r="ACP69" s="12"/>
      <c r="ACQ69" s="12"/>
      <c r="ACR69" s="12"/>
      <c r="ACS69" s="12"/>
      <c r="ACT69" s="12"/>
      <c r="ACU69" s="12"/>
      <c r="ACV69" s="12"/>
      <c r="ACW69" s="12"/>
      <c r="ACX69" s="12"/>
      <c r="ACY69" s="12"/>
      <c r="ACZ69" s="12"/>
      <c r="ADA69" s="12"/>
      <c r="ADB69" s="12"/>
      <c r="ADC69" s="12"/>
      <c r="ADD69" s="12"/>
      <c r="ADE69" s="12"/>
      <c r="ADF69" s="12"/>
      <c r="ADG69" s="12"/>
      <c r="ADH69" s="12"/>
      <c r="ADI69" s="12"/>
      <c r="ADJ69" s="12"/>
      <c r="ADK69" s="12"/>
      <c r="ADL69" s="12"/>
      <c r="ADM69" s="12"/>
      <c r="ADN69" s="12"/>
      <c r="ADO69" s="12"/>
      <c r="ADP69" s="12"/>
      <c r="ADQ69" s="12"/>
      <c r="ADR69" s="12"/>
      <c r="ADS69" s="12"/>
      <c r="ADT69" s="12"/>
      <c r="ADU69" s="12"/>
      <c r="ADV69" s="12"/>
      <c r="ADW69" s="12"/>
      <c r="ADX69" s="12"/>
      <c r="ADY69" s="12"/>
      <c r="ADZ69" s="12"/>
      <c r="AEA69" s="12"/>
      <c r="AEB69" s="12"/>
      <c r="AEC69" s="12"/>
      <c r="AED69" s="12"/>
      <c r="AEE69" s="12"/>
      <c r="AEF69" s="12"/>
      <c r="AEG69" s="12"/>
      <c r="AEH69" s="12"/>
      <c r="AEI69" s="12"/>
      <c r="AEJ69" s="12"/>
      <c r="AEK69" s="12"/>
      <c r="AEL69" s="12"/>
      <c r="AEM69" s="12"/>
      <c r="AEN69" s="12"/>
      <c r="AEO69" s="12"/>
      <c r="AEP69" s="12"/>
      <c r="AEQ69" s="12"/>
      <c r="AER69" s="12"/>
      <c r="AES69" s="12"/>
      <c r="AET69" s="12"/>
      <c r="AEU69" s="12"/>
      <c r="AEV69" s="12"/>
    </row>
    <row r="70" spans="1:828" s="27" customFormat="1" ht="19" thickBot="1" x14ac:dyDescent="0.25">
      <c r="A70" s="69"/>
      <c r="B70" s="42"/>
      <c r="C70" s="40"/>
      <c r="D70" s="41"/>
      <c r="E70" s="40"/>
      <c r="F70" s="40"/>
      <c r="G70" s="40"/>
      <c r="H70" s="42"/>
      <c r="I70" s="40"/>
      <c r="J70" s="41"/>
      <c r="K70" s="42"/>
      <c r="L70" s="40"/>
      <c r="M70" s="41"/>
      <c r="N70" s="12"/>
      <c r="O70" s="12"/>
      <c r="P70" s="68"/>
      <c r="Q70" s="68"/>
      <c r="R70" s="68"/>
      <c r="S70" s="68"/>
      <c r="T70" s="68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2"/>
      <c r="FJ70" s="12"/>
      <c r="FK70" s="12"/>
      <c r="FL70" s="12"/>
      <c r="FM70" s="12"/>
      <c r="FN70" s="12"/>
      <c r="FO70" s="12"/>
      <c r="FP70" s="12"/>
      <c r="FQ70" s="12"/>
      <c r="FR70" s="12"/>
      <c r="FS70" s="12"/>
      <c r="FT70" s="12"/>
      <c r="FU70" s="12"/>
      <c r="FV70" s="12"/>
      <c r="FW70" s="12"/>
      <c r="FX70" s="12"/>
      <c r="FY70" s="12"/>
      <c r="FZ70" s="12"/>
      <c r="GA70" s="12"/>
      <c r="GB70" s="12"/>
      <c r="GC70" s="12"/>
      <c r="GD70" s="12"/>
      <c r="GE70" s="12"/>
      <c r="GF70" s="12"/>
      <c r="GG70" s="12"/>
      <c r="GH70" s="12"/>
      <c r="GI70" s="12"/>
      <c r="GJ70" s="12"/>
      <c r="GK70" s="12"/>
      <c r="GL70" s="12"/>
      <c r="GM70" s="12"/>
      <c r="GN70" s="12"/>
      <c r="GO70" s="12"/>
      <c r="GP70" s="12"/>
      <c r="GQ70" s="12"/>
      <c r="GR70" s="12"/>
      <c r="GS70" s="12"/>
      <c r="GT70" s="12"/>
      <c r="GU70" s="12"/>
      <c r="GV70" s="12"/>
      <c r="GW70" s="12"/>
      <c r="GX70" s="12"/>
      <c r="GY70" s="12"/>
      <c r="GZ70" s="12"/>
      <c r="HA70" s="12"/>
      <c r="HB70" s="12"/>
      <c r="HC70" s="12"/>
      <c r="HD70" s="12"/>
      <c r="HE70" s="12"/>
      <c r="HF70" s="12"/>
      <c r="HG70" s="12"/>
      <c r="HH70" s="12"/>
      <c r="HI70" s="12"/>
      <c r="HJ70" s="12"/>
      <c r="HK70" s="12"/>
      <c r="HL70" s="12"/>
      <c r="HM70" s="12"/>
      <c r="HN70" s="12"/>
      <c r="HO70" s="12"/>
      <c r="HP70" s="12"/>
      <c r="HQ70" s="12"/>
      <c r="HR70" s="12"/>
      <c r="HS70" s="12"/>
      <c r="HT70" s="12"/>
      <c r="HU70" s="12"/>
      <c r="HV70" s="12"/>
      <c r="HW70" s="12"/>
      <c r="HX70" s="12"/>
      <c r="HY70" s="12"/>
      <c r="HZ70" s="12"/>
      <c r="IA70" s="12"/>
      <c r="IB70" s="12"/>
      <c r="IC70" s="12"/>
      <c r="ID70" s="12"/>
      <c r="IE70" s="12"/>
      <c r="IF70" s="12"/>
      <c r="IG70" s="12"/>
      <c r="IH70" s="12"/>
      <c r="II70" s="12"/>
      <c r="IJ70" s="12"/>
      <c r="IK70" s="12"/>
      <c r="IL70" s="12"/>
      <c r="IM70" s="12"/>
      <c r="IN70" s="12"/>
      <c r="IO70" s="12"/>
      <c r="IP70" s="12"/>
      <c r="IQ70" s="12"/>
      <c r="IR70" s="12"/>
      <c r="IS70" s="12"/>
      <c r="IT70" s="12"/>
      <c r="IU70" s="12"/>
      <c r="IV70" s="12"/>
      <c r="IW70" s="12"/>
      <c r="IX70" s="12"/>
      <c r="IY70" s="12"/>
      <c r="IZ70" s="12"/>
      <c r="JA70" s="12"/>
      <c r="JB70" s="12"/>
      <c r="JC70" s="12"/>
      <c r="JD70" s="12"/>
      <c r="JE70" s="12"/>
      <c r="JF70" s="12"/>
      <c r="JG70" s="12"/>
      <c r="JH70" s="12"/>
      <c r="JI70" s="12"/>
      <c r="JJ70" s="12"/>
      <c r="JK70" s="12"/>
      <c r="JL70" s="12"/>
      <c r="JM70" s="12"/>
      <c r="JN70" s="12"/>
      <c r="JO70" s="12"/>
      <c r="JP70" s="12"/>
      <c r="JQ70" s="12"/>
      <c r="JR70" s="12"/>
      <c r="JS70" s="12"/>
      <c r="JT70" s="12"/>
      <c r="JU70" s="12"/>
      <c r="JV70" s="12"/>
      <c r="JW70" s="12"/>
      <c r="JX70" s="12"/>
      <c r="JY70" s="12"/>
      <c r="JZ70" s="12"/>
      <c r="KA70" s="12"/>
      <c r="KB70" s="12"/>
      <c r="KC70" s="12"/>
      <c r="KD70" s="12"/>
      <c r="KE70" s="12"/>
      <c r="KF70" s="12"/>
      <c r="KG70" s="12"/>
      <c r="KH70" s="12"/>
      <c r="KI70" s="12"/>
      <c r="KJ70" s="12"/>
      <c r="KK70" s="12"/>
      <c r="KL70" s="12"/>
      <c r="KM70" s="12"/>
      <c r="KN70" s="12"/>
      <c r="KO70" s="12"/>
      <c r="KP70" s="12"/>
      <c r="KQ70" s="12"/>
      <c r="KR70" s="12"/>
      <c r="KS70" s="12"/>
      <c r="KT70" s="12"/>
      <c r="KU70" s="12"/>
      <c r="KV70" s="12"/>
      <c r="KW70" s="12"/>
      <c r="KX70" s="12"/>
      <c r="KY70" s="12"/>
      <c r="KZ70" s="12"/>
      <c r="LA70" s="12"/>
      <c r="LB70" s="12"/>
      <c r="LC70" s="12"/>
      <c r="LD70" s="12"/>
      <c r="LE70" s="12"/>
      <c r="LF70" s="12"/>
      <c r="LG70" s="12"/>
      <c r="LH70" s="12"/>
      <c r="LI70" s="12"/>
      <c r="LJ70" s="12"/>
      <c r="LK70" s="12"/>
      <c r="LL70" s="12"/>
      <c r="LM70" s="12"/>
      <c r="LN70" s="12"/>
      <c r="LO70" s="12"/>
      <c r="LP70" s="12"/>
      <c r="LQ70" s="12"/>
      <c r="LR70" s="12"/>
      <c r="LS70" s="12"/>
      <c r="LT70" s="12"/>
      <c r="LU70" s="12"/>
      <c r="LV70" s="12"/>
      <c r="LW70" s="12"/>
      <c r="LX70" s="12"/>
      <c r="LY70" s="12"/>
      <c r="LZ70" s="12"/>
      <c r="MA70" s="12"/>
      <c r="MB70" s="12"/>
      <c r="MC70" s="12"/>
      <c r="MD70" s="12"/>
      <c r="ME70" s="12"/>
      <c r="MF70" s="12"/>
      <c r="MG70" s="12"/>
      <c r="MH70" s="12"/>
      <c r="MI70" s="12"/>
      <c r="MJ70" s="12"/>
      <c r="MK70" s="12"/>
      <c r="ML70" s="12"/>
      <c r="MM70" s="12"/>
      <c r="MN70" s="12"/>
      <c r="MO70" s="12"/>
      <c r="MP70" s="12"/>
      <c r="MQ70" s="12"/>
      <c r="MR70" s="12"/>
      <c r="MS70" s="12"/>
      <c r="MT70" s="12"/>
      <c r="MU70" s="12"/>
      <c r="MV70" s="12"/>
      <c r="MW70" s="12"/>
      <c r="MX70" s="12"/>
      <c r="MY70" s="12"/>
      <c r="MZ70" s="12"/>
      <c r="NA70" s="12"/>
      <c r="NB70" s="12"/>
      <c r="NC70" s="12"/>
      <c r="ND70" s="12"/>
      <c r="NE70" s="12"/>
      <c r="NF70" s="12"/>
      <c r="NG70" s="12"/>
      <c r="NH70" s="12"/>
      <c r="NI70" s="12"/>
      <c r="NJ70" s="12"/>
      <c r="NK70" s="12"/>
      <c r="NL70" s="12"/>
      <c r="NM70" s="12"/>
      <c r="NN70" s="12"/>
      <c r="NO70" s="12"/>
      <c r="NP70" s="12"/>
      <c r="NQ70" s="12"/>
      <c r="NR70" s="12"/>
      <c r="NS70" s="12"/>
      <c r="NT70" s="12"/>
      <c r="NU70" s="12"/>
      <c r="NV70" s="12"/>
      <c r="NW70" s="12"/>
      <c r="NX70" s="12"/>
      <c r="NY70" s="12"/>
      <c r="NZ70" s="12"/>
      <c r="OA70" s="12"/>
      <c r="OB70" s="12"/>
      <c r="OC70" s="12"/>
      <c r="OD70" s="12"/>
      <c r="OE70" s="12"/>
      <c r="OF70" s="12"/>
      <c r="OG70" s="12"/>
      <c r="OH70" s="12"/>
      <c r="OI70" s="12"/>
      <c r="OJ70" s="12"/>
      <c r="OK70" s="12"/>
      <c r="OL70" s="12"/>
      <c r="OM70" s="12"/>
      <c r="ON70" s="12"/>
      <c r="OO70" s="12"/>
      <c r="OP70" s="12"/>
      <c r="OQ70" s="12"/>
      <c r="OR70" s="12"/>
      <c r="OS70" s="12"/>
      <c r="OT70" s="12"/>
      <c r="OU70" s="12"/>
      <c r="OV70" s="12"/>
      <c r="OW70" s="12"/>
      <c r="OX70" s="12"/>
      <c r="OY70" s="12"/>
      <c r="OZ70" s="12"/>
      <c r="PA70" s="12"/>
      <c r="PB70" s="12"/>
      <c r="PC70" s="12"/>
      <c r="PD70" s="12"/>
      <c r="PE70" s="12"/>
      <c r="PF70" s="12"/>
      <c r="PG70" s="12"/>
      <c r="PH70" s="12"/>
      <c r="PI70" s="12"/>
      <c r="PJ70" s="12"/>
      <c r="PK70" s="12"/>
      <c r="PL70" s="12"/>
      <c r="PM70" s="12"/>
      <c r="PN70" s="12"/>
      <c r="PO70" s="12"/>
      <c r="PP70" s="12"/>
      <c r="PQ70" s="12"/>
      <c r="PR70" s="12"/>
      <c r="PS70" s="12"/>
      <c r="PT70" s="12"/>
      <c r="PU70" s="12"/>
      <c r="PV70" s="12"/>
      <c r="PW70" s="12"/>
      <c r="PX70" s="12"/>
      <c r="PY70" s="12"/>
      <c r="PZ70" s="12"/>
      <c r="QA70" s="12"/>
      <c r="QB70" s="12"/>
      <c r="QC70" s="12"/>
      <c r="QD70" s="12"/>
      <c r="QE70" s="12"/>
      <c r="QF70" s="12"/>
      <c r="QG70" s="12"/>
      <c r="QH70" s="12"/>
      <c r="QI70" s="12"/>
      <c r="QJ70" s="12"/>
      <c r="QK70" s="12"/>
      <c r="QL70" s="12"/>
      <c r="QM70" s="12"/>
      <c r="QN70" s="12"/>
      <c r="QO70" s="12"/>
      <c r="QP70" s="12"/>
      <c r="QQ70" s="12"/>
      <c r="QR70" s="12"/>
      <c r="QS70" s="12"/>
      <c r="QT70" s="12"/>
      <c r="QU70" s="12"/>
      <c r="QV70" s="12"/>
      <c r="QW70" s="12"/>
      <c r="QX70" s="12"/>
      <c r="QY70" s="12"/>
      <c r="QZ70" s="12"/>
      <c r="RA70" s="12"/>
      <c r="RB70" s="12"/>
      <c r="RC70" s="12"/>
      <c r="RD70" s="12"/>
      <c r="RE70" s="12"/>
      <c r="RF70" s="12"/>
      <c r="RG70" s="12"/>
      <c r="RH70" s="12"/>
      <c r="RI70" s="12"/>
      <c r="RJ70" s="12"/>
      <c r="RK70" s="12"/>
      <c r="RL70" s="12"/>
      <c r="RM70" s="12"/>
      <c r="RN70" s="12"/>
      <c r="RO70" s="12"/>
      <c r="RP70" s="12"/>
      <c r="RQ70" s="12"/>
      <c r="RR70" s="12"/>
      <c r="RS70" s="12"/>
      <c r="RT70" s="12"/>
      <c r="RU70" s="12"/>
      <c r="RV70" s="12"/>
      <c r="RW70" s="12"/>
      <c r="RX70" s="12"/>
      <c r="RY70" s="12"/>
      <c r="RZ70" s="12"/>
      <c r="SA70" s="12"/>
      <c r="SB70" s="12"/>
      <c r="SC70" s="12"/>
      <c r="SD70" s="12"/>
      <c r="SE70" s="12"/>
      <c r="SF70" s="12"/>
      <c r="SG70" s="12"/>
      <c r="SH70" s="12"/>
      <c r="SI70" s="12"/>
      <c r="SJ70" s="12"/>
      <c r="SK70" s="12"/>
      <c r="SL70" s="12"/>
      <c r="SM70" s="12"/>
      <c r="SN70" s="12"/>
      <c r="SO70" s="12"/>
      <c r="SP70" s="12"/>
      <c r="SQ70" s="12"/>
      <c r="SR70" s="12"/>
      <c r="SS70" s="12"/>
      <c r="ST70" s="12"/>
      <c r="SU70" s="12"/>
      <c r="SV70" s="12"/>
      <c r="SW70" s="12"/>
      <c r="SX70" s="12"/>
      <c r="SY70" s="12"/>
      <c r="SZ70" s="12"/>
      <c r="TA70" s="12"/>
      <c r="TB70" s="12"/>
      <c r="TC70" s="12"/>
      <c r="TD70" s="12"/>
      <c r="TE70" s="12"/>
      <c r="TF70" s="12"/>
      <c r="TG70" s="12"/>
      <c r="TH70" s="12"/>
      <c r="TI70" s="12"/>
      <c r="TJ70" s="12"/>
      <c r="TK70" s="12"/>
      <c r="TL70" s="12"/>
      <c r="TM70" s="12"/>
      <c r="TN70" s="12"/>
      <c r="TO70" s="12"/>
      <c r="TP70" s="12"/>
      <c r="TQ70" s="12"/>
      <c r="TR70" s="12"/>
      <c r="TS70" s="12"/>
      <c r="TT70" s="12"/>
      <c r="TU70" s="12"/>
      <c r="TV70" s="12"/>
      <c r="TW70" s="12"/>
      <c r="TX70" s="12"/>
      <c r="TY70" s="12"/>
      <c r="TZ70" s="12"/>
      <c r="UA70" s="12"/>
      <c r="UB70" s="12"/>
      <c r="UC70" s="12"/>
      <c r="UD70" s="12"/>
      <c r="UE70" s="12"/>
      <c r="UF70" s="12"/>
      <c r="UG70" s="12"/>
      <c r="UH70" s="12"/>
      <c r="UI70" s="12"/>
      <c r="UJ70" s="12"/>
      <c r="UK70" s="12"/>
      <c r="UL70" s="12"/>
      <c r="UM70" s="12"/>
      <c r="UN70" s="12"/>
      <c r="UO70" s="12"/>
      <c r="UP70" s="12"/>
      <c r="UQ70" s="12"/>
      <c r="UR70" s="12"/>
      <c r="US70" s="12"/>
      <c r="UT70" s="12"/>
      <c r="UU70" s="12"/>
      <c r="UV70" s="12"/>
      <c r="UW70" s="12"/>
      <c r="UX70" s="12"/>
      <c r="UY70" s="12"/>
      <c r="UZ70" s="12"/>
      <c r="VA70" s="12"/>
      <c r="VB70" s="12"/>
      <c r="VC70" s="12"/>
      <c r="VD70" s="12"/>
      <c r="VE70" s="12"/>
      <c r="VF70" s="12"/>
      <c r="VG70" s="12"/>
      <c r="VH70" s="12"/>
      <c r="VI70" s="12"/>
      <c r="VJ70" s="12"/>
      <c r="VK70" s="12"/>
      <c r="VL70" s="12"/>
      <c r="VM70" s="12"/>
      <c r="VN70" s="12"/>
      <c r="VO70" s="12"/>
      <c r="VP70" s="12"/>
      <c r="VQ70" s="12"/>
      <c r="VR70" s="12"/>
      <c r="VS70" s="12"/>
      <c r="VT70" s="12"/>
      <c r="VU70" s="12"/>
      <c r="VV70" s="12"/>
      <c r="VW70" s="12"/>
      <c r="VX70" s="12"/>
      <c r="VY70" s="12"/>
      <c r="VZ70" s="12"/>
      <c r="WA70" s="12"/>
      <c r="WB70" s="12"/>
      <c r="WC70" s="12"/>
      <c r="WD70" s="12"/>
      <c r="WE70" s="12"/>
      <c r="WF70" s="12"/>
      <c r="WG70" s="12"/>
      <c r="WH70" s="12"/>
      <c r="WI70" s="12"/>
      <c r="WJ70" s="12"/>
      <c r="WK70" s="12"/>
      <c r="WL70" s="12"/>
      <c r="WM70" s="12"/>
      <c r="WN70" s="12"/>
      <c r="WO70" s="12"/>
      <c r="WP70" s="12"/>
      <c r="WQ70" s="12"/>
      <c r="WR70" s="12"/>
      <c r="WS70" s="12"/>
      <c r="WT70" s="12"/>
      <c r="WU70" s="12"/>
      <c r="WV70" s="12"/>
      <c r="WW70" s="12"/>
      <c r="WX70" s="12"/>
      <c r="WY70" s="12"/>
      <c r="WZ70" s="12"/>
      <c r="XA70" s="12"/>
      <c r="XB70" s="12"/>
      <c r="XC70" s="12"/>
      <c r="XD70" s="12"/>
      <c r="XE70" s="12"/>
      <c r="XF70" s="12"/>
      <c r="XG70" s="12"/>
      <c r="XH70" s="12"/>
      <c r="XI70" s="12"/>
      <c r="XJ70" s="12"/>
      <c r="XK70" s="12"/>
      <c r="XL70" s="12"/>
      <c r="XM70" s="12"/>
      <c r="XN70" s="12"/>
      <c r="XO70" s="12"/>
      <c r="XP70" s="12"/>
      <c r="XQ70" s="12"/>
      <c r="XR70" s="12"/>
      <c r="XS70" s="12"/>
      <c r="XT70" s="12"/>
      <c r="XU70" s="12"/>
      <c r="XV70" s="12"/>
      <c r="XW70" s="12"/>
      <c r="XX70" s="12"/>
      <c r="XY70" s="12"/>
      <c r="XZ70" s="12"/>
      <c r="YA70" s="12"/>
      <c r="YB70" s="12"/>
      <c r="YC70" s="12"/>
      <c r="YD70" s="12"/>
      <c r="YE70" s="12"/>
      <c r="YF70" s="12"/>
      <c r="YG70" s="12"/>
      <c r="YH70" s="12"/>
      <c r="YI70" s="12"/>
      <c r="YJ70" s="12"/>
      <c r="YK70" s="12"/>
      <c r="YL70" s="12"/>
      <c r="YM70" s="12"/>
      <c r="YN70" s="12"/>
      <c r="YO70" s="12"/>
      <c r="YP70" s="12"/>
      <c r="YQ70" s="12"/>
      <c r="YR70" s="12"/>
      <c r="YS70" s="12"/>
      <c r="YT70" s="12"/>
      <c r="YU70" s="12"/>
      <c r="YV70" s="12"/>
      <c r="YW70" s="12"/>
      <c r="YX70" s="12"/>
      <c r="YY70" s="12"/>
      <c r="YZ70" s="12"/>
      <c r="ZA70" s="12"/>
      <c r="ZB70" s="12"/>
      <c r="ZC70" s="12"/>
      <c r="ZD70" s="12"/>
      <c r="ZE70" s="12"/>
      <c r="ZF70" s="12"/>
      <c r="ZG70" s="12"/>
      <c r="ZH70" s="12"/>
      <c r="ZI70" s="12"/>
      <c r="ZJ70" s="12"/>
      <c r="ZK70" s="12"/>
      <c r="ZL70" s="12"/>
      <c r="ZM70" s="12"/>
      <c r="ZN70" s="12"/>
      <c r="ZO70" s="12"/>
      <c r="ZP70" s="12"/>
      <c r="ZQ70" s="12"/>
      <c r="ZR70" s="12"/>
      <c r="ZS70" s="12"/>
      <c r="ZT70" s="12"/>
      <c r="ZU70" s="12"/>
      <c r="ZV70" s="12"/>
      <c r="ZW70" s="12"/>
      <c r="ZX70" s="12"/>
      <c r="ZY70" s="12"/>
      <c r="ZZ70" s="12"/>
      <c r="AAA70" s="12"/>
      <c r="AAB70" s="12"/>
      <c r="AAC70" s="12"/>
      <c r="AAD70" s="12"/>
      <c r="AAE70" s="12"/>
      <c r="AAF70" s="12"/>
      <c r="AAG70" s="12"/>
      <c r="AAH70" s="12"/>
      <c r="AAI70" s="12"/>
      <c r="AAJ70" s="12"/>
      <c r="AAK70" s="12"/>
      <c r="AAL70" s="12"/>
      <c r="AAM70" s="12"/>
      <c r="AAN70" s="12"/>
      <c r="AAO70" s="12"/>
      <c r="AAP70" s="12"/>
      <c r="AAQ70" s="12"/>
      <c r="AAR70" s="12"/>
      <c r="AAS70" s="12"/>
      <c r="AAT70" s="12"/>
      <c r="AAU70" s="12"/>
      <c r="AAV70" s="12"/>
      <c r="AAW70" s="12"/>
      <c r="AAX70" s="12"/>
      <c r="AAY70" s="12"/>
      <c r="AAZ70" s="12"/>
      <c r="ABA70" s="12"/>
      <c r="ABB70" s="12"/>
      <c r="ABC70" s="12"/>
      <c r="ABD70" s="12"/>
      <c r="ABE70" s="12"/>
      <c r="ABF70" s="12"/>
      <c r="ABG70" s="12"/>
      <c r="ABH70" s="12"/>
      <c r="ABI70" s="12"/>
      <c r="ABJ70" s="12"/>
      <c r="ABK70" s="12"/>
      <c r="ABL70" s="12"/>
      <c r="ABM70" s="12"/>
      <c r="ABN70" s="12"/>
      <c r="ABO70" s="12"/>
      <c r="ABP70" s="12"/>
      <c r="ABQ70" s="12"/>
      <c r="ABR70" s="12"/>
      <c r="ABS70" s="12"/>
      <c r="ABT70" s="12"/>
      <c r="ABU70" s="12"/>
      <c r="ABV70" s="12"/>
      <c r="ABW70" s="12"/>
      <c r="ABX70" s="12"/>
      <c r="ABY70" s="12"/>
      <c r="ABZ70" s="12"/>
      <c r="ACA70" s="12"/>
      <c r="ACB70" s="12"/>
      <c r="ACC70" s="12"/>
      <c r="ACD70" s="12"/>
      <c r="ACE70" s="12"/>
      <c r="ACF70" s="12"/>
      <c r="ACG70" s="12"/>
      <c r="ACH70" s="12"/>
      <c r="ACI70" s="12"/>
      <c r="ACJ70" s="12"/>
      <c r="ACK70" s="12"/>
      <c r="ACL70" s="12"/>
      <c r="ACM70" s="12"/>
      <c r="ACN70" s="12"/>
      <c r="ACO70" s="12"/>
      <c r="ACP70" s="12"/>
      <c r="ACQ70" s="12"/>
      <c r="ACR70" s="12"/>
      <c r="ACS70" s="12"/>
      <c r="ACT70" s="12"/>
      <c r="ACU70" s="12"/>
      <c r="ACV70" s="12"/>
      <c r="ACW70" s="12"/>
      <c r="ACX70" s="12"/>
      <c r="ACY70" s="12"/>
      <c r="ACZ70" s="12"/>
      <c r="ADA70" s="12"/>
      <c r="ADB70" s="12"/>
      <c r="ADC70" s="12"/>
      <c r="ADD70" s="12"/>
      <c r="ADE70" s="12"/>
      <c r="ADF70" s="12"/>
      <c r="ADG70" s="12"/>
      <c r="ADH70" s="12"/>
      <c r="ADI70" s="12"/>
      <c r="ADJ70" s="12"/>
      <c r="ADK70" s="12"/>
      <c r="ADL70" s="12"/>
      <c r="ADM70" s="12"/>
      <c r="ADN70" s="12"/>
      <c r="ADO70" s="12"/>
      <c r="ADP70" s="12"/>
      <c r="ADQ70" s="12"/>
      <c r="ADR70" s="12"/>
      <c r="ADS70" s="12"/>
      <c r="ADT70" s="12"/>
      <c r="ADU70" s="12"/>
      <c r="ADV70" s="12"/>
      <c r="ADW70" s="12"/>
      <c r="ADX70" s="12"/>
      <c r="ADY70" s="12"/>
      <c r="ADZ70" s="12"/>
      <c r="AEA70" s="12"/>
      <c r="AEB70" s="12"/>
      <c r="AEC70" s="12"/>
      <c r="AED70" s="12"/>
      <c r="AEE70" s="12"/>
      <c r="AEF70" s="12"/>
      <c r="AEG70" s="12"/>
      <c r="AEH70" s="12"/>
      <c r="AEI70" s="12"/>
      <c r="AEJ70" s="12"/>
      <c r="AEK70" s="12"/>
      <c r="AEL70" s="12"/>
      <c r="AEM70" s="12"/>
      <c r="AEN70" s="12"/>
      <c r="AEO70" s="12"/>
      <c r="AEP70" s="12"/>
      <c r="AEQ70" s="12"/>
      <c r="AER70" s="12"/>
      <c r="AES70" s="12"/>
      <c r="AET70" s="12"/>
      <c r="AEU70" s="12"/>
      <c r="AEV70" s="12"/>
    </row>
    <row r="71" spans="1:828" s="74" customFormat="1" ht="18" x14ac:dyDescent="0.2">
      <c r="A71" s="70" t="s">
        <v>66</v>
      </c>
      <c r="B71" s="71"/>
      <c r="C71" s="72"/>
      <c r="D71" s="73">
        <f>SUM(D5:D66)</f>
        <v>95561</v>
      </c>
      <c r="E71" s="72"/>
      <c r="F71" s="72"/>
      <c r="G71" s="72">
        <f>SUM(G34:G66)</f>
        <v>28355</v>
      </c>
      <c r="H71" s="71"/>
      <c r="I71" s="72"/>
      <c r="J71" s="73">
        <f>SUM(J2:J67)</f>
        <v>158286</v>
      </c>
      <c r="K71" s="71"/>
      <c r="L71" s="72"/>
      <c r="M71" s="73">
        <f>SUM(M2:M67)</f>
        <v>23612</v>
      </c>
      <c r="N71" s="12"/>
      <c r="O71" s="12"/>
      <c r="P71" s="68"/>
      <c r="Q71" s="68"/>
      <c r="R71" s="68"/>
      <c r="S71" s="68"/>
      <c r="T71" s="68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2"/>
      <c r="FJ71" s="12"/>
      <c r="FK71" s="12"/>
      <c r="FL71" s="12"/>
      <c r="FM71" s="12"/>
      <c r="FN71" s="12"/>
      <c r="FO71" s="12"/>
      <c r="FP71" s="12"/>
      <c r="FQ71" s="12"/>
      <c r="FR71" s="12"/>
      <c r="FS71" s="12"/>
      <c r="FT71" s="12"/>
      <c r="FU71" s="12"/>
      <c r="FV71" s="12"/>
      <c r="FW71" s="12"/>
      <c r="FX71" s="12"/>
      <c r="FY71" s="12"/>
      <c r="FZ71" s="12"/>
      <c r="GA71" s="12"/>
      <c r="GB71" s="12"/>
      <c r="GC71" s="12"/>
      <c r="GD71" s="12"/>
      <c r="GE71" s="12"/>
      <c r="GF71" s="12"/>
      <c r="GG71" s="12"/>
      <c r="GH71" s="12"/>
      <c r="GI71" s="12"/>
      <c r="GJ71" s="12"/>
      <c r="GK71" s="12"/>
      <c r="GL71" s="12"/>
      <c r="GM71" s="12"/>
      <c r="GN71" s="12"/>
      <c r="GO71" s="12"/>
      <c r="GP71" s="12"/>
      <c r="GQ71" s="12"/>
      <c r="GR71" s="12"/>
      <c r="GS71" s="12"/>
      <c r="GT71" s="12"/>
      <c r="GU71" s="12"/>
      <c r="GV71" s="12"/>
      <c r="GW71" s="12"/>
      <c r="GX71" s="12"/>
      <c r="GY71" s="12"/>
      <c r="GZ71" s="12"/>
      <c r="HA71" s="12"/>
      <c r="HB71" s="12"/>
      <c r="HC71" s="12"/>
      <c r="HD71" s="12"/>
      <c r="HE71" s="12"/>
      <c r="HF71" s="12"/>
      <c r="HG71" s="12"/>
      <c r="HH71" s="12"/>
      <c r="HI71" s="12"/>
      <c r="HJ71" s="12"/>
      <c r="HK71" s="12"/>
      <c r="HL71" s="12"/>
      <c r="HM71" s="12"/>
      <c r="HN71" s="12"/>
      <c r="HO71" s="12"/>
      <c r="HP71" s="12"/>
      <c r="HQ71" s="12"/>
      <c r="HR71" s="12"/>
      <c r="HS71" s="12"/>
      <c r="HT71" s="12"/>
      <c r="HU71" s="12"/>
      <c r="HV71" s="12"/>
      <c r="HW71" s="12"/>
      <c r="HX71" s="12"/>
      <c r="HY71" s="12"/>
      <c r="HZ71" s="12"/>
      <c r="IA71" s="12"/>
      <c r="IB71" s="12"/>
      <c r="IC71" s="12"/>
      <c r="ID71" s="12"/>
      <c r="IE71" s="12"/>
      <c r="IF71" s="12"/>
      <c r="IG71" s="12"/>
      <c r="IH71" s="12"/>
      <c r="II71" s="12"/>
      <c r="IJ71" s="12"/>
      <c r="IK71" s="12"/>
      <c r="IL71" s="12"/>
      <c r="IM71" s="12"/>
      <c r="IN71" s="12"/>
      <c r="IO71" s="12"/>
      <c r="IP71" s="12"/>
      <c r="IQ71" s="12"/>
      <c r="IR71" s="12"/>
      <c r="IS71" s="12"/>
      <c r="IT71" s="12"/>
      <c r="IU71" s="12"/>
      <c r="IV71" s="12"/>
      <c r="IW71" s="12"/>
      <c r="IX71" s="12"/>
      <c r="IY71" s="12"/>
      <c r="IZ71" s="12"/>
      <c r="JA71" s="12"/>
      <c r="JB71" s="12"/>
      <c r="JC71" s="12"/>
      <c r="JD71" s="12"/>
      <c r="JE71" s="12"/>
      <c r="JF71" s="12"/>
      <c r="JG71" s="12"/>
      <c r="JH71" s="12"/>
      <c r="JI71" s="12"/>
      <c r="JJ71" s="12"/>
      <c r="JK71" s="12"/>
      <c r="JL71" s="12"/>
      <c r="JM71" s="12"/>
      <c r="JN71" s="12"/>
      <c r="JO71" s="12"/>
      <c r="JP71" s="12"/>
      <c r="JQ71" s="12"/>
      <c r="JR71" s="12"/>
      <c r="JS71" s="12"/>
      <c r="JT71" s="12"/>
      <c r="JU71" s="12"/>
      <c r="JV71" s="12"/>
      <c r="JW71" s="12"/>
      <c r="JX71" s="12"/>
      <c r="JY71" s="12"/>
      <c r="JZ71" s="12"/>
      <c r="KA71" s="12"/>
      <c r="KB71" s="12"/>
      <c r="KC71" s="12"/>
      <c r="KD71" s="12"/>
      <c r="KE71" s="12"/>
      <c r="KF71" s="12"/>
      <c r="KG71" s="12"/>
      <c r="KH71" s="12"/>
      <c r="KI71" s="12"/>
      <c r="KJ71" s="12"/>
      <c r="KK71" s="12"/>
      <c r="KL71" s="12"/>
      <c r="KM71" s="12"/>
      <c r="KN71" s="12"/>
      <c r="KO71" s="12"/>
      <c r="KP71" s="12"/>
      <c r="KQ71" s="12"/>
      <c r="KR71" s="12"/>
      <c r="KS71" s="12"/>
      <c r="KT71" s="12"/>
      <c r="KU71" s="12"/>
      <c r="KV71" s="12"/>
      <c r="KW71" s="12"/>
      <c r="KX71" s="12"/>
      <c r="KY71" s="12"/>
      <c r="KZ71" s="12"/>
      <c r="LA71" s="12"/>
      <c r="LB71" s="12"/>
      <c r="LC71" s="12"/>
      <c r="LD71" s="12"/>
      <c r="LE71" s="12"/>
      <c r="LF71" s="12"/>
      <c r="LG71" s="12"/>
      <c r="LH71" s="12"/>
      <c r="LI71" s="12"/>
      <c r="LJ71" s="12"/>
      <c r="LK71" s="12"/>
      <c r="LL71" s="12"/>
      <c r="LM71" s="12"/>
      <c r="LN71" s="12"/>
      <c r="LO71" s="12"/>
      <c r="LP71" s="12"/>
      <c r="LQ71" s="12"/>
      <c r="LR71" s="12"/>
      <c r="LS71" s="12"/>
      <c r="LT71" s="12"/>
      <c r="LU71" s="12"/>
      <c r="LV71" s="12"/>
      <c r="LW71" s="12"/>
      <c r="LX71" s="12"/>
      <c r="LY71" s="12"/>
      <c r="LZ71" s="12"/>
      <c r="MA71" s="12"/>
      <c r="MB71" s="12"/>
      <c r="MC71" s="12"/>
      <c r="MD71" s="12"/>
      <c r="ME71" s="12"/>
      <c r="MF71" s="12"/>
      <c r="MG71" s="12"/>
      <c r="MH71" s="12"/>
      <c r="MI71" s="12"/>
      <c r="MJ71" s="12"/>
      <c r="MK71" s="12"/>
      <c r="ML71" s="12"/>
      <c r="MM71" s="12"/>
      <c r="MN71" s="12"/>
      <c r="MO71" s="12"/>
      <c r="MP71" s="12"/>
      <c r="MQ71" s="12"/>
      <c r="MR71" s="12"/>
      <c r="MS71" s="12"/>
      <c r="MT71" s="12"/>
      <c r="MU71" s="12"/>
      <c r="MV71" s="12"/>
      <c r="MW71" s="12"/>
      <c r="MX71" s="12"/>
      <c r="MY71" s="12"/>
      <c r="MZ71" s="12"/>
      <c r="NA71" s="12"/>
      <c r="NB71" s="12"/>
      <c r="NC71" s="12"/>
      <c r="ND71" s="12"/>
      <c r="NE71" s="12"/>
      <c r="NF71" s="12"/>
      <c r="NG71" s="12"/>
      <c r="NH71" s="12"/>
      <c r="NI71" s="12"/>
      <c r="NJ71" s="12"/>
      <c r="NK71" s="12"/>
      <c r="NL71" s="12"/>
      <c r="NM71" s="12"/>
      <c r="NN71" s="12"/>
      <c r="NO71" s="12"/>
      <c r="NP71" s="12"/>
      <c r="NQ71" s="12"/>
      <c r="NR71" s="12"/>
      <c r="NS71" s="12"/>
      <c r="NT71" s="12"/>
      <c r="NU71" s="12"/>
      <c r="NV71" s="12"/>
      <c r="NW71" s="12"/>
      <c r="NX71" s="12"/>
      <c r="NY71" s="12"/>
      <c r="NZ71" s="12"/>
      <c r="OA71" s="12"/>
      <c r="OB71" s="12"/>
      <c r="OC71" s="12"/>
      <c r="OD71" s="12"/>
      <c r="OE71" s="12"/>
      <c r="OF71" s="12"/>
      <c r="OG71" s="12"/>
      <c r="OH71" s="12"/>
      <c r="OI71" s="12"/>
      <c r="OJ71" s="12"/>
      <c r="OK71" s="12"/>
      <c r="OL71" s="12"/>
      <c r="OM71" s="12"/>
      <c r="ON71" s="12"/>
      <c r="OO71" s="12"/>
      <c r="OP71" s="12"/>
      <c r="OQ71" s="12"/>
      <c r="OR71" s="12"/>
      <c r="OS71" s="12"/>
      <c r="OT71" s="12"/>
      <c r="OU71" s="12"/>
      <c r="OV71" s="12"/>
      <c r="OW71" s="12"/>
      <c r="OX71" s="12"/>
      <c r="OY71" s="12"/>
      <c r="OZ71" s="12"/>
      <c r="PA71" s="12"/>
      <c r="PB71" s="12"/>
      <c r="PC71" s="12"/>
      <c r="PD71" s="12"/>
      <c r="PE71" s="12"/>
      <c r="PF71" s="12"/>
      <c r="PG71" s="12"/>
      <c r="PH71" s="12"/>
      <c r="PI71" s="12"/>
      <c r="PJ71" s="12"/>
      <c r="PK71" s="12"/>
      <c r="PL71" s="12"/>
      <c r="PM71" s="12"/>
      <c r="PN71" s="12"/>
      <c r="PO71" s="12"/>
      <c r="PP71" s="12"/>
      <c r="PQ71" s="12"/>
      <c r="PR71" s="12"/>
      <c r="PS71" s="12"/>
      <c r="PT71" s="12"/>
      <c r="PU71" s="12"/>
      <c r="PV71" s="12"/>
      <c r="PW71" s="12"/>
      <c r="PX71" s="12"/>
      <c r="PY71" s="12"/>
      <c r="PZ71" s="12"/>
      <c r="QA71" s="12"/>
      <c r="QB71" s="12"/>
      <c r="QC71" s="12"/>
      <c r="QD71" s="12"/>
      <c r="QE71" s="12"/>
      <c r="QF71" s="12"/>
      <c r="QG71" s="12"/>
      <c r="QH71" s="12"/>
      <c r="QI71" s="12"/>
      <c r="QJ71" s="12"/>
      <c r="QK71" s="12"/>
      <c r="QL71" s="12"/>
      <c r="QM71" s="12"/>
      <c r="QN71" s="12"/>
      <c r="QO71" s="12"/>
      <c r="QP71" s="12"/>
      <c r="QQ71" s="12"/>
      <c r="QR71" s="12"/>
      <c r="QS71" s="12"/>
      <c r="QT71" s="12"/>
      <c r="QU71" s="12"/>
      <c r="QV71" s="12"/>
      <c r="QW71" s="12"/>
      <c r="QX71" s="12"/>
      <c r="QY71" s="12"/>
      <c r="QZ71" s="12"/>
      <c r="RA71" s="12"/>
      <c r="RB71" s="12"/>
      <c r="RC71" s="12"/>
      <c r="RD71" s="12"/>
      <c r="RE71" s="12"/>
      <c r="RF71" s="12"/>
      <c r="RG71" s="12"/>
      <c r="RH71" s="12"/>
      <c r="RI71" s="12"/>
      <c r="RJ71" s="12"/>
      <c r="RK71" s="12"/>
      <c r="RL71" s="12"/>
      <c r="RM71" s="12"/>
      <c r="RN71" s="12"/>
      <c r="RO71" s="12"/>
      <c r="RP71" s="12"/>
      <c r="RQ71" s="12"/>
      <c r="RR71" s="12"/>
      <c r="RS71" s="12"/>
      <c r="RT71" s="12"/>
      <c r="RU71" s="12"/>
      <c r="RV71" s="12"/>
      <c r="RW71" s="12"/>
      <c r="RX71" s="12"/>
      <c r="RY71" s="12"/>
      <c r="RZ71" s="12"/>
      <c r="SA71" s="12"/>
      <c r="SB71" s="12"/>
      <c r="SC71" s="12"/>
      <c r="SD71" s="12"/>
      <c r="SE71" s="12"/>
      <c r="SF71" s="12"/>
      <c r="SG71" s="12"/>
      <c r="SH71" s="12"/>
      <c r="SI71" s="12"/>
      <c r="SJ71" s="12"/>
      <c r="SK71" s="12"/>
      <c r="SL71" s="12"/>
      <c r="SM71" s="12"/>
      <c r="SN71" s="12"/>
      <c r="SO71" s="12"/>
      <c r="SP71" s="12"/>
      <c r="SQ71" s="12"/>
      <c r="SR71" s="12"/>
      <c r="SS71" s="12"/>
      <c r="ST71" s="12"/>
      <c r="SU71" s="12"/>
      <c r="SV71" s="12"/>
      <c r="SW71" s="12"/>
      <c r="SX71" s="12"/>
      <c r="SY71" s="12"/>
      <c r="SZ71" s="12"/>
      <c r="TA71" s="12"/>
      <c r="TB71" s="12"/>
      <c r="TC71" s="12"/>
      <c r="TD71" s="12"/>
      <c r="TE71" s="12"/>
      <c r="TF71" s="12"/>
      <c r="TG71" s="12"/>
      <c r="TH71" s="12"/>
      <c r="TI71" s="12"/>
      <c r="TJ71" s="12"/>
      <c r="TK71" s="12"/>
      <c r="TL71" s="12"/>
      <c r="TM71" s="12"/>
      <c r="TN71" s="12"/>
      <c r="TO71" s="12"/>
      <c r="TP71" s="12"/>
      <c r="TQ71" s="12"/>
      <c r="TR71" s="12"/>
      <c r="TS71" s="12"/>
      <c r="TT71" s="12"/>
      <c r="TU71" s="12"/>
      <c r="TV71" s="12"/>
      <c r="TW71" s="12"/>
      <c r="TX71" s="12"/>
      <c r="TY71" s="12"/>
      <c r="TZ71" s="12"/>
      <c r="UA71" s="12"/>
      <c r="UB71" s="12"/>
      <c r="UC71" s="12"/>
      <c r="UD71" s="12"/>
      <c r="UE71" s="12"/>
      <c r="UF71" s="12"/>
      <c r="UG71" s="12"/>
      <c r="UH71" s="12"/>
      <c r="UI71" s="12"/>
      <c r="UJ71" s="12"/>
      <c r="UK71" s="12"/>
      <c r="UL71" s="12"/>
      <c r="UM71" s="12"/>
      <c r="UN71" s="12"/>
      <c r="UO71" s="12"/>
      <c r="UP71" s="12"/>
      <c r="UQ71" s="12"/>
      <c r="UR71" s="12"/>
      <c r="US71" s="12"/>
      <c r="UT71" s="12"/>
      <c r="UU71" s="12"/>
      <c r="UV71" s="12"/>
      <c r="UW71" s="12"/>
      <c r="UX71" s="12"/>
      <c r="UY71" s="12"/>
      <c r="UZ71" s="12"/>
      <c r="VA71" s="12"/>
      <c r="VB71" s="12"/>
      <c r="VC71" s="12"/>
      <c r="VD71" s="12"/>
      <c r="VE71" s="12"/>
      <c r="VF71" s="12"/>
      <c r="VG71" s="12"/>
      <c r="VH71" s="12"/>
      <c r="VI71" s="12"/>
      <c r="VJ71" s="12"/>
      <c r="VK71" s="12"/>
      <c r="VL71" s="12"/>
      <c r="VM71" s="12"/>
      <c r="VN71" s="12"/>
      <c r="VO71" s="12"/>
      <c r="VP71" s="12"/>
      <c r="VQ71" s="12"/>
      <c r="VR71" s="12"/>
      <c r="VS71" s="12"/>
      <c r="VT71" s="12"/>
      <c r="VU71" s="12"/>
      <c r="VV71" s="12"/>
      <c r="VW71" s="12"/>
      <c r="VX71" s="12"/>
      <c r="VY71" s="12"/>
      <c r="VZ71" s="12"/>
      <c r="WA71" s="12"/>
      <c r="WB71" s="12"/>
      <c r="WC71" s="12"/>
      <c r="WD71" s="12"/>
      <c r="WE71" s="12"/>
      <c r="WF71" s="12"/>
      <c r="WG71" s="12"/>
      <c r="WH71" s="12"/>
      <c r="WI71" s="12"/>
      <c r="WJ71" s="12"/>
      <c r="WK71" s="12"/>
      <c r="WL71" s="12"/>
      <c r="WM71" s="12"/>
      <c r="WN71" s="12"/>
      <c r="WO71" s="12"/>
      <c r="WP71" s="12"/>
      <c r="WQ71" s="12"/>
      <c r="WR71" s="12"/>
      <c r="WS71" s="12"/>
      <c r="WT71" s="12"/>
      <c r="WU71" s="12"/>
      <c r="WV71" s="12"/>
      <c r="WW71" s="12"/>
      <c r="WX71" s="12"/>
      <c r="WY71" s="12"/>
      <c r="WZ71" s="12"/>
      <c r="XA71" s="12"/>
      <c r="XB71" s="12"/>
      <c r="XC71" s="12"/>
      <c r="XD71" s="12"/>
      <c r="XE71" s="12"/>
      <c r="XF71" s="12"/>
      <c r="XG71" s="12"/>
      <c r="XH71" s="12"/>
      <c r="XI71" s="12"/>
      <c r="XJ71" s="12"/>
      <c r="XK71" s="12"/>
      <c r="XL71" s="12"/>
      <c r="XM71" s="12"/>
      <c r="XN71" s="12"/>
      <c r="XO71" s="12"/>
      <c r="XP71" s="12"/>
      <c r="XQ71" s="12"/>
      <c r="XR71" s="12"/>
      <c r="XS71" s="12"/>
      <c r="XT71" s="12"/>
      <c r="XU71" s="12"/>
      <c r="XV71" s="12"/>
      <c r="XW71" s="12"/>
      <c r="XX71" s="12"/>
      <c r="XY71" s="12"/>
      <c r="XZ71" s="12"/>
      <c r="YA71" s="12"/>
      <c r="YB71" s="12"/>
      <c r="YC71" s="12"/>
      <c r="YD71" s="12"/>
      <c r="YE71" s="12"/>
      <c r="YF71" s="12"/>
      <c r="YG71" s="12"/>
      <c r="YH71" s="12"/>
      <c r="YI71" s="12"/>
      <c r="YJ71" s="12"/>
      <c r="YK71" s="12"/>
      <c r="YL71" s="12"/>
      <c r="YM71" s="12"/>
      <c r="YN71" s="12"/>
      <c r="YO71" s="12"/>
      <c r="YP71" s="12"/>
      <c r="YQ71" s="12"/>
      <c r="YR71" s="12"/>
      <c r="YS71" s="12"/>
      <c r="YT71" s="12"/>
      <c r="YU71" s="12"/>
      <c r="YV71" s="12"/>
      <c r="YW71" s="12"/>
      <c r="YX71" s="12"/>
      <c r="YY71" s="12"/>
      <c r="YZ71" s="12"/>
      <c r="ZA71" s="12"/>
      <c r="ZB71" s="12"/>
      <c r="ZC71" s="12"/>
      <c r="ZD71" s="12"/>
      <c r="ZE71" s="12"/>
      <c r="ZF71" s="12"/>
      <c r="ZG71" s="12"/>
      <c r="ZH71" s="12"/>
      <c r="ZI71" s="12"/>
      <c r="ZJ71" s="12"/>
      <c r="ZK71" s="12"/>
      <c r="ZL71" s="12"/>
      <c r="ZM71" s="12"/>
      <c r="ZN71" s="12"/>
      <c r="ZO71" s="12"/>
      <c r="ZP71" s="12"/>
      <c r="ZQ71" s="12"/>
      <c r="ZR71" s="12"/>
      <c r="ZS71" s="12"/>
      <c r="ZT71" s="12"/>
      <c r="ZU71" s="12"/>
      <c r="ZV71" s="12"/>
      <c r="ZW71" s="12"/>
      <c r="ZX71" s="12"/>
      <c r="ZY71" s="12"/>
      <c r="ZZ71" s="12"/>
      <c r="AAA71" s="12"/>
      <c r="AAB71" s="12"/>
      <c r="AAC71" s="12"/>
      <c r="AAD71" s="12"/>
      <c r="AAE71" s="12"/>
      <c r="AAF71" s="12"/>
      <c r="AAG71" s="12"/>
      <c r="AAH71" s="12"/>
      <c r="AAI71" s="12"/>
      <c r="AAJ71" s="12"/>
      <c r="AAK71" s="12"/>
      <c r="AAL71" s="12"/>
      <c r="AAM71" s="12"/>
      <c r="AAN71" s="12"/>
      <c r="AAO71" s="12"/>
      <c r="AAP71" s="12"/>
      <c r="AAQ71" s="12"/>
      <c r="AAR71" s="12"/>
      <c r="AAS71" s="12"/>
      <c r="AAT71" s="12"/>
      <c r="AAU71" s="12"/>
      <c r="AAV71" s="12"/>
      <c r="AAW71" s="12"/>
      <c r="AAX71" s="12"/>
      <c r="AAY71" s="12"/>
      <c r="AAZ71" s="12"/>
      <c r="ABA71" s="12"/>
      <c r="ABB71" s="12"/>
      <c r="ABC71" s="12"/>
      <c r="ABD71" s="12"/>
      <c r="ABE71" s="12"/>
      <c r="ABF71" s="12"/>
      <c r="ABG71" s="12"/>
      <c r="ABH71" s="12"/>
      <c r="ABI71" s="12"/>
      <c r="ABJ71" s="12"/>
      <c r="ABK71" s="12"/>
      <c r="ABL71" s="12"/>
      <c r="ABM71" s="12"/>
      <c r="ABN71" s="12"/>
      <c r="ABO71" s="12"/>
      <c r="ABP71" s="12"/>
      <c r="ABQ71" s="12"/>
      <c r="ABR71" s="12"/>
      <c r="ABS71" s="12"/>
      <c r="ABT71" s="12"/>
      <c r="ABU71" s="12"/>
      <c r="ABV71" s="12"/>
      <c r="ABW71" s="12"/>
      <c r="ABX71" s="12"/>
      <c r="ABY71" s="12"/>
      <c r="ABZ71" s="12"/>
      <c r="ACA71" s="12"/>
      <c r="ACB71" s="12"/>
      <c r="ACC71" s="12"/>
      <c r="ACD71" s="12"/>
      <c r="ACE71" s="12"/>
      <c r="ACF71" s="12"/>
      <c r="ACG71" s="12"/>
      <c r="ACH71" s="12"/>
      <c r="ACI71" s="12"/>
      <c r="ACJ71" s="12"/>
      <c r="ACK71" s="12"/>
      <c r="ACL71" s="12"/>
      <c r="ACM71" s="12"/>
      <c r="ACN71" s="12"/>
      <c r="ACO71" s="12"/>
      <c r="ACP71" s="12"/>
      <c r="ACQ71" s="12"/>
      <c r="ACR71" s="12"/>
      <c r="ACS71" s="12"/>
      <c r="ACT71" s="12"/>
      <c r="ACU71" s="12"/>
      <c r="ACV71" s="12"/>
      <c r="ACW71" s="12"/>
      <c r="ACX71" s="12"/>
      <c r="ACY71" s="12"/>
      <c r="ACZ71" s="12"/>
      <c r="ADA71" s="12"/>
      <c r="ADB71" s="12"/>
      <c r="ADC71" s="12"/>
      <c r="ADD71" s="12"/>
      <c r="ADE71" s="12"/>
      <c r="ADF71" s="12"/>
      <c r="ADG71" s="12"/>
      <c r="ADH71" s="12"/>
      <c r="ADI71" s="12"/>
      <c r="ADJ71" s="12"/>
      <c r="ADK71" s="12"/>
      <c r="ADL71" s="12"/>
      <c r="ADM71" s="12"/>
      <c r="ADN71" s="12"/>
      <c r="ADO71" s="12"/>
      <c r="ADP71" s="12"/>
      <c r="ADQ71" s="12"/>
      <c r="ADR71" s="12"/>
      <c r="ADS71" s="12"/>
      <c r="ADT71" s="12"/>
      <c r="ADU71" s="12"/>
      <c r="ADV71" s="12"/>
      <c r="ADW71" s="12"/>
      <c r="ADX71" s="12"/>
      <c r="ADY71" s="12"/>
      <c r="ADZ71" s="12"/>
      <c r="AEA71" s="12"/>
      <c r="AEB71" s="12"/>
      <c r="AEC71" s="12"/>
      <c r="AED71" s="12"/>
      <c r="AEE71" s="12"/>
      <c r="AEF71" s="12"/>
      <c r="AEG71" s="12"/>
      <c r="AEH71" s="12"/>
      <c r="AEI71" s="12"/>
      <c r="AEJ71" s="12"/>
      <c r="AEK71" s="12"/>
      <c r="AEL71" s="12"/>
      <c r="AEM71" s="12"/>
      <c r="AEN71" s="12"/>
      <c r="AEO71" s="12"/>
      <c r="AEP71" s="12"/>
      <c r="AEQ71" s="12"/>
      <c r="AER71" s="12"/>
      <c r="AES71" s="12"/>
      <c r="AET71" s="12"/>
      <c r="AEU71" s="12"/>
      <c r="AEV71" s="12"/>
    </row>
    <row r="72" spans="1:828" x14ac:dyDescent="0.2">
      <c r="D72" s="77"/>
      <c r="E72" s="78"/>
      <c r="F72" s="78"/>
      <c r="G72" s="78"/>
      <c r="K72" s="27"/>
      <c r="L72" s="27"/>
      <c r="M72" s="29"/>
    </row>
    <row r="73" spans="1:828" x14ac:dyDescent="0.2">
      <c r="K73" s="27"/>
      <c r="L73" s="27"/>
      <c r="M73" s="29"/>
    </row>
    <row r="74" spans="1:828" x14ac:dyDescent="0.2">
      <c r="D74" s="79">
        <f>D71+G71</f>
        <v>123916</v>
      </c>
      <c r="J74" s="79">
        <f>J71+M71-J2</f>
        <v>116516</v>
      </c>
      <c r="K74" s="27"/>
      <c r="L74" s="27"/>
      <c r="M74" s="29"/>
    </row>
    <row r="75" spans="1:828" x14ac:dyDescent="0.2">
      <c r="D75" s="77">
        <f>D71/D74</f>
        <v>0.77117563510765352</v>
      </c>
      <c r="K75" s="27"/>
      <c r="L75" s="27"/>
      <c r="M75" s="29"/>
    </row>
    <row r="76" spans="1:828" x14ac:dyDescent="0.2">
      <c r="J76" s="7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Mexico_city</vt:lpstr>
      <vt:lpstr>out-mexico-city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Zhanchao</dc:creator>
  <cp:lastModifiedBy>Zhanchao Yang</cp:lastModifiedBy>
  <dcterms:created xsi:type="dcterms:W3CDTF">2025-09-15T15:43:05Z</dcterms:created>
  <dcterms:modified xsi:type="dcterms:W3CDTF">2025-09-16T03:44:34Z</dcterms:modified>
</cp:coreProperties>
</file>